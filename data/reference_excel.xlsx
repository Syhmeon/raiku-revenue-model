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b07d8c1b4d75360/RAIKU/08 - Revenue - Economics/Raiku - Revenues estimations/"/>
    </mc:Choice>
  </mc:AlternateContent>
  <xr:revisionPtr revIDLastSave="2" documentId="11_82816E91DEC4CC1DB72567F43F5BDA16965A68F7" xr6:coauthVersionLast="47" xr6:coauthVersionMax="47" xr10:uidLastSave="{49B262B6-014E-40AA-81BE-7D1AEC730BCC}"/>
  <bookViews>
    <workbookView xWindow="44520" yWindow="0" windowWidth="13035" windowHeight="15585" xr2:uid="{00000000-000D-0000-FFFF-FFFF00000000}"/>
  </bookViews>
  <sheets>
    <sheet name="Database" sheetId="1" r:id="rId1"/>
    <sheet name="Data Sources" sheetId="2" r:id="rId2"/>
  </sheets>
  <definedNames>
    <definedName name="_xlnm._FilterDatabase" localSheetId="0" hidden="1">Database!$A$1:$AD$1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D30" i="2"/>
  <c r="D29" i="2"/>
  <c r="D28" i="2"/>
  <c r="D27" i="2"/>
  <c r="D26" i="2"/>
  <c r="D25" i="2"/>
  <c r="D24" i="2"/>
  <c r="D22" i="2"/>
  <c r="D21" i="2"/>
  <c r="D20" i="2"/>
  <c r="D19" i="2"/>
  <c r="D18" i="2"/>
  <c r="D17" i="2"/>
  <c r="D16" i="2"/>
  <c r="D15" i="2"/>
  <c r="AA786" i="1"/>
  <c r="Y786" i="1"/>
  <c r="AD786" i="1" s="1"/>
  <c r="W786" i="1"/>
  <c r="V786" i="1"/>
  <c r="X786" i="1" s="1"/>
  <c r="U786" i="1"/>
  <c r="T786" i="1"/>
  <c r="S786" i="1"/>
  <c r="R786" i="1"/>
  <c r="O786" i="1"/>
  <c r="Q786" i="1" s="1"/>
  <c r="N786" i="1"/>
  <c r="AD785" i="1"/>
  <c r="AA785" i="1"/>
  <c r="Z785" i="1"/>
  <c r="AB785" i="1" s="1"/>
  <c r="AC785" i="1" s="1"/>
  <c r="Y785" i="1"/>
  <c r="W785" i="1"/>
  <c r="V785" i="1"/>
  <c r="X785" i="1" s="1"/>
  <c r="U785" i="1"/>
  <c r="T785" i="1"/>
  <c r="S785" i="1"/>
  <c r="R785" i="1"/>
  <c r="P785" i="1"/>
  <c r="O785" i="1"/>
  <c r="Q785" i="1" s="1"/>
  <c r="N785" i="1"/>
  <c r="AA784" i="1"/>
  <c r="Y784" i="1"/>
  <c r="AD784" i="1" s="1"/>
  <c r="W784" i="1"/>
  <c r="X784" i="1" s="1"/>
  <c r="V784" i="1"/>
  <c r="U784" i="1"/>
  <c r="T784" i="1"/>
  <c r="S784" i="1"/>
  <c r="R784" i="1"/>
  <c r="O784" i="1"/>
  <c r="N784" i="1"/>
  <c r="AD783" i="1"/>
  <c r="AA783" i="1"/>
  <c r="Z783" i="1"/>
  <c r="AB783" i="1" s="1"/>
  <c r="AC783" i="1" s="1"/>
  <c r="Y783" i="1"/>
  <c r="X783" i="1"/>
  <c r="W783" i="1"/>
  <c r="V783" i="1"/>
  <c r="U783" i="1"/>
  <c r="T783" i="1"/>
  <c r="S783" i="1"/>
  <c r="R783" i="1"/>
  <c r="Q783" i="1"/>
  <c r="P783" i="1"/>
  <c r="O783" i="1"/>
  <c r="N783" i="1"/>
  <c r="AA782" i="1"/>
  <c r="Y782" i="1"/>
  <c r="W782" i="1"/>
  <c r="X782" i="1" s="1"/>
  <c r="V782" i="1"/>
  <c r="U782" i="1"/>
  <c r="T782" i="1"/>
  <c r="S782" i="1"/>
  <c r="R782" i="1"/>
  <c r="Q782" i="1"/>
  <c r="O782" i="1"/>
  <c r="P782" i="1" s="1"/>
  <c r="N782" i="1"/>
  <c r="AD781" i="1"/>
  <c r="AB781" i="1"/>
  <c r="AC781" i="1" s="1"/>
  <c r="AA781" i="1"/>
  <c r="Z781" i="1"/>
  <c r="Y781" i="1"/>
  <c r="W781" i="1"/>
  <c r="V781" i="1"/>
  <c r="X781" i="1" s="1"/>
  <c r="U781" i="1"/>
  <c r="T781" i="1"/>
  <c r="S781" i="1"/>
  <c r="R781" i="1"/>
  <c r="Q781" i="1"/>
  <c r="P781" i="1"/>
  <c r="O781" i="1"/>
  <c r="N781" i="1"/>
  <c r="AA780" i="1"/>
  <c r="Y780" i="1"/>
  <c r="Z780" i="1" s="1"/>
  <c r="AB780" i="1" s="1"/>
  <c r="AC780" i="1" s="1"/>
  <c r="W780" i="1"/>
  <c r="V780" i="1"/>
  <c r="X780" i="1" s="1"/>
  <c r="U780" i="1"/>
  <c r="T780" i="1"/>
  <c r="S780" i="1"/>
  <c r="R780" i="1"/>
  <c r="O780" i="1"/>
  <c r="N780" i="1"/>
  <c r="AD779" i="1"/>
  <c r="AB779" i="1"/>
  <c r="AC779" i="1" s="1"/>
  <c r="AA779" i="1"/>
  <c r="Z779" i="1"/>
  <c r="Y779" i="1"/>
  <c r="X779" i="1"/>
  <c r="W779" i="1"/>
  <c r="V779" i="1"/>
  <c r="U779" i="1"/>
  <c r="T779" i="1"/>
  <c r="S779" i="1"/>
  <c r="R779" i="1"/>
  <c r="P779" i="1"/>
  <c r="O779" i="1"/>
  <c r="Q779" i="1" s="1"/>
  <c r="N779" i="1"/>
  <c r="AA778" i="1"/>
  <c r="Y778" i="1"/>
  <c r="W778" i="1"/>
  <c r="X778" i="1" s="1"/>
  <c r="V778" i="1"/>
  <c r="U778" i="1"/>
  <c r="T778" i="1"/>
  <c r="S778" i="1"/>
  <c r="R778" i="1"/>
  <c r="O778" i="1"/>
  <c r="Q778" i="1" s="1"/>
  <c r="N778" i="1"/>
  <c r="AD777" i="1"/>
  <c r="AA777" i="1"/>
  <c r="Z777" i="1"/>
  <c r="AB777" i="1" s="1"/>
  <c r="AC777" i="1" s="1"/>
  <c r="Y777" i="1"/>
  <c r="X777" i="1"/>
  <c r="W777" i="1"/>
  <c r="V777" i="1"/>
  <c r="U777" i="1"/>
  <c r="T777" i="1"/>
  <c r="S777" i="1"/>
  <c r="R777" i="1"/>
  <c r="Q777" i="1"/>
  <c r="P777" i="1"/>
  <c r="O777" i="1"/>
  <c r="N777" i="1"/>
  <c r="AD776" i="1"/>
  <c r="AA776" i="1"/>
  <c r="Y776" i="1"/>
  <c r="Z776" i="1" s="1"/>
  <c r="AB776" i="1" s="1"/>
  <c r="AC776" i="1" s="1"/>
  <c r="W776" i="1"/>
  <c r="X776" i="1" s="1"/>
  <c r="V776" i="1"/>
  <c r="U776" i="1"/>
  <c r="T776" i="1"/>
  <c r="S776" i="1"/>
  <c r="R776" i="1"/>
  <c r="Q776" i="1"/>
  <c r="O776" i="1"/>
  <c r="P776" i="1" s="1"/>
  <c r="N776" i="1"/>
  <c r="AD775" i="1"/>
  <c r="AB775" i="1"/>
  <c r="AC775" i="1" s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AA774" i="1"/>
  <c r="Y774" i="1"/>
  <c r="AD774" i="1" s="1"/>
  <c r="W774" i="1"/>
  <c r="V774" i="1"/>
  <c r="X774" i="1" s="1"/>
  <c r="U774" i="1"/>
  <c r="T774" i="1"/>
  <c r="S774" i="1"/>
  <c r="R774" i="1"/>
  <c r="Q774" i="1"/>
  <c r="O774" i="1"/>
  <c r="P774" i="1" s="1"/>
  <c r="N774" i="1"/>
  <c r="AD773" i="1"/>
  <c r="AA773" i="1"/>
  <c r="Z773" i="1"/>
  <c r="AB773" i="1" s="1"/>
  <c r="AC773" i="1" s="1"/>
  <c r="Y773" i="1"/>
  <c r="W773" i="1"/>
  <c r="V773" i="1"/>
  <c r="X773" i="1" s="1"/>
  <c r="U773" i="1"/>
  <c r="T773" i="1"/>
  <c r="S773" i="1"/>
  <c r="R773" i="1"/>
  <c r="P773" i="1"/>
  <c r="O773" i="1"/>
  <c r="Q773" i="1" s="1"/>
  <c r="N773" i="1"/>
  <c r="AA772" i="1"/>
  <c r="Y772" i="1"/>
  <c r="AD772" i="1" s="1"/>
  <c r="W772" i="1"/>
  <c r="X772" i="1" s="1"/>
  <c r="V772" i="1"/>
  <c r="U772" i="1"/>
  <c r="T772" i="1"/>
  <c r="S772" i="1"/>
  <c r="R772" i="1"/>
  <c r="O772" i="1"/>
  <c r="N772" i="1"/>
  <c r="AD771" i="1"/>
  <c r="AA771" i="1"/>
  <c r="Z771" i="1"/>
  <c r="AB771" i="1" s="1"/>
  <c r="AC771" i="1" s="1"/>
  <c r="Y771" i="1"/>
  <c r="X771" i="1"/>
  <c r="W771" i="1"/>
  <c r="V771" i="1"/>
  <c r="U771" i="1"/>
  <c r="T771" i="1"/>
  <c r="S771" i="1"/>
  <c r="R771" i="1"/>
  <c r="Q771" i="1"/>
  <c r="P771" i="1"/>
  <c r="O771" i="1"/>
  <c r="N771" i="1"/>
  <c r="AA770" i="1"/>
  <c r="Y770" i="1"/>
  <c r="W770" i="1"/>
  <c r="X770" i="1" s="1"/>
  <c r="V770" i="1"/>
  <c r="U770" i="1"/>
  <c r="T770" i="1"/>
  <c r="S770" i="1"/>
  <c r="R770" i="1"/>
  <c r="Q770" i="1"/>
  <c r="O770" i="1"/>
  <c r="P770" i="1" s="1"/>
  <c r="N770" i="1"/>
  <c r="AD769" i="1"/>
  <c r="AB769" i="1"/>
  <c r="AC769" i="1" s="1"/>
  <c r="AA769" i="1"/>
  <c r="Z769" i="1"/>
  <c r="Y769" i="1"/>
  <c r="W769" i="1"/>
  <c r="V769" i="1"/>
  <c r="X769" i="1" s="1"/>
  <c r="U769" i="1"/>
  <c r="T769" i="1"/>
  <c r="S769" i="1"/>
  <c r="R769" i="1"/>
  <c r="Q769" i="1"/>
  <c r="P769" i="1"/>
  <c r="O769" i="1"/>
  <c r="N769" i="1"/>
  <c r="AA768" i="1"/>
  <c r="Y768" i="1"/>
  <c r="Z768" i="1" s="1"/>
  <c r="AB768" i="1" s="1"/>
  <c r="AC768" i="1" s="1"/>
  <c r="W768" i="1"/>
  <c r="V768" i="1"/>
  <c r="U768" i="1"/>
  <c r="T768" i="1"/>
  <c r="S768" i="1"/>
  <c r="R768" i="1"/>
  <c r="O768" i="1"/>
  <c r="N768" i="1"/>
  <c r="AD767" i="1"/>
  <c r="AB767" i="1"/>
  <c r="AC767" i="1" s="1"/>
  <c r="AA767" i="1"/>
  <c r="Z767" i="1"/>
  <c r="Y767" i="1"/>
  <c r="W767" i="1"/>
  <c r="V767" i="1"/>
  <c r="X767" i="1" s="1"/>
  <c r="U767" i="1"/>
  <c r="T767" i="1"/>
  <c r="S767" i="1"/>
  <c r="R767" i="1"/>
  <c r="P767" i="1"/>
  <c r="O767" i="1"/>
  <c r="Q767" i="1" s="1"/>
  <c r="N767" i="1"/>
  <c r="AA766" i="1"/>
  <c r="Y766" i="1"/>
  <c r="W766" i="1"/>
  <c r="X766" i="1" s="1"/>
  <c r="V766" i="1"/>
  <c r="U766" i="1"/>
  <c r="T766" i="1"/>
  <c r="S766" i="1"/>
  <c r="R766" i="1"/>
  <c r="O766" i="1"/>
  <c r="Q766" i="1" s="1"/>
  <c r="N766" i="1"/>
  <c r="AD765" i="1"/>
  <c r="AA765" i="1"/>
  <c r="Z765" i="1"/>
  <c r="AB765" i="1" s="1"/>
  <c r="AC765" i="1" s="1"/>
  <c r="Y765" i="1"/>
  <c r="X765" i="1"/>
  <c r="W765" i="1"/>
  <c r="V765" i="1"/>
  <c r="U765" i="1"/>
  <c r="T765" i="1"/>
  <c r="S765" i="1"/>
  <c r="R765" i="1"/>
  <c r="Q765" i="1"/>
  <c r="P765" i="1"/>
  <c r="O765" i="1"/>
  <c r="N765" i="1"/>
  <c r="AD764" i="1"/>
  <c r="AA764" i="1"/>
  <c r="Y764" i="1"/>
  <c r="Z764" i="1" s="1"/>
  <c r="AB764" i="1" s="1"/>
  <c r="AC764" i="1" s="1"/>
  <c r="W764" i="1"/>
  <c r="X764" i="1" s="1"/>
  <c r="V764" i="1"/>
  <c r="U764" i="1"/>
  <c r="T764" i="1"/>
  <c r="S764" i="1"/>
  <c r="R764" i="1"/>
  <c r="Q764" i="1"/>
  <c r="O764" i="1"/>
  <c r="P764" i="1" s="1"/>
  <c r="N764" i="1"/>
  <c r="AD763" i="1"/>
  <c r="AB763" i="1"/>
  <c r="AC763" i="1" s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AA762" i="1"/>
  <c r="Y762" i="1"/>
  <c r="AD762" i="1" s="1"/>
  <c r="W762" i="1"/>
  <c r="V762" i="1"/>
  <c r="X762" i="1" s="1"/>
  <c r="U762" i="1"/>
  <c r="T762" i="1"/>
  <c r="S762" i="1"/>
  <c r="R762" i="1"/>
  <c r="Q762" i="1"/>
  <c r="O762" i="1"/>
  <c r="P762" i="1" s="1"/>
  <c r="N762" i="1"/>
  <c r="AD761" i="1"/>
  <c r="AA761" i="1"/>
  <c r="Z761" i="1"/>
  <c r="AB761" i="1" s="1"/>
  <c r="AC761" i="1" s="1"/>
  <c r="Y761" i="1"/>
  <c r="W761" i="1"/>
  <c r="V761" i="1"/>
  <c r="X761" i="1" s="1"/>
  <c r="U761" i="1"/>
  <c r="T761" i="1"/>
  <c r="S761" i="1"/>
  <c r="R761" i="1"/>
  <c r="P761" i="1"/>
  <c r="O761" i="1"/>
  <c r="Q761" i="1" s="1"/>
  <c r="N761" i="1"/>
  <c r="AA760" i="1"/>
  <c r="Y760" i="1"/>
  <c r="AD760" i="1" s="1"/>
  <c r="W760" i="1"/>
  <c r="X760" i="1" s="1"/>
  <c r="V760" i="1"/>
  <c r="U760" i="1"/>
  <c r="T760" i="1"/>
  <c r="S760" i="1"/>
  <c r="R760" i="1"/>
  <c r="O760" i="1"/>
  <c r="N760" i="1"/>
  <c r="AD759" i="1"/>
  <c r="AA759" i="1"/>
  <c r="Z759" i="1"/>
  <c r="AB759" i="1" s="1"/>
  <c r="AC759" i="1" s="1"/>
  <c r="Y759" i="1"/>
  <c r="X759" i="1"/>
  <c r="W759" i="1"/>
  <c r="V759" i="1"/>
  <c r="U759" i="1"/>
  <c r="T759" i="1"/>
  <c r="S759" i="1"/>
  <c r="R759" i="1"/>
  <c r="Q759" i="1"/>
  <c r="P759" i="1"/>
  <c r="O759" i="1"/>
  <c r="N759" i="1"/>
  <c r="AA758" i="1"/>
  <c r="Y758" i="1"/>
  <c r="W758" i="1"/>
  <c r="X758" i="1" s="1"/>
  <c r="V758" i="1"/>
  <c r="U758" i="1"/>
  <c r="T758" i="1"/>
  <c r="S758" i="1"/>
  <c r="R758" i="1"/>
  <c r="Q758" i="1"/>
  <c r="O758" i="1"/>
  <c r="P758" i="1" s="1"/>
  <c r="N758" i="1"/>
  <c r="AD757" i="1"/>
  <c r="AB757" i="1"/>
  <c r="AC757" i="1" s="1"/>
  <c r="AA757" i="1"/>
  <c r="Z757" i="1"/>
  <c r="Y757" i="1"/>
  <c r="W757" i="1"/>
  <c r="V757" i="1"/>
  <c r="X757" i="1" s="1"/>
  <c r="U757" i="1"/>
  <c r="T757" i="1"/>
  <c r="S757" i="1"/>
  <c r="R757" i="1"/>
  <c r="Q757" i="1"/>
  <c r="P757" i="1"/>
  <c r="O757" i="1"/>
  <c r="N757" i="1"/>
  <c r="AA756" i="1"/>
  <c r="Y756" i="1"/>
  <c r="Z756" i="1" s="1"/>
  <c r="AB756" i="1" s="1"/>
  <c r="AC756" i="1" s="1"/>
  <c r="W756" i="1"/>
  <c r="V756" i="1"/>
  <c r="X756" i="1" s="1"/>
  <c r="U756" i="1"/>
  <c r="T756" i="1"/>
  <c r="S756" i="1"/>
  <c r="R756" i="1"/>
  <c r="O756" i="1"/>
  <c r="N756" i="1"/>
  <c r="AD755" i="1"/>
  <c r="AB755" i="1"/>
  <c r="AC755" i="1" s="1"/>
  <c r="AA755" i="1"/>
  <c r="Z755" i="1"/>
  <c r="Y755" i="1"/>
  <c r="X755" i="1"/>
  <c r="W755" i="1"/>
  <c r="V755" i="1"/>
  <c r="U755" i="1"/>
  <c r="T755" i="1"/>
  <c r="S755" i="1"/>
  <c r="R755" i="1"/>
  <c r="P755" i="1"/>
  <c r="O755" i="1"/>
  <c r="Q755" i="1" s="1"/>
  <c r="N755" i="1"/>
  <c r="AA754" i="1"/>
  <c r="Y754" i="1"/>
  <c r="W754" i="1"/>
  <c r="X754" i="1" s="1"/>
  <c r="V754" i="1"/>
  <c r="U754" i="1"/>
  <c r="T754" i="1"/>
  <c r="S754" i="1"/>
  <c r="R754" i="1"/>
  <c r="Q754" i="1"/>
  <c r="O754" i="1"/>
  <c r="P754" i="1" s="1"/>
  <c r="N754" i="1"/>
  <c r="AD753" i="1"/>
  <c r="AA753" i="1"/>
  <c r="Z753" i="1"/>
  <c r="AB753" i="1" s="1"/>
  <c r="AC753" i="1" s="1"/>
  <c r="Y753" i="1"/>
  <c r="X753" i="1"/>
  <c r="W753" i="1"/>
  <c r="V753" i="1"/>
  <c r="U753" i="1"/>
  <c r="T753" i="1"/>
  <c r="S753" i="1"/>
  <c r="R753" i="1"/>
  <c r="Q753" i="1"/>
  <c r="P753" i="1"/>
  <c r="O753" i="1"/>
  <c r="N753" i="1"/>
  <c r="AD752" i="1"/>
  <c r="AA752" i="1"/>
  <c r="Y752" i="1"/>
  <c r="Z752" i="1" s="1"/>
  <c r="AB752" i="1" s="1"/>
  <c r="AC752" i="1" s="1"/>
  <c r="W752" i="1"/>
  <c r="X752" i="1" s="1"/>
  <c r="V752" i="1"/>
  <c r="U752" i="1"/>
  <c r="T752" i="1"/>
  <c r="S752" i="1"/>
  <c r="R752" i="1"/>
  <c r="Q752" i="1"/>
  <c r="O752" i="1"/>
  <c r="P752" i="1" s="1"/>
  <c r="N752" i="1"/>
  <c r="AD751" i="1"/>
  <c r="AB751" i="1"/>
  <c r="AC751" i="1" s="1"/>
  <c r="AA751" i="1"/>
  <c r="Z751" i="1"/>
  <c r="Y751" i="1"/>
  <c r="X751" i="1"/>
  <c r="W751" i="1"/>
  <c r="V751" i="1"/>
  <c r="U751" i="1"/>
  <c r="T751" i="1"/>
  <c r="S751" i="1"/>
  <c r="R751" i="1"/>
  <c r="P751" i="1"/>
  <c r="O751" i="1"/>
  <c r="Q751" i="1" s="1"/>
  <c r="N751" i="1"/>
  <c r="AA750" i="1"/>
  <c r="Y750" i="1"/>
  <c r="AD750" i="1" s="1"/>
  <c r="W750" i="1"/>
  <c r="V750" i="1"/>
  <c r="X750" i="1" s="1"/>
  <c r="U750" i="1"/>
  <c r="T750" i="1"/>
  <c r="S750" i="1"/>
  <c r="R750" i="1"/>
  <c r="Q750" i="1"/>
  <c r="O750" i="1"/>
  <c r="P750" i="1" s="1"/>
  <c r="N750" i="1"/>
  <c r="AD749" i="1"/>
  <c r="AA749" i="1"/>
  <c r="Z749" i="1"/>
  <c r="AB749" i="1" s="1"/>
  <c r="AC749" i="1" s="1"/>
  <c r="Y749" i="1"/>
  <c r="W749" i="1"/>
  <c r="V749" i="1"/>
  <c r="X749" i="1" s="1"/>
  <c r="U749" i="1"/>
  <c r="T749" i="1"/>
  <c r="S749" i="1"/>
  <c r="R749" i="1"/>
  <c r="P749" i="1"/>
  <c r="O749" i="1"/>
  <c r="Q749" i="1" s="1"/>
  <c r="N749" i="1"/>
  <c r="AA748" i="1"/>
  <c r="Y748" i="1"/>
  <c r="AD748" i="1" s="1"/>
  <c r="W748" i="1"/>
  <c r="X748" i="1" s="1"/>
  <c r="V748" i="1"/>
  <c r="U748" i="1"/>
  <c r="T748" i="1"/>
  <c r="S748" i="1"/>
  <c r="R748" i="1"/>
  <c r="O748" i="1"/>
  <c r="N748" i="1"/>
  <c r="AD747" i="1"/>
  <c r="AB747" i="1"/>
  <c r="AC747" i="1" s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AA746" i="1"/>
  <c r="Y746" i="1"/>
  <c r="W746" i="1"/>
  <c r="X746" i="1" s="1"/>
  <c r="V746" i="1"/>
  <c r="U746" i="1"/>
  <c r="T746" i="1"/>
  <c r="S746" i="1"/>
  <c r="R746" i="1"/>
  <c r="Q746" i="1"/>
  <c r="O746" i="1"/>
  <c r="P746" i="1" s="1"/>
  <c r="N746" i="1"/>
  <c r="AD745" i="1"/>
  <c r="AB745" i="1"/>
  <c r="AC745" i="1" s="1"/>
  <c r="AA745" i="1"/>
  <c r="Z745" i="1"/>
  <c r="Y745" i="1"/>
  <c r="W745" i="1"/>
  <c r="V745" i="1"/>
  <c r="X745" i="1" s="1"/>
  <c r="U745" i="1"/>
  <c r="T745" i="1"/>
  <c r="S745" i="1"/>
  <c r="R745" i="1"/>
  <c r="Q745" i="1"/>
  <c r="P745" i="1"/>
  <c r="O745" i="1"/>
  <c r="N745" i="1"/>
  <c r="AA744" i="1"/>
  <c r="Y744" i="1"/>
  <c r="Z744" i="1" s="1"/>
  <c r="AB744" i="1" s="1"/>
  <c r="AC744" i="1" s="1"/>
  <c r="W744" i="1"/>
  <c r="V744" i="1"/>
  <c r="X744" i="1" s="1"/>
  <c r="U744" i="1"/>
  <c r="T744" i="1"/>
  <c r="S744" i="1"/>
  <c r="R744" i="1"/>
  <c r="O744" i="1"/>
  <c r="N744" i="1"/>
  <c r="AD743" i="1"/>
  <c r="AB743" i="1"/>
  <c r="AC743" i="1" s="1"/>
  <c r="AA743" i="1"/>
  <c r="Z743" i="1"/>
  <c r="Y743" i="1"/>
  <c r="X743" i="1"/>
  <c r="W743" i="1"/>
  <c r="V743" i="1"/>
  <c r="U743" i="1"/>
  <c r="T743" i="1"/>
  <c r="S743" i="1"/>
  <c r="R743" i="1"/>
  <c r="P743" i="1"/>
  <c r="O743" i="1"/>
  <c r="Q743" i="1" s="1"/>
  <c r="N743" i="1"/>
  <c r="AA742" i="1"/>
  <c r="Y742" i="1"/>
  <c r="W742" i="1"/>
  <c r="X742" i="1" s="1"/>
  <c r="V742" i="1"/>
  <c r="U742" i="1"/>
  <c r="T742" i="1"/>
  <c r="S742" i="1"/>
  <c r="R742" i="1"/>
  <c r="Q742" i="1"/>
  <c r="O742" i="1"/>
  <c r="P742" i="1" s="1"/>
  <c r="N742" i="1"/>
  <c r="AD741" i="1"/>
  <c r="AA741" i="1"/>
  <c r="Z741" i="1"/>
  <c r="AB741" i="1" s="1"/>
  <c r="AC741" i="1" s="1"/>
  <c r="Y741" i="1"/>
  <c r="X741" i="1"/>
  <c r="W741" i="1"/>
  <c r="V741" i="1"/>
  <c r="U741" i="1"/>
  <c r="T741" i="1"/>
  <c r="S741" i="1"/>
  <c r="R741" i="1"/>
  <c r="Q741" i="1"/>
  <c r="P741" i="1"/>
  <c r="O741" i="1"/>
  <c r="N741" i="1"/>
  <c r="AD740" i="1"/>
  <c r="AA740" i="1"/>
  <c r="Y740" i="1"/>
  <c r="Z740" i="1" s="1"/>
  <c r="AB740" i="1" s="1"/>
  <c r="AC740" i="1" s="1"/>
  <c r="W740" i="1"/>
  <c r="V740" i="1"/>
  <c r="U740" i="1"/>
  <c r="T740" i="1"/>
  <c r="S740" i="1"/>
  <c r="R740" i="1"/>
  <c r="Q740" i="1"/>
  <c r="O740" i="1"/>
  <c r="P740" i="1" s="1"/>
  <c r="N740" i="1"/>
  <c r="AD739" i="1"/>
  <c r="AB739" i="1"/>
  <c r="AC739" i="1" s="1"/>
  <c r="AA739" i="1"/>
  <c r="Z739" i="1"/>
  <c r="Y739" i="1"/>
  <c r="X739" i="1"/>
  <c r="W739" i="1"/>
  <c r="V739" i="1"/>
  <c r="U739" i="1"/>
  <c r="T739" i="1"/>
  <c r="S739" i="1"/>
  <c r="R739" i="1"/>
  <c r="P739" i="1"/>
  <c r="O739" i="1"/>
  <c r="Q739" i="1" s="1"/>
  <c r="N739" i="1"/>
  <c r="AA738" i="1"/>
  <c r="Y738" i="1"/>
  <c r="AD738" i="1" s="1"/>
  <c r="W738" i="1"/>
  <c r="X738" i="1" s="1"/>
  <c r="V738" i="1"/>
  <c r="U738" i="1"/>
  <c r="T738" i="1"/>
  <c r="S738" i="1"/>
  <c r="R738" i="1"/>
  <c r="Q738" i="1"/>
  <c r="O738" i="1"/>
  <c r="P738" i="1" s="1"/>
  <c r="N738" i="1"/>
  <c r="AD737" i="1"/>
  <c r="AA737" i="1"/>
  <c r="Z737" i="1"/>
  <c r="AB737" i="1" s="1"/>
  <c r="AC737" i="1" s="1"/>
  <c r="Y737" i="1"/>
  <c r="W737" i="1"/>
  <c r="V737" i="1"/>
  <c r="X737" i="1" s="1"/>
  <c r="U737" i="1"/>
  <c r="T737" i="1"/>
  <c r="S737" i="1"/>
  <c r="R737" i="1"/>
  <c r="Q737" i="1"/>
  <c r="P737" i="1"/>
  <c r="O737" i="1"/>
  <c r="N737" i="1"/>
  <c r="AA736" i="1"/>
  <c r="Y736" i="1"/>
  <c r="AD736" i="1" s="1"/>
  <c r="W736" i="1"/>
  <c r="V736" i="1"/>
  <c r="X736" i="1" s="1"/>
  <c r="U736" i="1"/>
  <c r="T736" i="1"/>
  <c r="S736" i="1"/>
  <c r="R736" i="1"/>
  <c r="O736" i="1"/>
  <c r="N736" i="1"/>
  <c r="AD735" i="1"/>
  <c r="AB735" i="1"/>
  <c r="AC735" i="1" s="1"/>
  <c r="AA735" i="1"/>
  <c r="Z735" i="1"/>
  <c r="Y735" i="1"/>
  <c r="X735" i="1"/>
  <c r="W735" i="1"/>
  <c r="V735" i="1"/>
  <c r="U735" i="1"/>
  <c r="T735" i="1"/>
  <c r="S735" i="1"/>
  <c r="R735" i="1"/>
  <c r="P735" i="1"/>
  <c r="O735" i="1"/>
  <c r="Q735" i="1" s="1"/>
  <c r="N735" i="1"/>
  <c r="AA734" i="1"/>
  <c r="Y734" i="1"/>
  <c r="W734" i="1"/>
  <c r="X734" i="1" s="1"/>
  <c r="V734" i="1"/>
  <c r="U734" i="1"/>
  <c r="T734" i="1"/>
  <c r="S734" i="1"/>
  <c r="R734" i="1"/>
  <c r="Q734" i="1"/>
  <c r="O734" i="1"/>
  <c r="P734" i="1" s="1"/>
  <c r="N734" i="1"/>
  <c r="AD733" i="1"/>
  <c r="AB733" i="1"/>
  <c r="AC733" i="1" s="1"/>
  <c r="AA733" i="1"/>
  <c r="Z733" i="1"/>
  <c r="Y733" i="1"/>
  <c r="W733" i="1"/>
  <c r="V733" i="1"/>
  <c r="X733" i="1" s="1"/>
  <c r="U733" i="1"/>
  <c r="T733" i="1"/>
  <c r="S733" i="1"/>
  <c r="R733" i="1"/>
  <c r="Q733" i="1"/>
  <c r="P733" i="1"/>
  <c r="O733" i="1"/>
  <c r="N733" i="1"/>
  <c r="AA732" i="1"/>
  <c r="Y732" i="1"/>
  <c r="Z732" i="1" s="1"/>
  <c r="AB732" i="1" s="1"/>
  <c r="AC732" i="1" s="1"/>
  <c r="W732" i="1"/>
  <c r="V732" i="1"/>
  <c r="X732" i="1" s="1"/>
  <c r="U732" i="1"/>
  <c r="T732" i="1"/>
  <c r="S732" i="1"/>
  <c r="R732" i="1"/>
  <c r="O732" i="1"/>
  <c r="N732" i="1"/>
  <c r="AD731" i="1"/>
  <c r="AB731" i="1"/>
  <c r="AC731" i="1" s="1"/>
  <c r="AA731" i="1"/>
  <c r="Z731" i="1"/>
  <c r="Y731" i="1"/>
  <c r="X731" i="1"/>
  <c r="W731" i="1"/>
  <c r="V731" i="1"/>
  <c r="U731" i="1"/>
  <c r="T731" i="1"/>
  <c r="S731" i="1"/>
  <c r="R731" i="1"/>
  <c r="P731" i="1"/>
  <c r="O731" i="1"/>
  <c r="Q731" i="1" s="1"/>
  <c r="N731" i="1"/>
  <c r="AA730" i="1"/>
  <c r="Y730" i="1"/>
  <c r="W730" i="1"/>
  <c r="X730" i="1" s="1"/>
  <c r="V730" i="1"/>
  <c r="U730" i="1"/>
  <c r="T730" i="1"/>
  <c r="S730" i="1"/>
  <c r="R730" i="1"/>
  <c r="Q730" i="1"/>
  <c r="O730" i="1"/>
  <c r="P730" i="1" s="1"/>
  <c r="N730" i="1"/>
  <c r="AD729" i="1"/>
  <c r="AA729" i="1"/>
  <c r="Z729" i="1"/>
  <c r="AB729" i="1" s="1"/>
  <c r="AC729" i="1" s="1"/>
  <c r="Y729" i="1"/>
  <c r="X729" i="1"/>
  <c r="W729" i="1"/>
  <c r="V729" i="1"/>
  <c r="U729" i="1"/>
  <c r="T729" i="1"/>
  <c r="S729" i="1"/>
  <c r="R729" i="1"/>
  <c r="Q729" i="1"/>
  <c r="P729" i="1"/>
  <c r="O729" i="1"/>
  <c r="N729" i="1"/>
  <c r="AD728" i="1"/>
  <c r="AA728" i="1"/>
  <c r="Y728" i="1"/>
  <c r="Z728" i="1" s="1"/>
  <c r="AB728" i="1" s="1"/>
  <c r="AC728" i="1" s="1"/>
  <c r="W728" i="1"/>
  <c r="V728" i="1"/>
  <c r="U728" i="1"/>
  <c r="T728" i="1"/>
  <c r="S728" i="1"/>
  <c r="R728" i="1"/>
  <c r="Q728" i="1"/>
  <c r="O728" i="1"/>
  <c r="P728" i="1" s="1"/>
  <c r="N728" i="1"/>
  <c r="AD727" i="1"/>
  <c r="AB727" i="1"/>
  <c r="AC727" i="1" s="1"/>
  <c r="AA727" i="1"/>
  <c r="Z727" i="1"/>
  <c r="Y727" i="1"/>
  <c r="X727" i="1"/>
  <c r="W727" i="1"/>
  <c r="V727" i="1"/>
  <c r="U727" i="1"/>
  <c r="T727" i="1"/>
  <c r="S727" i="1"/>
  <c r="R727" i="1"/>
  <c r="P727" i="1"/>
  <c r="O727" i="1"/>
  <c r="Q727" i="1" s="1"/>
  <c r="N727" i="1"/>
  <c r="AA726" i="1"/>
  <c r="Y726" i="1"/>
  <c r="AD726" i="1" s="1"/>
  <c r="W726" i="1"/>
  <c r="X726" i="1" s="1"/>
  <c r="V726" i="1"/>
  <c r="U726" i="1"/>
  <c r="T726" i="1"/>
  <c r="S726" i="1"/>
  <c r="R726" i="1"/>
  <c r="Q726" i="1"/>
  <c r="O726" i="1"/>
  <c r="P726" i="1" s="1"/>
  <c r="N726" i="1"/>
  <c r="AD725" i="1"/>
  <c r="AA725" i="1"/>
  <c r="Z725" i="1"/>
  <c r="AB725" i="1" s="1"/>
  <c r="AC725" i="1" s="1"/>
  <c r="Y725" i="1"/>
  <c r="W725" i="1"/>
  <c r="V725" i="1"/>
  <c r="X725" i="1" s="1"/>
  <c r="U725" i="1"/>
  <c r="T725" i="1"/>
  <c r="S725" i="1"/>
  <c r="R725" i="1"/>
  <c r="Q725" i="1"/>
  <c r="P725" i="1"/>
  <c r="O725" i="1"/>
  <c r="N725" i="1"/>
  <c r="AA724" i="1"/>
  <c r="Y724" i="1"/>
  <c r="AD724" i="1" s="1"/>
  <c r="W724" i="1"/>
  <c r="X724" i="1" s="1"/>
  <c r="V724" i="1"/>
  <c r="U724" i="1"/>
  <c r="T724" i="1"/>
  <c r="S724" i="1"/>
  <c r="R724" i="1"/>
  <c r="O724" i="1"/>
  <c r="N724" i="1"/>
  <c r="AD723" i="1"/>
  <c r="AB723" i="1"/>
  <c r="AC723" i="1" s="1"/>
  <c r="AA723" i="1"/>
  <c r="Z723" i="1"/>
  <c r="Y723" i="1"/>
  <c r="X723" i="1"/>
  <c r="W723" i="1"/>
  <c r="V723" i="1"/>
  <c r="U723" i="1"/>
  <c r="T723" i="1"/>
  <c r="S723" i="1"/>
  <c r="R723" i="1"/>
  <c r="P723" i="1"/>
  <c r="O723" i="1"/>
  <c r="Q723" i="1" s="1"/>
  <c r="N723" i="1"/>
  <c r="AA722" i="1"/>
  <c r="Y722" i="1"/>
  <c r="W722" i="1"/>
  <c r="X722" i="1" s="1"/>
  <c r="V722" i="1"/>
  <c r="U722" i="1"/>
  <c r="T722" i="1"/>
  <c r="S722" i="1"/>
  <c r="R722" i="1"/>
  <c r="Q722" i="1"/>
  <c r="O722" i="1"/>
  <c r="P722" i="1" s="1"/>
  <c r="N722" i="1"/>
  <c r="AD721" i="1"/>
  <c r="AB721" i="1"/>
  <c r="AC721" i="1" s="1"/>
  <c r="AA721" i="1"/>
  <c r="Z721" i="1"/>
  <c r="Y721" i="1"/>
  <c r="W721" i="1"/>
  <c r="V721" i="1"/>
  <c r="X721" i="1" s="1"/>
  <c r="U721" i="1"/>
  <c r="T721" i="1"/>
  <c r="S721" i="1"/>
  <c r="R721" i="1"/>
  <c r="Q721" i="1"/>
  <c r="P721" i="1"/>
  <c r="O721" i="1"/>
  <c r="N721" i="1"/>
  <c r="AA720" i="1"/>
  <c r="Y720" i="1"/>
  <c r="Z720" i="1" s="1"/>
  <c r="AB720" i="1" s="1"/>
  <c r="AC720" i="1" s="1"/>
  <c r="W720" i="1"/>
  <c r="V720" i="1"/>
  <c r="X720" i="1" s="1"/>
  <c r="U720" i="1"/>
  <c r="T720" i="1"/>
  <c r="S720" i="1"/>
  <c r="R720" i="1"/>
  <c r="O720" i="1"/>
  <c r="N720" i="1"/>
  <c r="AD719" i="1"/>
  <c r="AB719" i="1"/>
  <c r="AC719" i="1" s="1"/>
  <c r="AA719" i="1"/>
  <c r="Z719" i="1"/>
  <c r="Y719" i="1"/>
  <c r="X719" i="1"/>
  <c r="W719" i="1"/>
  <c r="V719" i="1"/>
  <c r="U719" i="1"/>
  <c r="T719" i="1"/>
  <c r="S719" i="1"/>
  <c r="R719" i="1"/>
  <c r="P719" i="1"/>
  <c r="O719" i="1"/>
  <c r="Q719" i="1" s="1"/>
  <c r="N719" i="1"/>
  <c r="AA718" i="1"/>
  <c r="Y718" i="1"/>
  <c r="W718" i="1"/>
  <c r="X718" i="1" s="1"/>
  <c r="V718" i="1"/>
  <c r="U718" i="1"/>
  <c r="T718" i="1"/>
  <c r="S718" i="1"/>
  <c r="R718" i="1"/>
  <c r="Q718" i="1"/>
  <c r="O718" i="1"/>
  <c r="P718" i="1" s="1"/>
  <c r="N718" i="1"/>
  <c r="AD717" i="1"/>
  <c r="AA717" i="1"/>
  <c r="Z717" i="1"/>
  <c r="AB717" i="1" s="1"/>
  <c r="AC717" i="1" s="1"/>
  <c r="Y717" i="1"/>
  <c r="X717" i="1"/>
  <c r="W717" i="1"/>
  <c r="V717" i="1"/>
  <c r="U717" i="1"/>
  <c r="T717" i="1"/>
  <c r="S717" i="1"/>
  <c r="R717" i="1"/>
  <c r="Q717" i="1"/>
  <c r="P717" i="1"/>
  <c r="O717" i="1"/>
  <c r="N717" i="1"/>
  <c r="AD716" i="1"/>
  <c r="AC716" i="1"/>
  <c r="AA716" i="1"/>
  <c r="Y716" i="1"/>
  <c r="Z716" i="1" s="1"/>
  <c r="AB716" i="1" s="1"/>
  <c r="W716" i="1"/>
  <c r="V716" i="1"/>
  <c r="U716" i="1"/>
  <c r="T716" i="1"/>
  <c r="S716" i="1"/>
  <c r="R716" i="1"/>
  <c r="Q716" i="1"/>
  <c r="O716" i="1"/>
  <c r="P716" i="1" s="1"/>
  <c r="N716" i="1"/>
  <c r="AD715" i="1"/>
  <c r="AB715" i="1"/>
  <c r="AC715" i="1" s="1"/>
  <c r="AA715" i="1"/>
  <c r="Z715" i="1"/>
  <c r="Y715" i="1"/>
  <c r="W715" i="1"/>
  <c r="V715" i="1"/>
  <c r="X715" i="1" s="1"/>
  <c r="U715" i="1"/>
  <c r="T715" i="1"/>
  <c r="S715" i="1"/>
  <c r="R715" i="1"/>
  <c r="P715" i="1"/>
  <c r="O715" i="1"/>
  <c r="Q715" i="1" s="1"/>
  <c r="N715" i="1"/>
  <c r="AA714" i="1"/>
  <c r="Y714" i="1"/>
  <c r="AD714" i="1" s="1"/>
  <c r="W714" i="1"/>
  <c r="X714" i="1" s="1"/>
  <c r="V714" i="1"/>
  <c r="U714" i="1"/>
  <c r="T714" i="1"/>
  <c r="S714" i="1"/>
  <c r="R714" i="1"/>
  <c r="Q714" i="1"/>
  <c r="O714" i="1"/>
  <c r="P714" i="1" s="1"/>
  <c r="N714" i="1"/>
  <c r="AD713" i="1"/>
  <c r="AA713" i="1"/>
  <c r="Z713" i="1"/>
  <c r="AB713" i="1" s="1"/>
  <c r="AC713" i="1" s="1"/>
  <c r="Y713" i="1"/>
  <c r="W713" i="1"/>
  <c r="V713" i="1"/>
  <c r="X713" i="1" s="1"/>
  <c r="U713" i="1"/>
  <c r="T713" i="1"/>
  <c r="S713" i="1"/>
  <c r="R713" i="1"/>
  <c r="Q713" i="1"/>
  <c r="P713" i="1"/>
  <c r="O713" i="1"/>
  <c r="N713" i="1"/>
  <c r="AA712" i="1"/>
  <c r="Y712" i="1"/>
  <c r="W712" i="1"/>
  <c r="X712" i="1" s="1"/>
  <c r="V712" i="1"/>
  <c r="U712" i="1"/>
  <c r="T712" i="1"/>
  <c r="S712" i="1"/>
  <c r="R712" i="1"/>
  <c r="O712" i="1"/>
  <c r="N712" i="1"/>
  <c r="AD711" i="1"/>
  <c r="AB711" i="1"/>
  <c r="AC711" i="1" s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AA710" i="1"/>
  <c r="Y710" i="1"/>
  <c r="W710" i="1"/>
  <c r="X710" i="1" s="1"/>
  <c r="V710" i="1"/>
  <c r="U710" i="1"/>
  <c r="T710" i="1"/>
  <c r="S710" i="1"/>
  <c r="R710" i="1"/>
  <c r="Q710" i="1"/>
  <c r="O710" i="1"/>
  <c r="P710" i="1" s="1"/>
  <c r="N710" i="1"/>
  <c r="AD709" i="1"/>
  <c r="AB709" i="1"/>
  <c r="AC709" i="1" s="1"/>
  <c r="AA709" i="1"/>
  <c r="Z709" i="1"/>
  <c r="Y709" i="1"/>
  <c r="W709" i="1"/>
  <c r="V709" i="1"/>
  <c r="X709" i="1" s="1"/>
  <c r="U709" i="1"/>
  <c r="T709" i="1"/>
  <c r="S709" i="1"/>
  <c r="R709" i="1"/>
  <c r="Q709" i="1"/>
  <c r="P709" i="1"/>
  <c r="O709" i="1"/>
  <c r="N709" i="1"/>
  <c r="AA708" i="1"/>
  <c r="Y708" i="1"/>
  <c r="Z708" i="1" s="1"/>
  <c r="AB708" i="1" s="1"/>
  <c r="AC708" i="1" s="1"/>
  <c r="W708" i="1"/>
  <c r="V708" i="1"/>
  <c r="U708" i="1"/>
  <c r="T708" i="1"/>
  <c r="S708" i="1"/>
  <c r="R708" i="1"/>
  <c r="O708" i="1"/>
  <c r="N708" i="1"/>
  <c r="AD707" i="1"/>
  <c r="AA707" i="1"/>
  <c r="Z707" i="1"/>
  <c r="AB707" i="1" s="1"/>
  <c r="AC707" i="1" s="1"/>
  <c r="Y707" i="1"/>
  <c r="X707" i="1"/>
  <c r="W707" i="1"/>
  <c r="V707" i="1"/>
  <c r="U707" i="1"/>
  <c r="T707" i="1"/>
  <c r="S707" i="1"/>
  <c r="R707" i="1"/>
  <c r="P707" i="1"/>
  <c r="O707" i="1"/>
  <c r="Q707" i="1" s="1"/>
  <c r="N707" i="1"/>
  <c r="AA706" i="1"/>
  <c r="Y706" i="1"/>
  <c r="W706" i="1"/>
  <c r="X706" i="1" s="1"/>
  <c r="V706" i="1"/>
  <c r="U706" i="1"/>
  <c r="T706" i="1"/>
  <c r="S706" i="1"/>
  <c r="R706" i="1"/>
  <c r="Q706" i="1"/>
  <c r="O706" i="1"/>
  <c r="P706" i="1" s="1"/>
  <c r="N706" i="1"/>
  <c r="AD705" i="1"/>
  <c r="AA705" i="1"/>
  <c r="Z705" i="1"/>
  <c r="AB705" i="1" s="1"/>
  <c r="AC705" i="1" s="1"/>
  <c r="Y705" i="1"/>
  <c r="X705" i="1"/>
  <c r="W705" i="1"/>
  <c r="V705" i="1"/>
  <c r="U705" i="1"/>
  <c r="T705" i="1"/>
  <c r="S705" i="1"/>
  <c r="R705" i="1"/>
  <c r="P705" i="1"/>
  <c r="O705" i="1"/>
  <c r="Q705" i="1" s="1"/>
  <c r="N705" i="1"/>
  <c r="AD704" i="1"/>
  <c r="AA704" i="1"/>
  <c r="Y704" i="1"/>
  <c r="Z704" i="1" s="1"/>
  <c r="AB704" i="1" s="1"/>
  <c r="AC704" i="1" s="1"/>
  <c r="W704" i="1"/>
  <c r="V704" i="1"/>
  <c r="U704" i="1"/>
  <c r="T704" i="1"/>
  <c r="S704" i="1"/>
  <c r="R704" i="1"/>
  <c r="Q704" i="1"/>
  <c r="O704" i="1"/>
  <c r="P704" i="1" s="1"/>
  <c r="N704" i="1"/>
  <c r="AD703" i="1"/>
  <c r="AB703" i="1"/>
  <c r="AC703" i="1" s="1"/>
  <c r="AA703" i="1"/>
  <c r="Z703" i="1"/>
  <c r="Y703" i="1"/>
  <c r="W703" i="1"/>
  <c r="V703" i="1"/>
  <c r="X703" i="1" s="1"/>
  <c r="U703" i="1"/>
  <c r="T703" i="1"/>
  <c r="S703" i="1"/>
  <c r="R703" i="1"/>
  <c r="P703" i="1"/>
  <c r="O703" i="1"/>
  <c r="Q703" i="1" s="1"/>
  <c r="N703" i="1"/>
  <c r="AA702" i="1"/>
  <c r="Y702" i="1"/>
  <c r="AD702" i="1" s="1"/>
  <c r="W702" i="1"/>
  <c r="X702" i="1" s="1"/>
  <c r="V702" i="1"/>
  <c r="U702" i="1"/>
  <c r="T702" i="1"/>
  <c r="S702" i="1"/>
  <c r="R702" i="1"/>
  <c r="O702" i="1"/>
  <c r="P702" i="1" s="1"/>
  <c r="N702" i="1"/>
  <c r="AD701" i="1"/>
  <c r="AA701" i="1"/>
  <c r="Z701" i="1"/>
  <c r="AB701" i="1" s="1"/>
  <c r="AC701" i="1" s="1"/>
  <c r="Y701" i="1"/>
  <c r="W701" i="1"/>
  <c r="V701" i="1"/>
  <c r="X701" i="1" s="1"/>
  <c r="U701" i="1"/>
  <c r="T701" i="1"/>
  <c r="S701" i="1"/>
  <c r="R701" i="1"/>
  <c r="Q701" i="1"/>
  <c r="P701" i="1"/>
  <c r="O701" i="1"/>
  <c r="N701" i="1"/>
  <c r="AA700" i="1"/>
  <c r="Y700" i="1"/>
  <c r="W700" i="1"/>
  <c r="X700" i="1" s="1"/>
  <c r="V700" i="1"/>
  <c r="U700" i="1"/>
  <c r="T700" i="1"/>
  <c r="S700" i="1"/>
  <c r="R700" i="1"/>
  <c r="O700" i="1"/>
  <c r="N700" i="1"/>
  <c r="AD699" i="1"/>
  <c r="AB699" i="1"/>
  <c r="AC699" i="1" s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AA698" i="1"/>
  <c r="Y698" i="1"/>
  <c r="W698" i="1"/>
  <c r="X698" i="1" s="1"/>
  <c r="V698" i="1"/>
  <c r="U698" i="1"/>
  <c r="T698" i="1"/>
  <c r="S698" i="1"/>
  <c r="R698" i="1"/>
  <c r="Q698" i="1"/>
  <c r="O698" i="1"/>
  <c r="P698" i="1" s="1"/>
  <c r="N698" i="1"/>
  <c r="AD697" i="1"/>
  <c r="AB697" i="1"/>
  <c r="AC697" i="1" s="1"/>
  <c r="AA697" i="1"/>
  <c r="Z697" i="1"/>
  <c r="Y697" i="1"/>
  <c r="W697" i="1"/>
  <c r="V697" i="1"/>
  <c r="X697" i="1" s="1"/>
  <c r="U697" i="1"/>
  <c r="T697" i="1"/>
  <c r="S697" i="1"/>
  <c r="R697" i="1"/>
  <c r="Q697" i="1"/>
  <c r="P697" i="1"/>
  <c r="O697" i="1"/>
  <c r="N697" i="1"/>
  <c r="AA696" i="1"/>
  <c r="Y696" i="1"/>
  <c r="Z696" i="1" s="1"/>
  <c r="AB696" i="1" s="1"/>
  <c r="AC696" i="1" s="1"/>
  <c r="W696" i="1"/>
  <c r="V696" i="1"/>
  <c r="X696" i="1" s="1"/>
  <c r="U696" i="1"/>
  <c r="T696" i="1"/>
  <c r="S696" i="1"/>
  <c r="R696" i="1"/>
  <c r="O696" i="1"/>
  <c r="N696" i="1"/>
  <c r="AD695" i="1"/>
  <c r="AA695" i="1"/>
  <c r="Z695" i="1"/>
  <c r="AB695" i="1" s="1"/>
  <c r="AC695" i="1" s="1"/>
  <c r="Y695" i="1"/>
  <c r="X695" i="1"/>
  <c r="W695" i="1"/>
  <c r="V695" i="1"/>
  <c r="U695" i="1"/>
  <c r="T695" i="1"/>
  <c r="S695" i="1"/>
  <c r="R695" i="1"/>
  <c r="P695" i="1"/>
  <c r="O695" i="1"/>
  <c r="Q695" i="1" s="1"/>
  <c r="N695" i="1"/>
  <c r="AA694" i="1"/>
  <c r="Y694" i="1"/>
  <c r="W694" i="1"/>
  <c r="V694" i="1"/>
  <c r="X694" i="1" s="1"/>
  <c r="U694" i="1"/>
  <c r="T694" i="1"/>
  <c r="S694" i="1"/>
  <c r="R694" i="1"/>
  <c r="Q694" i="1"/>
  <c r="O694" i="1"/>
  <c r="P694" i="1" s="1"/>
  <c r="N694" i="1"/>
  <c r="AD693" i="1"/>
  <c r="AA693" i="1"/>
  <c r="Z693" i="1"/>
  <c r="AB693" i="1" s="1"/>
  <c r="AC693" i="1" s="1"/>
  <c r="Y693" i="1"/>
  <c r="X693" i="1"/>
  <c r="W693" i="1"/>
  <c r="V693" i="1"/>
  <c r="U693" i="1"/>
  <c r="T693" i="1"/>
  <c r="S693" i="1"/>
  <c r="R693" i="1"/>
  <c r="P693" i="1"/>
  <c r="O693" i="1"/>
  <c r="Q693" i="1" s="1"/>
  <c r="N693" i="1"/>
  <c r="AD692" i="1"/>
  <c r="AC692" i="1"/>
  <c r="AA692" i="1"/>
  <c r="Y692" i="1"/>
  <c r="Z692" i="1" s="1"/>
  <c r="AB692" i="1" s="1"/>
  <c r="W692" i="1"/>
  <c r="V692" i="1"/>
  <c r="X692" i="1" s="1"/>
  <c r="U692" i="1"/>
  <c r="T692" i="1"/>
  <c r="S692" i="1"/>
  <c r="R692" i="1"/>
  <c r="Q692" i="1"/>
  <c r="O692" i="1"/>
  <c r="P692" i="1" s="1"/>
  <c r="N692" i="1"/>
  <c r="AD691" i="1"/>
  <c r="AB691" i="1"/>
  <c r="AC691" i="1" s="1"/>
  <c r="AA691" i="1"/>
  <c r="Z691" i="1"/>
  <c r="Y691" i="1"/>
  <c r="X691" i="1"/>
  <c r="W691" i="1"/>
  <c r="V691" i="1"/>
  <c r="U691" i="1"/>
  <c r="T691" i="1"/>
  <c r="S691" i="1"/>
  <c r="R691" i="1"/>
  <c r="P691" i="1"/>
  <c r="O691" i="1"/>
  <c r="Q691" i="1" s="1"/>
  <c r="N691" i="1"/>
  <c r="AA690" i="1"/>
  <c r="Y690" i="1"/>
  <c r="AD690" i="1" s="1"/>
  <c r="W690" i="1"/>
  <c r="X690" i="1" s="1"/>
  <c r="V690" i="1"/>
  <c r="U690" i="1"/>
  <c r="T690" i="1"/>
  <c r="S690" i="1"/>
  <c r="R690" i="1"/>
  <c r="Q690" i="1"/>
  <c r="O690" i="1"/>
  <c r="P690" i="1" s="1"/>
  <c r="N690" i="1"/>
  <c r="AD689" i="1"/>
  <c r="AA689" i="1"/>
  <c r="Z689" i="1"/>
  <c r="AB689" i="1" s="1"/>
  <c r="AC689" i="1" s="1"/>
  <c r="Y689" i="1"/>
  <c r="W689" i="1"/>
  <c r="V689" i="1"/>
  <c r="X689" i="1" s="1"/>
  <c r="U689" i="1"/>
  <c r="T689" i="1"/>
  <c r="S689" i="1"/>
  <c r="R689" i="1"/>
  <c r="Q689" i="1"/>
  <c r="P689" i="1"/>
  <c r="O689" i="1"/>
  <c r="N689" i="1"/>
  <c r="AA688" i="1"/>
  <c r="Y688" i="1"/>
  <c r="W688" i="1"/>
  <c r="X688" i="1" s="1"/>
  <c r="V688" i="1"/>
  <c r="U688" i="1"/>
  <c r="T688" i="1"/>
  <c r="S688" i="1"/>
  <c r="R688" i="1"/>
  <c r="O688" i="1"/>
  <c r="N688" i="1"/>
  <c r="AD687" i="1"/>
  <c r="AB687" i="1"/>
  <c r="AC687" i="1" s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AA686" i="1"/>
  <c r="Y686" i="1"/>
  <c r="W686" i="1"/>
  <c r="X686" i="1" s="1"/>
  <c r="V686" i="1"/>
  <c r="U686" i="1"/>
  <c r="T686" i="1"/>
  <c r="S686" i="1"/>
  <c r="R686" i="1"/>
  <c r="Q686" i="1"/>
  <c r="O686" i="1"/>
  <c r="P686" i="1" s="1"/>
  <c r="N686" i="1"/>
  <c r="AD685" i="1"/>
  <c r="AB685" i="1"/>
  <c r="AC685" i="1" s="1"/>
  <c r="AA685" i="1"/>
  <c r="Z685" i="1"/>
  <c r="Y685" i="1"/>
  <c r="W685" i="1"/>
  <c r="V685" i="1"/>
  <c r="X685" i="1" s="1"/>
  <c r="U685" i="1"/>
  <c r="T685" i="1"/>
  <c r="S685" i="1"/>
  <c r="R685" i="1"/>
  <c r="Q685" i="1"/>
  <c r="P685" i="1"/>
  <c r="O685" i="1"/>
  <c r="N685" i="1"/>
  <c r="AA684" i="1"/>
  <c r="Y684" i="1"/>
  <c r="Z684" i="1" s="1"/>
  <c r="AB684" i="1" s="1"/>
  <c r="AC684" i="1" s="1"/>
  <c r="W684" i="1"/>
  <c r="V684" i="1"/>
  <c r="X684" i="1" s="1"/>
  <c r="U684" i="1"/>
  <c r="T684" i="1"/>
  <c r="S684" i="1"/>
  <c r="R684" i="1"/>
  <c r="O684" i="1"/>
  <c r="N684" i="1"/>
  <c r="AD683" i="1"/>
  <c r="AB683" i="1"/>
  <c r="AC683" i="1" s="1"/>
  <c r="AA683" i="1"/>
  <c r="Z683" i="1"/>
  <c r="Y683" i="1"/>
  <c r="X683" i="1"/>
  <c r="W683" i="1"/>
  <c r="V683" i="1"/>
  <c r="U683" i="1"/>
  <c r="T683" i="1"/>
  <c r="S683" i="1"/>
  <c r="R683" i="1"/>
  <c r="P683" i="1"/>
  <c r="O683" i="1"/>
  <c r="Q683" i="1" s="1"/>
  <c r="N683" i="1"/>
  <c r="AA682" i="1"/>
  <c r="Y682" i="1"/>
  <c r="W682" i="1"/>
  <c r="X682" i="1" s="1"/>
  <c r="V682" i="1"/>
  <c r="U682" i="1"/>
  <c r="T682" i="1"/>
  <c r="S682" i="1"/>
  <c r="R682" i="1"/>
  <c r="Q682" i="1"/>
  <c r="O682" i="1"/>
  <c r="P682" i="1" s="1"/>
  <c r="N682" i="1"/>
  <c r="AD681" i="1"/>
  <c r="AA681" i="1"/>
  <c r="Z681" i="1"/>
  <c r="AB681" i="1" s="1"/>
  <c r="AC681" i="1" s="1"/>
  <c r="Y681" i="1"/>
  <c r="X681" i="1"/>
  <c r="W681" i="1"/>
  <c r="V681" i="1"/>
  <c r="U681" i="1"/>
  <c r="T681" i="1"/>
  <c r="S681" i="1"/>
  <c r="R681" i="1"/>
  <c r="Q681" i="1"/>
  <c r="P681" i="1"/>
  <c r="O681" i="1"/>
  <c r="N681" i="1"/>
  <c r="AD680" i="1"/>
  <c r="AA680" i="1"/>
  <c r="Y680" i="1"/>
  <c r="Z680" i="1" s="1"/>
  <c r="AB680" i="1" s="1"/>
  <c r="AC680" i="1" s="1"/>
  <c r="W680" i="1"/>
  <c r="V680" i="1"/>
  <c r="U680" i="1"/>
  <c r="T680" i="1"/>
  <c r="S680" i="1"/>
  <c r="R680" i="1"/>
  <c r="Q680" i="1"/>
  <c r="O680" i="1"/>
  <c r="P680" i="1" s="1"/>
  <c r="N680" i="1"/>
  <c r="AD679" i="1"/>
  <c r="AB679" i="1"/>
  <c r="AC679" i="1" s="1"/>
  <c r="AA679" i="1"/>
  <c r="Z679" i="1"/>
  <c r="Y679" i="1"/>
  <c r="W679" i="1"/>
  <c r="V679" i="1"/>
  <c r="X679" i="1" s="1"/>
  <c r="U679" i="1"/>
  <c r="T679" i="1"/>
  <c r="S679" i="1"/>
  <c r="R679" i="1"/>
  <c r="P679" i="1"/>
  <c r="O679" i="1"/>
  <c r="Q679" i="1" s="1"/>
  <c r="N679" i="1"/>
  <c r="AA678" i="1"/>
  <c r="Y678" i="1"/>
  <c r="AD678" i="1" s="1"/>
  <c r="W678" i="1"/>
  <c r="X678" i="1" s="1"/>
  <c r="V678" i="1"/>
  <c r="U678" i="1"/>
  <c r="T678" i="1"/>
  <c r="S678" i="1"/>
  <c r="R678" i="1"/>
  <c r="Q678" i="1"/>
  <c r="O678" i="1"/>
  <c r="P678" i="1" s="1"/>
  <c r="N678" i="1"/>
  <c r="AD677" i="1"/>
  <c r="AA677" i="1"/>
  <c r="Z677" i="1"/>
  <c r="AB677" i="1" s="1"/>
  <c r="AC677" i="1" s="1"/>
  <c r="Y677" i="1"/>
  <c r="W677" i="1"/>
  <c r="V677" i="1"/>
  <c r="X677" i="1" s="1"/>
  <c r="U677" i="1"/>
  <c r="T677" i="1"/>
  <c r="S677" i="1"/>
  <c r="R677" i="1"/>
  <c r="Q677" i="1"/>
  <c r="P677" i="1"/>
  <c r="O677" i="1"/>
  <c r="N677" i="1"/>
  <c r="AA676" i="1"/>
  <c r="Y676" i="1"/>
  <c r="W676" i="1"/>
  <c r="X676" i="1" s="1"/>
  <c r="V676" i="1"/>
  <c r="U676" i="1"/>
  <c r="T676" i="1"/>
  <c r="S676" i="1"/>
  <c r="R676" i="1"/>
  <c r="O676" i="1"/>
  <c r="N676" i="1"/>
  <c r="AD675" i="1"/>
  <c r="AB675" i="1"/>
  <c r="AC675" i="1" s="1"/>
  <c r="AA675" i="1"/>
  <c r="Z675" i="1"/>
  <c r="Y675" i="1"/>
  <c r="X675" i="1"/>
  <c r="W675" i="1"/>
  <c r="V675" i="1"/>
  <c r="U675" i="1"/>
  <c r="T675" i="1"/>
  <c r="S675" i="1"/>
  <c r="R675" i="1"/>
  <c r="P675" i="1"/>
  <c r="O675" i="1"/>
  <c r="Q675" i="1" s="1"/>
  <c r="N675" i="1"/>
  <c r="AA674" i="1"/>
  <c r="Y674" i="1"/>
  <c r="W674" i="1"/>
  <c r="X674" i="1" s="1"/>
  <c r="V674" i="1"/>
  <c r="U674" i="1"/>
  <c r="T674" i="1"/>
  <c r="S674" i="1"/>
  <c r="R674" i="1"/>
  <c r="Q674" i="1"/>
  <c r="O674" i="1"/>
  <c r="P674" i="1" s="1"/>
  <c r="N674" i="1"/>
  <c r="AD673" i="1"/>
  <c r="AB673" i="1"/>
  <c r="AC673" i="1" s="1"/>
  <c r="AA673" i="1"/>
  <c r="Z673" i="1"/>
  <c r="Y673" i="1"/>
  <c r="W673" i="1"/>
  <c r="V673" i="1"/>
  <c r="X673" i="1" s="1"/>
  <c r="U673" i="1"/>
  <c r="T673" i="1"/>
  <c r="S673" i="1"/>
  <c r="R673" i="1"/>
  <c r="Q673" i="1"/>
  <c r="P673" i="1"/>
  <c r="O673" i="1"/>
  <c r="N673" i="1"/>
  <c r="AA672" i="1"/>
  <c r="Y672" i="1"/>
  <c r="Z672" i="1" s="1"/>
  <c r="AB672" i="1" s="1"/>
  <c r="AC672" i="1" s="1"/>
  <c r="W672" i="1"/>
  <c r="V672" i="1"/>
  <c r="U672" i="1"/>
  <c r="T672" i="1"/>
  <c r="S672" i="1"/>
  <c r="R672" i="1"/>
  <c r="O672" i="1"/>
  <c r="N672" i="1"/>
  <c r="AD671" i="1"/>
  <c r="AB671" i="1"/>
  <c r="AC671" i="1" s="1"/>
  <c r="AA671" i="1"/>
  <c r="Z671" i="1"/>
  <c r="Y671" i="1"/>
  <c r="X671" i="1"/>
  <c r="W671" i="1"/>
  <c r="V671" i="1"/>
  <c r="U671" i="1"/>
  <c r="T671" i="1"/>
  <c r="S671" i="1"/>
  <c r="R671" i="1"/>
  <c r="P671" i="1"/>
  <c r="O671" i="1"/>
  <c r="Q671" i="1" s="1"/>
  <c r="N671" i="1"/>
  <c r="AA670" i="1"/>
  <c r="Y670" i="1"/>
  <c r="W670" i="1"/>
  <c r="X670" i="1" s="1"/>
  <c r="V670" i="1"/>
  <c r="U670" i="1"/>
  <c r="T670" i="1"/>
  <c r="S670" i="1"/>
  <c r="R670" i="1"/>
  <c r="Q670" i="1"/>
  <c r="O670" i="1"/>
  <c r="P670" i="1" s="1"/>
  <c r="N670" i="1"/>
  <c r="AD669" i="1"/>
  <c r="AA669" i="1"/>
  <c r="Z669" i="1"/>
  <c r="AB669" i="1" s="1"/>
  <c r="AC669" i="1" s="1"/>
  <c r="Y669" i="1"/>
  <c r="X669" i="1"/>
  <c r="W669" i="1"/>
  <c r="V669" i="1"/>
  <c r="U669" i="1"/>
  <c r="T669" i="1"/>
  <c r="S669" i="1"/>
  <c r="R669" i="1"/>
  <c r="Q669" i="1"/>
  <c r="P669" i="1"/>
  <c r="O669" i="1"/>
  <c r="N669" i="1"/>
  <c r="AD668" i="1"/>
  <c r="AA668" i="1"/>
  <c r="Y668" i="1"/>
  <c r="Z668" i="1" s="1"/>
  <c r="AB668" i="1" s="1"/>
  <c r="AC668" i="1" s="1"/>
  <c r="W668" i="1"/>
  <c r="V668" i="1"/>
  <c r="U668" i="1"/>
  <c r="T668" i="1"/>
  <c r="S668" i="1"/>
  <c r="R668" i="1"/>
  <c r="Q668" i="1"/>
  <c r="O668" i="1"/>
  <c r="P668" i="1" s="1"/>
  <c r="N668" i="1"/>
  <c r="AD667" i="1"/>
  <c r="AB667" i="1"/>
  <c r="AC667" i="1" s="1"/>
  <c r="AA667" i="1"/>
  <c r="Z667" i="1"/>
  <c r="Y667" i="1"/>
  <c r="W667" i="1"/>
  <c r="V667" i="1"/>
  <c r="X667" i="1" s="1"/>
  <c r="U667" i="1"/>
  <c r="T667" i="1"/>
  <c r="S667" i="1"/>
  <c r="R667" i="1"/>
  <c r="P667" i="1"/>
  <c r="O667" i="1"/>
  <c r="Q667" i="1" s="1"/>
  <c r="N667" i="1"/>
  <c r="AA666" i="1"/>
  <c r="Y666" i="1"/>
  <c r="AD666" i="1" s="1"/>
  <c r="W666" i="1"/>
  <c r="X666" i="1" s="1"/>
  <c r="V666" i="1"/>
  <c r="U666" i="1"/>
  <c r="T666" i="1"/>
  <c r="S666" i="1"/>
  <c r="R666" i="1"/>
  <c r="P666" i="1"/>
  <c r="O666" i="1"/>
  <c r="Q666" i="1" s="1"/>
  <c r="N666" i="1"/>
  <c r="AD665" i="1"/>
  <c r="AA665" i="1"/>
  <c r="Z665" i="1"/>
  <c r="AB665" i="1" s="1"/>
  <c r="AC665" i="1" s="1"/>
  <c r="Y665" i="1"/>
  <c r="W665" i="1"/>
  <c r="V665" i="1"/>
  <c r="X665" i="1" s="1"/>
  <c r="U665" i="1"/>
  <c r="T665" i="1"/>
  <c r="S665" i="1"/>
  <c r="R665" i="1"/>
  <c r="Q665" i="1"/>
  <c r="P665" i="1"/>
  <c r="O665" i="1"/>
  <c r="N665" i="1"/>
  <c r="AA664" i="1"/>
  <c r="Y664" i="1"/>
  <c r="AD664" i="1" s="1"/>
  <c r="W664" i="1"/>
  <c r="V664" i="1"/>
  <c r="U664" i="1"/>
  <c r="T664" i="1"/>
  <c r="S664" i="1"/>
  <c r="R664" i="1"/>
  <c r="O664" i="1"/>
  <c r="N664" i="1"/>
  <c r="AD663" i="1"/>
  <c r="AB663" i="1"/>
  <c r="AC663" i="1" s="1"/>
  <c r="AA663" i="1"/>
  <c r="Z663" i="1"/>
  <c r="Y663" i="1"/>
  <c r="X663" i="1"/>
  <c r="W663" i="1"/>
  <c r="V663" i="1"/>
  <c r="U663" i="1"/>
  <c r="T663" i="1"/>
  <c r="S663" i="1"/>
  <c r="R663" i="1"/>
  <c r="P663" i="1"/>
  <c r="O663" i="1"/>
  <c r="Q663" i="1" s="1"/>
  <c r="N663" i="1"/>
  <c r="AA662" i="1"/>
  <c r="Y662" i="1"/>
  <c r="W662" i="1"/>
  <c r="X662" i="1" s="1"/>
  <c r="V662" i="1"/>
  <c r="U662" i="1"/>
  <c r="T662" i="1"/>
  <c r="S662" i="1"/>
  <c r="R662" i="1"/>
  <c r="Q662" i="1"/>
  <c r="O662" i="1"/>
  <c r="P662" i="1" s="1"/>
  <c r="N662" i="1"/>
  <c r="AD661" i="1"/>
  <c r="AA661" i="1"/>
  <c r="Z661" i="1"/>
  <c r="AB661" i="1" s="1"/>
  <c r="AC661" i="1" s="1"/>
  <c r="Y661" i="1"/>
  <c r="W661" i="1"/>
  <c r="V661" i="1"/>
  <c r="X661" i="1" s="1"/>
  <c r="U661" i="1"/>
  <c r="T661" i="1"/>
  <c r="S661" i="1"/>
  <c r="R661" i="1"/>
  <c r="Q661" i="1"/>
  <c r="P661" i="1"/>
  <c r="O661" i="1"/>
  <c r="N661" i="1"/>
  <c r="AA660" i="1"/>
  <c r="Y660" i="1"/>
  <c r="Z660" i="1" s="1"/>
  <c r="AB660" i="1" s="1"/>
  <c r="AC660" i="1" s="1"/>
  <c r="W660" i="1"/>
  <c r="V660" i="1"/>
  <c r="X660" i="1" s="1"/>
  <c r="U660" i="1"/>
  <c r="T660" i="1"/>
  <c r="S660" i="1"/>
  <c r="R660" i="1"/>
  <c r="O660" i="1"/>
  <c r="N660" i="1"/>
  <c r="AD659" i="1"/>
  <c r="AA659" i="1"/>
  <c r="Z659" i="1"/>
  <c r="AB659" i="1" s="1"/>
  <c r="AC659" i="1" s="1"/>
  <c r="Y659" i="1"/>
  <c r="X659" i="1"/>
  <c r="W659" i="1"/>
  <c r="V659" i="1"/>
  <c r="U659" i="1"/>
  <c r="T659" i="1"/>
  <c r="S659" i="1"/>
  <c r="R659" i="1"/>
  <c r="O659" i="1"/>
  <c r="Q659" i="1" s="1"/>
  <c r="N659" i="1"/>
  <c r="AA658" i="1"/>
  <c r="Y658" i="1"/>
  <c r="W658" i="1"/>
  <c r="X658" i="1" s="1"/>
  <c r="V658" i="1"/>
  <c r="U658" i="1"/>
  <c r="T658" i="1"/>
  <c r="S658" i="1"/>
  <c r="R658" i="1"/>
  <c r="Q658" i="1"/>
  <c r="O658" i="1"/>
  <c r="P658" i="1" s="1"/>
  <c r="N658" i="1"/>
  <c r="AA657" i="1"/>
  <c r="Y657" i="1"/>
  <c r="AD657" i="1" s="1"/>
  <c r="X657" i="1"/>
  <c r="W657" i="1"/>
  <c r="V657" i="1"/>
  <c r="U657" i="1"/>
  <c r="T657" i="1"/>
  <c r="S657" i="1"/>
  <c r="R657" i="1"/>
  <c r="Q657" i="1"/>
  <c r="P657" i="1"/>
  <c r="O657" i="1"/>
  <c r="N657" i="1"/>
  <c r="AD656" i="1"/>
  <c r="AC656" i="1"/>
  <c r="AA656" i="1"/>
  <c r="Y656" i="1"/>
  <c r="Z656" i="1" s="1"/>
  <c r="AB656" i="1" s="1"/>
  <c r="W656" i="1"/>
  <c r="V656" i="1"/>
  <c r="U656" i="1"/>
  <c r="T656" i="1"/>
  <c r="S656" i="1"/>
  <c r="R656" i="1"/>
  <c r="O656" i="1"/>
  <c r="P656" i="1" s="1"/>
  <c r="N656" i="1"/>
  <c r="AD655" i="1"/>
  <c r="AB655" i="1"/>
  <c r="AC655" i="1" s="1"/>
  <c r="AA655" i="1"/>
  <c r="Z655" i="1"/>
  <c r="Y655" i="1"/>
  <c r="W655" i="1"/>
  <c r="V655" i="1"/>
  <c r="X655" i="1" s="1"/>
  <c r="U655" i="1"/>
  <c r="T655" i="1"/>
  <c r="S655" i="1"/>
  <c r="R655" i="1"/>
  <c r="P655" i="1"/>
  <c r="O655" i="1"/>
  <c r="Q655" i="1" s="1"/>
  <c r="N655" i="1"/>
  <c r="AA654" i="1"/>
  <c r="Y654" i="1"/>
  <c r="W654" i="1"/>
  <c r="X654" i="1" s="1"/>
  <c r="V654" i="1"/>
  <c r="U654" i="1"/>
  <c r="T654" i="1"/>
  <c r="S654" i="1"/>
  <c r="R654" i="1"/>
  <c r="O654" i="1"/>
  <c r="Q654" i="1" s="1"/>
  <c r="N654" i="1"/>
  <c r="AD653" i="1"/>
  <c r="AA653" i="1"/>
  <c r="Z653" i="1"/>
  <c r="AB653" i="1" s="1"/>
  <c r="AC653" i="1" s="1"/>
  <c r="Y653" i="1"/>
  <c r="W653" i="1"/>
  <c r="V653" i="1"/>
  <c r="X653" i="1" s="1"/>
  <c r="U653" i="1"/>
  <c r="T653" i="1"/>
  <c r="S653" i="1"/>
  <c r="R653" i="1"/>
  <c r="Q653" i="1"/>
  <c r="P653" i="1"/>
  <c r="O653" i="1"/>
  <c r="N653" i="1"/>
  <c r="AA652" i="1"/>
  <c r="Y652" i="1"/>
  <c r="AD652" i="1" s="1"/>
  <c r="W652" i="1"/>
  <c r="V652" i="1"/>
  <c r="X652" i="1" s="1"/>
  <c r="U652" i="1"/>
  <c r="T652" i="1"/>
  <c r="S652" i="1"/>
  <c r="R652" i="1"/>
  <c r="O652" i="1"/>
  <c r="N652" i="1"/>
  <c r="AD651" i="1"/>
  <c r="AA651" i="1"/>
  <c r="Z651" i="1"/>
  <c r="AB651" i="1" s="1"/>
  <c r="AC651" i="1" s="1"/>
  <c r="Y651" i="1"/>
  <c r="X651" i="1"/>
  <c r="W651" i="1"/>
  <c r="V651" i="1"/>
  <c r="U651" i="1"/>
  <c r="T651" i="1"/>
  <c r="S651" i="1"/>
  <c r="R651" i="1"/>
  <c r="P651" i="1"/>
  <c r="O651" i="1"/>
  <c r="Q651" i="1" s="1"/>
  <c r="N651" i="1"/>
  <c r="AA650" i="1"/>
  <c r="Y650" i="1"/>
  <c r="W650" i="1"/>
  <c r="X650" i="1" s="1"/>
  <c r="V650" i="1"/>
  <c r="T650" i="1"/>
  <c r="S650" i="1"/>
  <c r="U650" i="1" s="1"/>
  <c r="R650" i="1"/>
  <c r="Q650" i="1"/>
  <c r="O650" i="1"/>
  <c r="P650" i="1" s="1"/>
  <c r="N650" i="1"/>
  <c r="AD649" i="1"/>
  <c r="AA649" i="1"/>
  <c r="Z649" i="1"/>
  <c r="AB649" i="1" s="1"/>
  <c r="AC649" i="1" s="1"/>
  <c r="Y649" i="1"/>
  <c r="W649" i="1"/>
  <c r="V649" i="1"/>
  <c r="X649" i="1" s="1"/>
  <c r="T649" i="1"/>
  <c r="U649" i="1" s="1"/>
  <c r="S649" i="1"/>
  <c r="R649" i="1"/>
  <c r="Q649" i="1"/>
  <c r="P649" i="1"/>
  <c r="O649" i="1"/>
  <c r="N649" i="1"/>
  <c r="AA648" i="1"/>
  <c r="Y648" i="1"/>
  <c r="W648" i="1"/>
  <c r="V648" i="1"/>
  <c r="X648" i="1" s="1"/>
  <c r="T648" i="1"/>
  <c r="S648" i="1"/>
  <c r="U648" i="1" s="1"/>
  <c r="R648" i="1"/>
  <c r="Q648" i="1"/>
  <c r="O648" i="1"/>
  <c r="P648" i="1" s="1"/>
  <c r="N648" i="1"/>
  <c r="AD647" i="1"/>
  <c r="AA647" i="1"/>
  <c r="Z647" i="1"/>
  <c r="AB647" i="1" s="1"/>
  <c r="AC647" i="1" s="1"/>
  <c r="Y647" i="1"/>
  <c r="W647" i="1"/>
  <c r="V647" i="1"/>
  <c r="X647" i="1" s="1"/>
  <c r="T647" i="1"/>
  <c r="S647" i="1"/>
  <c r="U647" i="1" s="1"/>
  <c r="R647" i="1"/>
  <c r="O647" i="1"/>
  <c r="Q647" i="1" s="1"/>
  <c r="N647" i="1"/>
  <c r="AA646" i="1"/>
  <c r="Y646" i="1"/>
  <c r="W646" i="1"/>
  <c r="X646" i="1" s="1"/>
  <c r="V646" i="1"/>
  <c r="T646" i="1"/>
  <c r="U646" i="1" s="1"/>
  <c r="S646" i="1"/>
  <c r="R646" i="1"/>
  <c r="Q646" i="1"/>
  <c r="P646" i="1"/>
  <c r="O646" i="1"/>
  <c r="N646" i="1"/>
  <c r="AA645" i="1"/>
  <c r="Y645" i="1"/>
  <c r="AD645" i="1" s="1"/>
  <c r="X645" i="1"/>
  <c r="W645" i="1"/>
  <c r="V645" i="1"/>
  <c r="U645" i="1"/>
  <c r="T645" i="1"/>
  <c r="S645" i="1"/>
  <c r="R645" i="1"/>
  <c r="Q645" i="1"/>
  <c r="P645" i="1"/>
  <c r="O645" i="1"/>
  <c r="N645" i="1"/>
  <c r="AD644" i="1"/>
  <c r="AC644" i="1"/>
  <c r="AA644" i="1"/>
  <c r="Y644" i="1"/>
  <c r="Z644" i="1" s="1"/>
  <c r="AB644" i="1" s="1"/>
  <c r="W644" i="1"/>
  <c r="V644" i="1"/>
  <c r="T644" i="1"/>
  <c r="S644" i="1"/>
  <c r="U644" i="1" s="1"/>
  <c r="R644" i="1"/>
  <c r="O644" i="1"/>
  <c r="P644" i="1" s="1"/>
  <c r="N644" i="1"/>
  <c r="AD643" i="1"/>
  <c r="AB643" i="1"/>
  <c r="AC643" i="1" s="1"/>
  <c r="AA643" i="1"/>
  <c r="Z643" i="1"/>
  <c r="Y643" i="1"/>
  <c r="W643" i="1"/>
  <c r="V643" i="1"/>
  <c r="X643" i="1" s="1"/>
  <c r="T643" i="1"/>
  <c r="S643" i="1"/>
  <c r="U643" i="1" s="1"/>
  <c r="R643" i="1"/>
  <c r="P643" i="1"/>
  <c r="O643" i="1"/>
  <c r="Q643" i="1" s="1"/>
  <c r="N643" i="1"/>
  <c r="AA642" i="1"/>
  <c r="Y642" i="1"/>
  <c r="AD642" i="1" s="1"/>
  <c r="X642" i="1"/>
  <c r="W642" i="1"/>
  <c r="V642" i="1"/>
  <c r="T642" i="1"/>
  <c r="U642" i="1" s="1"/>
  <c r="S642" i="1"/>
  <c r="R642" i="1"/>
  <c r="Q642" i="1"/>
  <c r="P642" i="1"/>
  <c r="O642" i="1"/>
  <c r="N642" i="1"/>
  <c r="AA641" i="1"/>
  <c r="Y641" i="1"/>
  <c r="W641" i="1"/>
  <c r="V641" i="1"/>
  <c r="X641" i="1" s="1"/>
  <c r="T641" i="1"/>
  <c r="S641" i="1"/>
  <c r="U641" i="1" s="1"/>
  <c r="R641" i="1"/>
  <c r="Q641" i="1"/>
  <c r="P641" i="1"/>
  <c r="O641" i="1"/>
  <c r="N641" i="1"/>
  <c r="AD640" i="1"/>
  <c r="AB640" i="1"/>
  <c r="AC640" i="1" s="1"/>
  <c r="AA640" i="1"/>
  <c r="Z640" i="1"/>
  <c r="Y640" i="1"/>
  <c r="W640" i="1"/>
  <c r="V640" i="1"/>
  <c r="X640" i="1" s="1"/>
  <c r="T640" i="1"/>
  <c r="S640" i="1"/>
  <c r="U640" i="1" s="1"/>
  <c r="R640" i="1"/>
  <c r="O640" i="1"/>
  <c r="Q640" i="1" s="1"/>
  <c r="N640" i="1"/>
  <c r="AD639" i="1"/>
  <c r="AB639" i="1"/>
  <c r="AC639" i="1" s="1"/>
  <c r="AA639" i="1"/>
  <c r="Z639" i="1"/>
  <c r="Y639" i="1"/>
  <c r="W639" i="1"/>
  <c r="X639" i="1" s="1"/>
  <c r="V639" i="1"/>
  <c r="T639" i="1"/>
  <c r="U639" i="1" s="1"/>
  <c r="S639" i="1"/>
  <c r="R639" i="1"/>
  <c r="P639" i="1"/>
  <c r="O639" i="1"/>
  <c r="Q639" i="1" s="1"/>
  <c r="N639" i="1"/>
  <c r="AA638" i="1"/>
  <c r="Y638" i="1"/>
  <c r="AD638" i="1" s="1"/>
  <c r="X638" i="1"/>
  <c r="W638" i="1"/>
  <c r="V638" i="1"/>
  <c r="T638" i="1"/>
  <c r="S638" i="1"/>
  <c r="U638" i="1" s="1"/>
  <c r="R638" i="1"/>
  <c r="O638" i="1"/>
  <c r="N638" i="1"/>
  <c r="AA637" i="1"/>
  <c r="Y637" i="1"/>
  <c r="Z637" i="1" s="1"/>
  <c r="AB637" i="1" s="1"/>
  <c r="AC637" i="1" s="1"/>
  <c r="X637" i="1"/>
  <c r="W637" i="1"/>
  <c r="V637" i="1"/>
  <c r="T637" i="1"/>
  <c r="U637" i="1" s="1"/>
  <c r="S637" i="1"/>
  <c r="R637" i="1"/>
  <c r="Q637" i="1"/>
  <c r="P637" i="1"/>
  <c r="O637" i="1"/>
  <c r="N637" i="1"/>
  <c r="AA636" i="1"/>
  <c r="Y636" i="1"/>
  <c r="W636" i="1"/>
  <c r="V636" i="1"/>
  <c r="X636" i="1" s="1"/>
  <c r="T636" i="1"/>
  <c r="S636" i="1"/>
  <c r="U636" i="1" s="1"/>
  <c r="R636" i="1"/>
  <c r="Q636" i="1"/>
  <c r="O636" i="1"/>
  <c r="P636" i="1" s="1"/>
  <c r="N636" i="1"/>
  <c r="AD635" i="1"/>
  <c r="AB635" i="1"/>
  <c r="AC635" i="1" s="1"/>
  <c r="AA635" i="1"/>
  <c r="Z635" i="1"/>
  <c r="Y635" i="1"/>
  <c r="W635" i="1"/>
  <c r="V635" i="1"/>
  <c r="X635" i="1" s="1"/>
  <c r="T635" i="1"/>
  <c r="S635" i="1"/>
  <c r="U635" i="1" s="1"/>
  <c r="R635" i="1"/>
  <c r="O635" i="1"/>
  <c r="Q635" i="1" s="1"/>
  <c r="N635" i="1"/>
  <c r="AA634" i="1"/>
  <c r="Y634" i="1"/>
  <c r="AD634" i="1" s="1"/>
  <c r="W634" i="1"/>
  <c r="X634" i="1" s="1"/>
  <c r="V634" i="1"/>
  <c r="T634" i="1"/>
  <c r="U634" i="1" s="1"/>
  <c r="S634" i="1"/>
  <c r="R634" i="1"/>
  <c r="P634" i="1"/>
  <c r="O634" i="1"/>
  <c r="Q634" i="1" s="1"/>
  <c r="N634" i="1"/>
  <c r="AA633" i="1"/>
  <c r="Y633" i="1"/>
  <c r="AD633" i="1" s="1"/>
  <c r="W633" i="1"/>
  <c r="V633" i="1"/>
  <c r="X633" i="1" s="1"/>
  <c r="U633" i="1"/>
  <c r="T633" i="1"/>
  <c r="S633" i="1"/>
  <c r="R633" i="1"/>
  <c r="Q633" i="1"/>
  <c r="P633" i="1"/>
  <c r="O633" i="1"/>
  <c r="N633" i="1"/>
  <c r="AD632" i="1"/>
  <c r="AA632" i="1"/>
  <c r="Z632" i="1"/>
  <c r="AB632" i="1" s="1"/>
  <c r="AC632" i="1" s="1"/>
  <c r="Y632" i="1"/>
  <c r="W632" i="1"/>
  <c r="V632" i="1"/>
  <c r="X632" i="1" s="1"/>
  <c r="U632" i="1"/>
  <c r="T632" i="1"/>
  <c r="S632" i="1"/>
  <c r="R632" i="1"/>
  <c r="O632" i="1"/>
  <c r="Q632" i="1" s="1"/>
  <c r="N632" i="1"/>
  <c r="AD631" i="1"/>
  <c r="AA631" i="1"/>
  <c r="Z631" i="1"/>
  <c r="AB631" i="1" s="1"/>
  <c r="AC631" i="1" s="1"/>
  <c r="Y631" i="1"/>
  <c r="W631" i="1"/>
  <c r="X631" i="1" s="1"/>
  <c r="V631" i="1"/>
  <c r="T631" i="1"/>
  <c r="S631" i="1"/>
  <c r="U631" i="1" s="1"/>
  <c r="R631" i="1"/>
  <c r="O631" i="1"/>
  <c r="Q631" i="1" s="1"/>
  <c r="N631" i="1"/>
  <c r="AD630" i="1"/>
  <c r="AA630" i="1"/>
  <c r="Y630" i="1"/>
  <c r="Z630" i="1" s="1"/>
  <c r="AB630" i="1" s="1"/>
  <c r="AC630" i="1" s="1"/>
  <c r="X630" i="1"/>
  <c r="W630" i="1"/>
  <c r="V630" i="1"/>
  <c r="T630" i="1"/>
  <c r="S630" i="1"/>
  <c r="U630" i="1" s="1"/>
  <c r="R630" i="1"/>
  <c r="Q630" i="1"/>
  <c r="P630" i="1"/>
  <c r="O630" i="1"/>
  <c r="N630" i="1"/>
  <c r="AA629" i="1"/>
  <c r="Y629" i="1"/>
  <c r="AD629" i="1" s="1"/>
  <c r="X629" i="1"/>
  <c r="W629" i="1"/>
  <c r="V629" i="1"/>
  <c r="U629" i="1"/>
  <c r="T629" i="1"/>
  <c r="S629" i="1"/>
  <c r="R629" i="1"/>
  <c r="Q629" i="1"/>
  <c r="P629" i="1"/>
  <c r="O629" i="1"/>
  <c r="N629" i="1"/>
  <c r="AD628" i="1"/>
  <c r="AA628" i="1"/>
  <c r="Z628" i="1"/>
  <c r="AB628" i="1" s="1"/>
  <c r="AC628" i="1" s="1"/>
  <c r="Y628" i="1"/>
  <c r="W628" i="1"/>
  <c r="V628" i="1"/>
  <c r="X628" i="1" s="1"/>
  <c r="U628" i="1"/>
  <c r="T628" i="1"/>
  <c r="S628" i="1"/>
  <c r="R628" i="1"/>
  <c r="Q628" i="1"/>
  <c r="O628" i="1"/>
  <c r="P628" i="1" s="1"/>
  <c r="N628" i="1"/>
  <c r="AA627" i="1"/>
  <c r="Z627" i="1"/>
  <c r="AB627" i="1" s="1"/>
  <c r="AC627" i="1" s="1"/>
  <c r="Y627" i="1"/>
  <c r="AD627" i="1" s="1"/>
  <c r="W627" i="1"/>
  <c r="V627" i="1"/>
  <c r="X627" i="1" s="1"/>
  <c r="T627" i="1"/>
  <c r="S627" i="1"/>
  <c r="U627" i="1" s="1"/>
  <c r="R627" i="1"/>
  <c r="O627" i="1"/>
  <c r="Q627" i="1" s="1"/>
  <c r="N627" i="1"/>
  <c r="AA626" i="1"/>
  <c r="Y626" i="1"/>
  <c r="AD626" i="1" s="1"/>
  <c r="X626" i="1"/>
  <c r="W626" i="1"/>
  <c r="V626" i="1"/>
  <c r="T626" i="1"/>
  <c r="S626" i="1"/>
  <c r="U626" i="1" s="1"/>
  <c r="R626" i="1"/>
  <c r="O626" i="1"/>
  <c r="N626" i="1"/>
  <c r="AA625" i="1"/>
  <c r="Y625" i="1"/>
  <c r="Z625" i="1" s="1"/>
  <c r="AB625" i="1" s="1"/>
  <c r="AC625" i="1" s="1"/>
  <c r="X625" i="1"/>
  <c r="W625" i="1"/>
  <c r="V625" i="1"/>
  <c r="T625" i="1"/>
  <c r="U625" i="1" s="1"/>
  <c r="S625" i="1"/>
  <c r="R625" i="1"/>
  <c r="Q625" i="1"/>
  <c r="O625" i="1"/>
  <c r="P625" i="1" s="1"/>
  <c r="N625" i="1"/>
  <c r="AA624" i="1"/>
  <c r="Y624" i="1"/>
  <c r="W624" i="1"/>
  <c r="V624" i="1"/>
  <c r="X624" i="1" s="1"/>
  <c r="T624" i="1"/>
  <c r="S624" i="1"/>
  <c r="U624" i="1" s="1"/>
  <c r="R624" i="1"/>
  <c r="Q624" i="1"/>
  <c r="O624" i="1"/>
  <c r="P624" i="1" s="1"/>
  <c r="N624" i="1"/>
  <c r="AD623" i="1"/>
  <c r="AA623" i="1"/>
  <c r="Y623" i="1"/>
  <c r="Z623" i="1" s="1"/>
  <c r="AB623" i="1" s="1"/>
  <c r="AC623" i="1" s="1"/>
  <c r="W623" i="1"/>
  <c r="V623" i="1"/>
  <c r="X623" i="1" s="1"/>
  <c r="T623" i="1"/>
  <c r="S623" i="1"/>
  <c r="U623" i="1" s="1"/>
  <c r="R623" i="1"/>
  <c r="O623" i="1"/>
  <c r="Q623" i="1" s="1"/>
  <c r="N623" i="1"/>
  <c r="AA622" i="1"/>
  <c r="Y622" i="1"/>
  <c r="AD622" i="1" s="1"/>
  <c r="W622" i="1"/>
  <c r="X622" i="1" s="1"/>
  <c r="V622" i="1"/>
  <c r="T622" i="1"/>
  <c r="U622" i="1" s="1"/>
  <c r="S622" i="1"/>
  <c r="R622" i="1"/>
  <c r="P622" i="1"/>
  <c r="O622" i="1"/>
  <c r="Q622" i="1" s="1"/>
  <c r="N622" i="1"/>
  <c r="AA621" i="1"/>
  <c r="Y621" i="1"/>
  <c r="AD621" i="1" s="1"/>
  <c r="W621" i="1"/>
  <c r="V621" i="1"/>
  <c r="X621" i="1" s="1"/>
  <c r="U621" i="1"/>
  <c r="T621" i="1"/>
  <c r="S621" i="1"/>
  <c r="R621" i="1"/>
  <c r="Q621" i="1"/>
  <c r="P621" i="1"/>
  <c r="O621" i="1"/>
  <c r="N621" i="1"/>
  <c r="AD620" i="1"/>
  <c r="AA620" i="1"/>
  <c r="Z620" i="1"/>
  <c r="AB620" i="1" s="1"/>
  <c r="AC620" i="1" s="1"/>
  <c r="Y620" i="1"/>
  <c r="W620" i="1"/>
  <c r="V620" i="1"/>
  <c r="X620" i="1" s="1"/>
  <c r="U620" i="1"/>
  <c r="T620" i="1"/>
  <c r="S620" i="1"/>
  <c r="R620" i="1"/>
  <c r="O620" i="1"/>
  <c r="Q620" i="1" s="1"/>
  <c r="N620" i="1"/>
  <c r="AD619" i="1"/>
  <c r="AA619" i="1"/>
  <c r="Z619" i="1"/>
  <c r="AB619" i="1" s="1"/>
  <c r="AC619" i="1" s="1"/>
  <c r="Y619" i="1"/>
  <c r="W619" i="1"/>
  <c r="X619" i="1" s="1"/>
  <c r="V619" i="1"/>
  <c r="T619" i="1"/>
  <c r="S619" i="1"/>
  <c r="U619" i="1" s="1"/>
  <c r="R619" i="1"/>
  <c r="O619" i="1"/>
  <c r="Q619" i="1" s="1"/>
  <c r="N619" i="1"/>
  <c r="AD618" i="1"/>
  <c r="AA618" i="1"/>
  <c r="Y618" i="1"/>
  <c r="Z618" i="1" s="1"/>
  <c r="AB618" i="1" s="1"/>
  <c r="AC618" i="1" s="1"/>
  <c r="X618" i="1"/>
  <c r="W618" i="1"/>
  <c r="V618" i="1"/>
  <c r="T618" i="1"/>
  <c r="S618" i="1"/>
  <c r="U618" i="1" s="1"/>
  <c r="R618" i="1"/>
  <c r="Q618" i="1"/>
  <c r="P618" i="1"/>
  <c r="O618" i="1"/>
  <c r="N618" i="1"/>
  <c r="AA617" i="1"/>
  <c r="Y617" i="1"/>
  <c r="AD617" i="1" s="1"/>
  <c r="X617" i="1"/>
  <c r="W617" i="1"/>
  <c r="V617" i="1"/>
  <c r="U617" i="1"/>
  <c r="T617" i="1"/>
  <c r="S617" i="1"/>
  <c r="R617" i="1"/>
  <c r="Q617" i="1"/>
  <c r="P617" i="1"/>
  <c r="O617" i="1"/>
  <c r="N617" i="1"/>
  <c r="AD616" i="1"/>
  <c r="AA616" i="1"/>
  <c r="Z616" i="1"/>
  <c r="AB616" i="1" s="1"/>
  <c r="AC616" i="1" s="1"/>
  <c r="Y616" i="1"/>
  <c r="W616" i="1"/>
  <c r="V616" i="1"/>
  <c r="X616" i="1" s="1"/>
  <c r="U616" i="1"/>
  <c r="T616" i="1"/>
  <c r="S616" i="1"/>
  <c r="R616" i="1"/>
  <c r="Q616" i="1"/>
  <c r="O616" i="1"/>
  <c r="P616" i="1" s="1"/>
  <c r="N616" i="1"/>
  <c r="AA615" i="1"/>
  <c r="Z615" i="1"/>
  <c r="AB615" i="1" s="1"/>
  <c r="AC615" i="1" s="1"/>
  <c r="Y615" i="1"/>
  <c r="AD615" i="1" s="1"/>
  <c r="W615" i="1"/>
  <c r="V615" i="1"/>
  <c r="X615" i="1" s="1"/>
  <c r="T615" i="1"/>
  <c r="S615" i="1"/>
  <c r="U615" i="1" s="1"/>
  <c r="R615" i="1"/>
  <c r="O615" i="1"/>
  <c r="Q615" i="1" s="1"/>
  <c r="N615" i="1"/>
  <c r="AA614" i="1"/>
  <c r="Y614" i="1"/>
  <c r="AD614" i="1" s="1"/>
  <c r="X614" i="1"/>
  <c r="W614" i="1"/>
  <c r="V614" i="1"/>
  <c r="T614" i="1"/>
  <c r="S614" i="1"/>
  <c r="U614" i="1" s="1"/>
  <c r="R614" i="1"/>
  <c r="O614" i="1"/>
  <c r="N614" i="1"/>
  <c r="AA613" i="1"/>
  <c r="Y613" i="1"/>
  <c r="Z613" i="1" s="1"/>
  <c r="AB613" i="1" s="1"/>
  <c r="AC613" i="1" s="1"/>
  <c r="X613" i="1"/>
  <c r="W613" i="1"/>
  <c r="V613" i="1"/>
  <c r="T613" i="1"/>
  <c r="U613" i="1" s="1"/>
  <c r="S613" i="1"/>
  <c r="R613" i="1"/>
  <c r="Q613" i="1"/>
  <c r="O613" i="1"/>
  <c r="P613" i="1" s="1"/>
  <c r="N613" i="1"/>
  <c r="AA612" i="1"/>
  <c r="Y612" i="1"/>
  <c r="W612" i="1"/>
  <c r="V612" i="1"/>
  <c r="X612" i="1" s="1"/>
  <c r="T612" i="1"/>
  <c r="S612" i="1"/>
  <c r="U612" i="1" s="1"/>
  <c r="R612" i="1"/>
  <c r="Q612" i="1"/>
  <c r="O612" i="1"/>
  <c r="P612" i="1" s="1"/>
  <c r="N612" i="1"/>
  <c r="AD611" i="1"/>
  <c r="AA611" i="1"/>
  <c r="Y611" i="1"/>
  <c r="Z611" i="1" s="1"/>
  <c r="AB611" i="1" s="1"/>
  <c r="AC611" i="1" s="1"/>
  <c r="W611" i="1"/>
  <c r="V611" i="1"/>
  <c r="X611" i="1" s="1"/>
  <c r="T611" i="1"/>
  <c r="S611" i="1"/>
  <c r="U611" i="1" s="1"/>
  <c r="R611" i="1"/>
  <c r="O611" i="1"/>
  <c r="Q611" i="1" s="1"/>
  <c r="N611" i="1"/>
  <c r="AA610" i="1"/>
  <c r="Y610" i="1"/>
  <c r="AD610" i="1" s="1"/>
  <c r="W610" i="1"/>
  <c r="X610" i="1" s="1"/>
  <c r="V610" i="1"/>
  <c r="T610" i="1"/>
  <c r="U610" i="1" s="1"/>
  <c r="S610" i="1"/>
  <c r="R610" i="1"/>
  <c r="P610" i="1"/>
  <c r="O610" i="1"/>
  <c r="Q610" i="1" s="1"/>
  <c r="N610" i="1"/>
  <c r="AA609" i="1"/>
  <c r="Y609" i="1"/>
  <c r="AD609" i="1" s="1"/>
  <c r="W609" i="1"/>
  <c r="V609" i="1"/>
  <c r="X609" i="1" s="1"/>
  <c r="U609" i="1"/>
  <c r="T609" i="1"/>
  <c r="S609" i="1"/>
  <c r="R609" i="1"/>
  <c r="Q609" i="1"/>
  <c r="P609" i="1"/>
  <c r="O609" i="1"/>
  <c r="N609" i="1"/>
  <c r="AD608" i="1"/>
  <c r="AA608" i="1"/>
  <c r="Y608" i="1"/>
  <c r="Z608" i="1" s="1"/>
  <c r="AB608" i="1" s="1"/>
  <c r="AC608" i="1" s="1"/>
  <c r="W608" i="1"/>
  <c r="V608" i="1"/>
  <c r="X608" i="1" s="1"/>
  <c r="U608" i="1"/>
  <c r="T608" i="1"/>
  <c r="S608" i="1"/>
  <c r="R608" i="1"/>
  <c r="O608" i="1"/>
  <c r="Q608" i="1" s="1"/>
  <c r="N608" i="1"/>
  <c r="AD607" i="1"/>
  <c r="AA607" i="1"/>
  <c r="Z607" i="1"/>
  <c r="AB607" i="1" s="1"/>
  <c r="AC607" i="1" s="1"/>
  <c r="Y607" i="1"/>
  <c r="W607" i="1"/>
  <c r="X607" i="1" s="1"/>
  <c r="V607" i="1"/>
  <c r="T607" i="1"/>
  <c r="S607" i="1"/>
  <c r="U607" i="1" s="1"/>
  <c r="R607" i="1"/>
  <c r="O607" i="1"/>
  <c r="Q607" i="1" s="1"/>
  <c r="N607" i="1"/>
  <c r="AD606" i="1"/>
  <c r="AA606" i="1"/>
  <c r="Y606" i="1"/>
  <c r="Z606" i="1" s="1"/>
  <c r="AB606" i="1" s="1"/>
  <c r="AC606" i="1" s="1"/>
  <c r="W606" i="1"/>
  <c r="X606" i="1" s="1"/>
  <c r="V606" i="1"/>
  <c r="T606" i="1"/>
  <c r="S606" i="1"/>
  <c r="U606" i="1" s="1"/>
  <c r="R606" i="1"/>
  <c r="Q606" i="1"/>
  <c r="P606" i="1"/>
  <c r="O606" i="1"/>
  <c r="N606" i="1"/>
  <c r="AA605" i="1"/>
  <c r="Y605" i="1"/>
  <c r="AD605" i="1" s="1"/>
  <c r="X605" i="1"/>
  <c r="W605" i="1"/>
  <c r="V605" i="1"/>
  <c r="U605" i="1"/>
  <c r="T605" i="1"/>
  <c r="S605" i="1"/>
  <c r="R605" i="1"/>
  <c r="Q605" i="1"/>
  <c r="P605" i="1"/>
  <c r="O605" i="1"/>
  <c r="N605" i="1"/>
  <c r="AD604" i="1"/>
  <c r="AC604" i="1"/>
  <c r="AA604" i="1"/>
  <c r="Z604" i="1"/>
  <c r="AB604" i="1" s="1"/>
  <c r="Y604" i="1"/>
  <c r="W604" i="1"/>
  <c r="V604" i="1"/>
  <c r="X604" i="1" s="1"/>
  <c r="U604" i="1"/>
  <c r="T604" i="1"/>
  <c r="S604" i="1"/>
  <c r="R604" i="1"/>
  <c r="Q604" i="1"/>
  <c r="O604" i="1"/>
  <c r="P604" i="1" s="1"/>
  <c r="N604" i="1"/>
  <c r="AA603" i="1"/>
  <c r="Z603" i="1"/>
  <c r="AB603" i="1" s="1"/>
  <c r="AC603" i="1" s="1"/>
  <c r="Y603" i="1"/>
  <c r="AD603" i="1" s="1"/>
  <c r="W603" i="1"/>
  <c r="V603" i="1"/>
  <c r="X603" i="1" s="1"/>
  <c r="T603" i="1"/>
  <c r="S603" i="1"/>
  <c r="U603" i="1" s="1"/>
  <c r="R603" i="1"/>
  <c r="O603" i="1"/>
  <c r="Q603" i="1" s="1"/>
  <c r="N603" i="1"/>
  <c r="AA602" i="1"/>
  <c r="Y602" i="1"/>
  <c r="AD602" i="1" s="1"/>
  <c r="X602" i="1"/>
  <c r="W602" i="1"/>
  <c r="V602" i="1"/>
  <c r="T602" i="1"/>
  <c r="S602" i="1"/>
  <c r="U602" i="1" s="1"/>
  <c r="R602" i="1"/>
  <c r="O602" i="1"/>
  <c r="N602" i="1"/>
  <c r="AA601" i="1"/>
  <c r="Y601" i="1"/>
  <c r="Z601" i="1" s="1"/>
  <c r="AB601" i="1" s="1"/>
  <c r="AC601" i="1" s="1"/>
  <c r="X601" i="1"/>
  <c r="W601" i="1"/>
  <c r="V601" i="1"/>
  <c r="T601" i="1"/>
  <c r="U601" i="1" s="1"/>
  <c r="S601" i="1"/>
  <c r="R601" i="1"/>
  <c r="Q601" i="1"/>
  <c r="O601" i="1"/>
  <c r="P601" i="1" s="1"/>
  <c r="N601" i="1"/>
  <c r="AA600" i="1"/>
  <c r="Y600" i="1"/>
  <c r="W600" i="1"/>
  <c r="V600" i="1"/>
  <c r="X600" i="1" s="1"/>
  <c r="T600" i="1"/>
  <c r="S600" i="1"/>
  <c r="U600" i="1" s="1"/>
  <c r="R600" i="1"/>
  <c r="Q600" i="1"/>
  <c r="O600" i="1"/>
  <c r="P600" i="1" s="1"/>
  <c r="N600" i="1"/>
  <c r="AD599" i="1"/>
  <c r="AA599" i="1"/>
  <c r="Y599" i="1"/>
  <c r="Z599" i="1" s="1"/>
  <c r="AB599" i="1" s="1"/>
  <c r="AC599" i="1" s="1"/>
  <c r="W599" i="1"/>
  <c r="V599" i="1"/>
  <c r="X599" i="1" s="1"/>
  <c r="T599" i="1"/>
  <c r="S599" i="1"/>
  <c r="U599" i="1" s="1"/>
  <c r="R599" i="1"/>
  <c r="O599" i="1"/>
  <c r="Q599" i="1" s="1"/>
  <c r="N599" i="1"/>
  <c r="AA598" i="1"/>
  <c r="Y598" i="1"/>
  <c r="AD598" i="1" s="1"/>
  <c r="W598" i="1"/>
  <c r="X598" i="1" s="1"/>
  <c r="V598" i="1"/>
  <c r="T598" i="1"/>
  <c r="U598" i="1" s="1"/>
  <c r="S598" i="1"/>
  <c r="R598" i="1"/>
  <c r="O598" i="1"/>
  <c r="Q598" i="1" s="1"/>
  <c r="N598" i="1"/>
  <c r="AA597" i="1"/>
  <c r="Y597" i="1"/>
  <c r="AD597" i="1" s="1"/>
  <c r="W597" i="1"/>
  <c r="V597" i="1"/>
  <c r="X597" i="1" s="1"/>
  <c r="T597" i="1"/>
  <c r="U597" i="1" s="1"/>
  <c r="S597" i="1"/>
  <c r="R597" i="1"/>
  <c r="Q597" i="1"/>
  <c r="P597" i="1"/>
  <c r="O597" i="1"/>
  <c r="N597" i="1"/>
  <c r="AD596" i="1"/>
  <c r="AA596" i="1"/>
  <c r="Y596" i="1"/>
  <c r="Z596" i="1" s="1"/>
  <c r="AB596" i="1" s="1"/>
  <c r="AC596" i="1" s="1"/>
  <c r="W596" i="1"/>
  <c r="V596" i="1"/>
  <c r="X596" i="1" s="1"/>
  <c r="U596" i="1"/>
  <c r="T596" i="1"/>
  <c r="S596" i="1"/>
  <c r="R596" i="1"/>
  <c r="O596" i="1"/>
  <c r="Q596" i="1" s="1"/>
  <c r="N596" i="1"/>
  <c r="AD595" i="1"/>
  <c r="AA595" i="1"/>
  <c r="Z595" i="1"/>
  <c r="AB595" i="1" s="1"/>
  <c r="AC595" i="1" s="1"/>
  <c r="Y595" i="1"/>
  <c r="W595" i="1"/>
  <c r="X595" i="1" s="1"/>
  <c r="V595" i="1"/>
  <c r="T595" i="1"/>
  <c r="S595" i="1"/>
  <c r="U595" i="1" s="1"/>
  <c r="R595" i="1"/>
  <c r="O595" i="1"/>
  <c r="Q595" i="1" s="1"/>
  <c r="N595" i="1"/>
  <c r="AD594" i="1"/>
  <c r="AA594" i="1"/>
  <c r="Y594" i="1"/>
  <c r="Z594" i="1" s="1"/>
  <c r="AB594" i="1" s="1"/>
  <c r="AC594" i="1" s="1"/>
  <c r="W594" i="1"/>
  <c r="X594" i="1" s="1"/>
  <c r="V594" i="1"/>
  <c r="T594" i="1"/>
  <c r="S594" i="1"/>
  <c r="U594" i="1" s="1"/>
  <c r="R594" i="1"/>
  <c r="Q594" i="1"/>
  <c r="P594" i="1"/>
  <c r="O594" i="1"/>
  <c r="N594" i="1"/>
  <c r="AA593" i="1"/>
  <c r="Y593" i="1"/>
  <c r="AD593" i="1" s="1"/>
  <c r="X593" i="1"/>
  <c r="W593" i="1"/>
  <c r="V593" i="1"/>
  <c r="U593" i="1"/>
  <c r="T593" i="1"/>
  <c r="S593" i="1"/>
  <c r="R593" i="1"/>
  <c r="Q593" i="1"/>
  <c r="P593" i="1"/>
  <c r="O593" i="1"/>
  <c r="N593" i="1"/>
  <c r="AD592" i="1"/>
  <c r="AC592" i="1"/>
  <c r="AA592" i="1"/>
  <c r="Z592" i="1"/>
  <c r="AB592" i="1" s="1"/>
  <c r="Y592" i="1"/>
  <c r="W592" i="1"/>
  <c r="V592" i="1"/>
  <c r="X592" i="1" s="1"/>
  <c r="U592" i="1"/>
  <c r="T592" i="1"/>
  <c r="S592" i="1"/>
  <c r="R592" i="1"/>
  <c r="Q592" i="1"/>
  <c r="O592" i="1"/>
  <c r="P592" i="1" s="1"/>
  <c r="N592" i="1"/>
  <c r="AA591" i="1"/>
  <c r="Z591" i="1"/>
  <c r="AB591" i="1" s="1"/>
  <c r="AC591" i="1" s="1"/>
  <c r="Y591" i="1"/>
  <c r="AD591" i="1" s="1"/>
  <c r="W591" i="1"/>
  <c r="V591" i="1"/>
  <c r="X591" i="1" s="1"/>
  <c r="T591" i="1"/>
  <c r="S591" i="1"/>
  <c r="U591" i="1" s="1"/>
  <c r="R591" i="1"/>
  <c r="O591" i="1"/>
  <c r="Q591" i="1" s="1"/>
  <c r="N591" i="1"/>
  <c r="AA590" i="1"/>
  <c r="Y590" i="1"/>
  <c r="AD590" i="1" s="1"/>
  <c r="X590" i="1"/>
  <c r="W590" i="1"/>
  <c r="V590" i="1"/>
  <c r="T590" i="1"/>
  <c r="S590" i="1"/>
  <c r="U590" i="1" s="1"/>
  <c r="R590" i="1"/>
  <c r="O590" i="1"/>
  <c r="N590" i="1"/>
  <c r="AA589" i="1"/>
  <c r="Y589" i="1"/>
  <c r="Z589" i="1" s="1"/>
  <c r="AB589" i="1" s="1"/>
  <c r="AC589" i="1" s="1"/>
  <c r="X589" i="1"/>
  <c r="W589" i="1"/>
  <c r="V589" i="1"/>
  <c r="T589" i="1"/>
  <c r="U589" i="1" s="1"/>
  <c r="S589" i="1"/>
  <c r="R589" i="1"/>
  <c r="Q589" i="1"/>
  <c r="O589" i="1"/>
  <c r="P589" i="1" s="1"/>
  <c r="N589" i="1"/>
  <c r="AA588" i="1"/>
  <c r="Y588" i="1"/>
  <c r="W588" i="1"/>
  <c r="V588" i="1"/>
  <c r="X588" i="1" s="1"/>
  <c r="T588" i="1"/>
  <c r="S588" i="1"/>
  <c r="U588" i="1" s="1"/>
  <c r="R588" i="1"/>
  <c r="Q588" i="1"/>
  <c r="O588" i="1"/>
  <c r="P588" i="1" s="1"/>
  <c r="N588" i="1"/>
  <c r="AD587" i="1"/>
  <c r="AA587" i="1"/>
  <c r="Y587" i="1"/>
  <c r="Z587" i="1" s="1"/>
  <c r="AB587" i="1" s="1"/>
  <c r="AC587" i="1" s="1"/>
  <c r="W587" i="1"/>
  <c r="V587" i="1"/>
  <c r="X587" i="1" s="1"/>
  <c r="T587" i="1"/>
  <c r="S587" i="1"/>
  <c r="U587" i="1" s="1"/>
  <c r="R587" i="1"/>
  <c r="O587" i="1"/>
  <c r="Q587" i="1" s="1"/>
  <c r="N587" i="1"/>
  <c r="AA586" i="1"/>
  <c r="Y586" i="1"/>
  <c r="AD586" i="1" s="1"/>
  <c r="W586" i="1"/>
  <c r="X586" i="1" s="1"/>
  <c r="V586" i="1"/>
  <c r="T586" i="1"/>
  <c r="U586" i="1" s="1"/>
  <c r="S586" i="1"/>
  <c r="R586" i="1"/>
  <c r="O586" i="1"/>
  <c r="Q586" i="1" s="1"/>
  <c r="N586" i="1"/>
  <c r="AA585" i="1"/>
  <c r="Y585" i="1"/>
  <c r="AD585" i="1" s="1"/>
  <c r="W585" i="1"/>
  <c r="V585" i="1"/>
  <c r="X585" i="1" s="1"/>
  <c r="T585" i="1"/>
  <c r="U585" i="1" s="1"/>
  <c r="S585" i="1"/>
  <c r="R585" i="1"/>
  <c r="Q585" i="1"/>
  <c r="P585" i="1"/>
  <c r="O585" i="1"/>
  <c r="N585" i="1"/>
  <c r="AD584" i="1"/>
  <c r="AA584" i="1"/>
  <c r="Y584" i="1"/>
  <c r="Z584" i="1" s="1"/>
  <c r="AB584" i="1" s="1"/>
  <c r="AC584" i="1" s="1"/>
  <c r="W584" i="1"/>
  <c r="V584" i="1"/>
  <c r="X584" i="1" s="1"/>
  <c r="U584" i="1"/>
  <c r="T584" i="1"/>
  <c r="S584" i="1"/>
  <c r="R584" i="1"/>
  <c r="O584" i="1"/>
  <c r="Q584" i="1" s="1"/>
  <c r="N584" i="1"/>
  <c r="AD583" i="1"/>
  <c r="AA583" i="1"/>
  <c r="Z583" i="1"/>
  <c r="AB583" i="1" s="1"/>
  <c r="AC583" i="1" s="1"/>
  <c r="Y583" i="1"/>
  <c r="W583" i="1"/>
  <c r="X583" i="1" s="1"/>
  <c r="V583" i="1"/>
  <c r="T583" i="1"/>
  <c r="S583" i="1"/>
  <c r="U583" i="1" s="1"/>
  <c r="R583" i="1"/>
  <c r="O583" i="1"/>
  <c r="N583" i="1"/>
  <c r="AD582" i="1"/>
  <c r="AA582" i="1"/>
  <c r="Y582" i="1"/>
  <c r="Z582" i="1" s="1"/>
  <c r="AB582" i="1" s="1"/>
  <c r="AC582" i="1" s="1"/>
  <c r="W582" i="1"/>
  <c r="X582" i="1" s="1"/>
  <c r="V582" i="1"/>
  <c r="T582" i="1"/>
  <c r="S582" i="1"/>
  <c r="R582" i="1"/>
  <c r="Q582" i="1"/>
  <c r="P582" i="1"/>
  <c r="O582" i="1"/>
  <c r="N582" i="1"/>
  <c r="AA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AD580" i="1"/>
  <c r="AC580" i="1"/>
  <c r="AA580" i="1"/>
  <c r="Z580" i="1"/>
  <c r="AB580" i="1" s="1"/>
  <c r="Y580" i="1"/>
  <c r="W580" i="1"/>
  <c r="V580" i="1"/>
  <c r="X580" i="1" s="1"/>
  <c r="U580" i="1"/>
  <c r="T580" i="1"/>
  <c r="S580" i="1"/>
  <c r="R580" i="1"/>
  <c r="Q580" i="1"/>
  <c r="O580" i="1"/>
  <c r="P580" i="1" s="1"/>
  <c r="N580" i="1"/>
  <c r="AA579" i="1"/>
  <c r="Z579" i="1"/>
  <c r="AB579" i="1" s="1"/>
  <c r="AC579" i="1" s="1"/>
  <c r="Y579" i="1"/>
  <c r="AD579" i="1" s="1"/>
  <c r="W579" i="1"/>
  <c r="V579" i="1"/>
  <c r="T579" i="1"/>
  <c r="S579" i="1"/>
  <c r="U579" i="1" s="1"/>
  <c r="R579" i="1"/>
  <c r="O579" i="1"/>
  <c r="Q579" i="1" s="1"/>
  <c r="N579" i="1"/>
  <c r="AA578" i="1"/>
  <c r="Y578" i="1"/>
  <c r="AD578" i="1" s="1"/>
  <c r="X578" i="1"/>
  <c r="W578" i="1"/>
  <c r="V578" i="1"/>
  <c r="T578" i="1"/>
  <c r="S578" i="1"/>
  <c r="U578" i="1" s="1"/>
  <c r="R578" i="1"/>
  <c r="O578" i="1"/>
  <c r="Q578" i="1" s="1"/>
  <c r="N578" i="1"/>
  <c r="AA577" i="1"/>
  <c r="Y577" i="1"/>
  <c r="Z577" i="1" s="1"/>
  <c r="AB577" i="1" s="1"/>
  <c r="AC577" i="1" s="1"/>
  <c r="X577" i="1"/>
  <c r="W577" i="1"/>
  <c r="V577" i="1"/>
  <c r="U577" i="1"/>
  <c r="T577" i="1"/>
  <c r="S577" i="1"/>
  <c r="R577" i="1"/>
  <c r="Q577" i="1"/>
  <c r="O577" i="1"/>
  <c r="P577" i="1" s="1"/>
  <c r="N577" i="1"/>
  <c r="AA576" i="1"/>
  <c r="Z576" i="1"/>
  <c r="AB576" i="1" s="1"/>
  <c r="AC576" i="1" s="1"/>
  <c r="Y576" i="1"/>
  <c r="AD576" i="1" s="1"/>
  <c r="W576" i="1"/>
  <c r="V576" i="1"/>
  <c r="X576" i="1" s="1"/>
  <c r="T576" i="1"/>
  <c r="S576" i="1"/>
  <c r="U576" i="1" s="1"/>
  <c r="R576" i="1"/>
  <c r="Q576" i="1"/>
  <c r="O576" i="1"/>
  <c r="P576" i="1" s="1"/>
  <c r="N576" i="1"/>
  <c r="AD575" i="1"/>
  <c r="AA575" i="1"/>
  <c r="Y575" i="1"/>
  <c r="Z575" i="1" s="1"/>
  <c r="AB575" i="1" s="1"/>
  <c r="AC575" i="1" s="1"/>
  <c r="W575" i="1"/>
  <c r="V575" i="1"/>
  <c r="X575" i="1" s="1"/>
  <c r="T575" i="1"/>
  <c r="S575" i="1"/>
  <c r="U575" i="1" s="1"/>
  <c r="R575" i="1"/>
  <c r="O575" i="1"/>
  <c r="N575" i="1"/>
  <c r="AA574" i="1"/>
  <c r="Y574" i="1"/>
  <c r="AD574" i="1" s="1"/>
  <c r="W574" i="1"/>
  <c r="X574" i="1" s="1"/>
  <c r="V574" i="1"/>
  <c r="T574" i="1"/>
  <c r="U574" i="1" s="1"/>
  <c r="S574" i="1"/>
  <c r="R574" i="1"/>
  <c r="O574" i="1"/>
  <c r="Q574" i="1" s="1"/>
  <c r="N574" i="1"/>
  <c r="AA573" i="1"/>
  <c r="Y573" i="1"/>
  <c r="W573" i="1"/>
  <c r="V573" i="1"/>
  <c r="X573" i="1" s="1"/>
  <c r="T573" i="1"/>
  <c r="U573" i="1" s="1"/>
  <c r="S573" i="1"/>
  <c r="R573" i="1"/>
  <c r="Q573" i="1"/>
  <c r="P573" i="1"/>
  <c r="O573" i="1"/>
  <c r="N573" i="1"/>
  <c r="AA572" i="1"/>
  <c r="Y572" i="1"/>
  <c r="Z572" i="1" s="1"/>
  <c r="AB572" i="1" s="1"/>
  <c r="AC572" i="1" s="1"/>
  <c r="W572" i="1"/>
  <c r="V572" i="1"/>
  <c r="X572" i="1" s="1"/>
  <c r="U572" i="1"/>
  <c r="T572" i="1"/>
  <c r="S572" i="1"/>
  <c r="R572" i="1"/>
  <c r="O572" i="1"/>
  <c r="Q572" i="1" s="1"/>
  <c r="N572" i="1"/>
  <c r="AD571" i="1"/>
  <c r="AA571" i="1"/>
  <c r="Z571" i="1"/>
  <c r="AB571" i="1" s="1"/>
  <c r="AC571" i="1" s="1"/>
  <c r="Y571" i="1"/>
  <c r="W571" i="1"/>
  <c r="X571" i="1" s="1"/>
  <c r="V571" i="1"/>
  <c r="T571" i="1"/>
  <c r="S571" i="1"/>
  <c r="U571" i="1" s="1"/>
  <c r="R571" i="1"/>
  <c r="O571" i="1"/>
  <c r="N571" i="1"/>
  <c r="AD570" i="1"/>
  <c r="AB570" i="1"/>
  <c r="AC570" i="1" s="1"/>
  <c r="AA570" i="1"/>
  <c r="Y570" i="1"/>
  <c r="Z570" i="1" s="1"/>
  <c r="W570" i="1"/>
  <c r="X570" i="1" s="1"/>
  <c r="V570" i="1"/>
  <c r="T570" i="1"/>
  <c r="S570" i="1"/>
  <c r="U570" i="1" s="1"/>
  <c r="R570" i="1"/>
  <c r="Q570" i="1"/>
  <c r="P570" i="1"/>
  <c r="O570" i="1"/>
  <c r="N570" i="1"/>
  <c r="AA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AD568" i="1"/>
  <c r="AC568" i="1"/>
  <c r="AA568" i="1"/>
  <c r="Z568" i="1"/>
  <c r="AB568" i="1" s="1"/>
  <c r="Y568" i="1"/>
  <c r="W568" i="1"/>
  <c r="V568" i="1"/>
  <c r="X568" i="1" s="1"/>
  <c r="U568" i="1"/>
  <c r="T568" i="1"/>
  <c r="S568" i="1"/>
  <c r="R568" i="1"/>
  <c r="Q568" i="1"/>
  <c r="O568" i="1"/>
  <c r="P568" i="1" s="1"/>
  <c r="N568" i="1"/>
  <c r="AA567" i="1"/>
  <c r="Z567" i="1"/>
  <c r="AB567" i="1" s="1"/>
  <c r="AC567" i="1" s="1"/>
  <c r="Y567" i="1"/>
  <c r="AD567" i="1" s="1"/>
  <c r="W567" i="1"/>
  <c r="V567" i="1"/>
  <c r="X567" i="1" s="1"/>
  <c r="T567" i="1"/>
  <c r="S567" i="1"/>
  <c r="U567" i="1" s="1"/>
  <c r="R567" i="1"/>
  <c r="O567" i="1"/>
  <c r="N567" i="1"/>
  <c r="AA566" i="1"/>
  <c r="Y566" i="1"/>
  <c r="AD566" i="1" s="1"/>
  <c r="X566" i="1"/>
  <c r="W566" i="1"/>
  <c r="V566" i="1"/>
  <c r="T566" i="1"/>
  <c r="S566" i="1"/>
  <c r="U566" i="1" s="1"/>
  <c r="R566" i="1"/>
  <c r="O566" i="1"/>
  <c r="Q566" i="1" s="1"/>
  <c r="N566" i="1"/>
  <c r="AA565" i="1"/>
  <c r="Y565" i="1"/>
  <c r="X565" i="1"/>
  <c r="W565" i="1"/>
  <c r="V565" i="1"/>
  <c r="T565" i="1"/>
  <c r="U565" i="1" s="1"/>
  <c r="S565" i="1"/>
  <c r="R565" i="1"/>
  <c r="Q565" i="1"/>
  <c r="O565" i="1"/>
  <c r="P565" i="1" s="1"/>
  <c r="N565" i="1"/>
  <c r="AD564" i="1"/>
  <c r="AA564" i="1"/>
  <c r="Z564" i="1"/>
  <c r="AB564" i="1" s="1"/>
  <c r="AC564" i="1" s="1"/>
  <c r="Y564" i="1"/>
  <c r="W564" i="1"/>
  <c r="V564" i="1"/>
  <c r="X564" i="1" s="1"/>
  <c r="T564" i="1"/>
  <c r="S564" i="1"/>
  <c r="U564" i="1" s="1"/>
  <c r="R564" i="1"/>
  <c r="Q564" i="1"/>
  <c r="O564" i="1"/>
  <c r="P564" i="1" s="1"/>
  <c r="N564" i="1"/>
  <c r="AD563" i="1"/>
  <c r="AA563" i="1"/>
  <c r="Y563" i="1"/>
  <c r="Z563" i="1" s="1"/>
  <c r="AB563" i="1" s="1"/>
  <c r="AC563" i="1" s="1"/>
  <c r="W563" i="1"/>
  <c r="V563" i="1"/>
  <c r="X563" i="1" s="1"/>
  <c r="T563" i="1"/>
  <c r="S563" i="1"/>
  <c r="U563" i="1" s="1"/>
  <c r="R563" i="1"/>
  <c r="O563" i="1"/>
  <c r="N563" i="1"/>
  <c r="AA562" i="1"/>
  <c r="Y562" i="1"/>
  <c r="AD562" i="1" s="1"/>
  <c r="W562" i="1"/>
  <c r="X562" i="1" s="1"/>
  <c r="V562" i="1"/>
  <c r="T562" i="1"/>
  <c r="U562" i="1" s="1"/>
  <c r="S562" i="1"/>
  <c r="R562" i="1"/>
  <c r="O562" i="1"/>
  <c r="Q562" i="1" s="1"/>
  <c r="N562" i="1"/>
  <c r="AA561" i="1"/>
  <c r="Y561" i="1"/>
  <c r="AD561" i="1" s="1"/>
  <c r="W561" i="1"/>
  <c r="V561" i="1"/>
  <c r="X561" i="1" s="1"/>
  <c r="U561" i="1"/>
  <c r="T561" i="1"/>
  <c r="S561" i="1"/>
  <c r="R561" i="1"/>
  <c r="Q561" i="1"/>
  <c r="P561" i="1"/>
  <c r="O561" i="1"/>
  <c r="N561" i="1"/>
  <c r="AD560" i="1"/>
  <c r="AA560" i="1"/>
  <c r="Y560" i="1"/>
  <c r="Z560" i="1" s="1"/>
  <c r="AB560" i="1" s="1"/>
  <c r="AC560" i="1" s="1"/>
  <c r="W560" i="1"/>
  <c r="V560" i="1"/>
  <c r="X560" i="1" s="1"/>
  <c r="T560" i="1"/>
  <c r="S560" i="1"/>
  <c r="U560" i="1" s="1"/>
  <c r="R560" i="1"/>
  <c r="O560" i="1"/>
  <c r="Q560" i="1" s="1"/>
  <c r="N560" i="1"/>
  <c r="AD559" i="1"/>
  <c r="AA559" i="1"/>
  <c r="Z559" i="1"/>
  <c r="AB559" i="1" s="1"/>
  <c r="AC559" i="1" s="1"/>
  <c r="Y559" i="1"/>
  <c r="X559" i="1"/>
  <c r="W559" i="1"/>
  <c r="V559" i="1"/>
  <c r="T559" i="1"/>
  <c r="S559" i="1"/>
  <c r="U559" i="1" s="1"/>
  <c r="R559" i="1"/>
  <c r="O559" i="1"/>
  <c r="N559" i="1"/>
  <c r="AD558" i="1"/>
  <c r="AA558" i="1"/>
  <c r="Y558" i="1"/>
  <c r="Z558" i="1" s="1"/>
  <c r="AB558" i="1" s="1"/>
  <c r="AC558" i="1" s="1"/>
  <c r="X558" i="1"/>
  <c r="W558" i="1"/>
  <c r="V558" i="1"/>
  <c r="T558" i="1"/>
  <c r="S558" i="1"/>
  <c r="R558" i="1"/>
  <c r="Q558" i="1"/>
  <c r="P558" i="1"/>
  <c r="O558" i="1"/>
  <c r="N558" i="1"/>
  <c r="AA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AD556" i="1"/>
  <c r="AC556" i="1"/>
  <c r="AA556" i="1"/>
  <c r="Z556" i="1"/>
  <c r="AB556" i="1" s="1"/>
  <c r="Y556" i="1"/>
  <c r="W556" i="1"/>
  <c r="V556" i="1"/>
  <c r="X556" i="1" s="1"/>
  <c r="U556" i="1"/>
  <c r="T556" i="1"/>
  <c r="S556" i="1"/>
  <c r="R556" i="1"/>
  <c r="Q556" i="1"/>
  <c r="O556" i="1"/>
  <c r="P556" i="1" s="1"/>
  <c r="N556" i="1"/>
  <c r="AA555" i="1"/>
  <c r="Z555" i="1"/>
  <c r="AB555" i="1" s="1"/>
  <c r="AC555" i="1" s="1"/>
  <c r="Y555" i="1"/>
  <c r="AD555" i="1" s="1"/>
  <c r="W555" i="1"/>
  <c r="V555" i="1"/>
  <c r="X555" i="1" s="1"/>
  <c r="T555" i="1"/>
  <c r="S555" i="1"/>
  <c r="R555" i="1"/>
  <c r="O555" i="1"/>
  <c r="N555" i="1"/>
  <c r="AA554" i="1"/>
  <c r="Y554" i="1"/>
  <c r="X554" i="1"/>
  <c r="W554" i="1"/>
  <c r="V554" i="1"/>
  <c r="T554" i="1"/>
  <c r="S554" i="1"/>
  <c r="U554" i="1" s="1"/>
  <c r="R554" i="1"/>
  <c r="P554" i="1"/>
  <c r="O554" i="1"/>
  <c r="Q554" i="1" s="1"/>
  <c r="N554" i="1"/>
  <c r="AA553" i="1"/>
  <c r="Y553" i="1"/>
  <c r="Z553" i="1" s="1"/>
  <c r="AB553" i="1" s="1"/>
  <c r="AC553" i="1" s="1"/>
  <c r="W553" i="1"/>
  <c r="V553" i="1"/>
  <c r="X553" i="1" s="1"/>
  <c r="T553" i="1"/>
  <c r="U553" i="1" s="1"/>
  <c r="S553" i="1"/>
  <c r="R553" i="1"/>
  <c r="Q553" i="1"/>
  <c r="O553" i="1"/>
  <c r="P553" i="1" s="1"/>
  <c r="N553" i="1"/>
  <c r="AA552" i="1"/>
  <c r="Y552" i="1"/>
  <c r="AD552" i="1" s="1"/>
  <c r="W552" i="1"/>
  <c r="V552" i="1"/>
  <c r="X552" i="1" s="1"/>
  <c r="T552" i="1"/>
  <c r="S552" i="1"/>
  <c r="U552" i="1" s="1"/>
  <c r="R552" i="1"/>
  <c r="Q552" i="1"/>
  <c r="O552" i="1"/>
  <c r="P552" i="1" s="1"/>
  <c r="N552" i="1"/>
  <c r="AD551" i="1"/>
  <c r="AA551" i="1"/>
  <c r="Y551" i="1"/>
  <c r="Z551" i="1" s="1"/>
  <c r="AB551" i="1" s="1"/>
  <c r="AC551" i="1" s="1"/>
  <c r="W551" i="1"/>
  <c r="V551" i="1"/>
  <c r="X551" i="1" s="1"/>
  <c r="T551" i="1"/>
  <c r="S551" i="1"/>
  <c r="R551" i="1"/>
  <c r="P551" i="1"/>
  <c r="O551" i="1"/>
  <c r="Q551" i="1" s="1"/>
  <c r="N551" i="1"/>
  <c r="AA550" i="1"/>
  <c r="Y550" i="1"/>
  <c r="X550" i="1"/>
  <c r="W550" i="1"/>
  <c r="V550" i="1"/>
  <c r="U550" i="1"/>
  <c r="T550" i="1"/>
  <c r="S550" i="1"/>
  <c r="R550" i="1"/>
  <c r="P550" i="1"/>
  <c r="O550" i="1"/>
  <c r="Q550" i="1" s="1"/>
  <c r="N550" i="1"/>
  <c r="AA549" i="1"/>
  <c r="Y549" i="1"/>
  <c r="W549" i="1"/>
  <c r="V549" i="1"/>
  <c r="X549" i="1" s="1"/>
  <c r="U549" i="1"/>
  <c r="T549" i="1"/>
  <c r="S549" i="1"/>
  <c r="R549" i="1"/>
  <c r="Q549" i="1"/>
  <c r="P549" i="1"/>
  <c r="O549" i="1"/>
  <c r="N549" i="1"/>
  <c r="AD548" i="1"/>
  <c r="AA548" i="1"/>
  <c r="Z548" i="1"/>
  <c r="AB548" i="1" s="1"/>
  <c r="AC548" i="1" s="1"/>
  <c r="Y548" i="1"/>
  <c r="W548" i="1"/>
  <c r="V548" i="1"/>
  <c r="T548" i="1"/>
  <c r="S548" i="1"/>
  <c r="U548" i="1" s="1"/>
  <c r="R548" i="1"/>
  <c r="O548" i="1"/>
  <c r="Q548" i="1" s="1"/>
  <c r="N548" i="1"/>
  <c r="AB547" i="1"/>
  <c r="AC547" i="1" s="1"/>
  <c r="AA547" i="1"/>
  <c r="Y547" i="1"/>
  <c r="Z547" i="1" s="1"/>
  <c r="X547" i="1"/>
  <c r="W547" i="1"/>
  <c r="V547" i="1"/>
  <c r="T547" i="1"/>
  <c r="S547" i="1"/>
  <c r="U547" i="1" s="1"/>
  <c r="R547" i="1"/>
  <c r="O547" i="1"/>
  <c r="Q547" i="1" s="1"/>
  <c r="N547" i="1"/>
  <c r="AD546" i="1"/>
  <c r="AB546" i="1"/>
  <c r="AC546" i="1" s="1"/>
  <c r="AA546" i="1"/>
  <c r="Y546" i="1"/>
  <c r="Z546" i="1" s="1"/>
  <c r="X546" i="1"/>
  <c r="W546" i="1"/>
  <c r="V546" i="1"/>
  <c r="U546" i="1"/>
  <c r="T546" i="1"/>
  <c r="S546" i="1"/>
  <c r="R546" i="1"/>
  <c r="Q546" i="1"/>
  <c r="P546" i="1"/>
  <c r="O546" i="1"/>
  <c r="N546" i="1"/>
  <c r="AA545" i="1"/>
  <c r="Y545" i="1"/>
  <c r="AD545" i="1" s="1"/>
  <c r="W545" i="1"/>
  <c r="V545" i="1"/>
  <c r="X545" i="1" s="1"/>
  <c r="U545" i="1"/>
  <c r="T545" i="1"/>
  <c r="S545" i="1"/>
  <c r="R545" i="1"/>
  <c r="Q545" i="1"/>
  <c r="P545" i="1"/>
  <c r="O545" i="1"/>
  <c r="N545" i="1"/>
  <c r="AD544" i="1"/>
  <c r="AA544" i="1"/>
  <c r="Z544" i="1"/>
  <c r="AB544" i="1" s="1"/>
  <c r="AC544" i="1" s="1"/>
  <c r="Y544" i="1"/>
  <c r="W544" i="1"/>
  <c r="V544" i="1"/>
  <c r="X544" i="1" s="1"/>
  <c r="T544" i="1"/>
  <c r="S544" i="1"/>
  <c r="U544" i="1" s="1"/>
  <c r="R544" i="1"/>
  <c r="Q544" i="1"/>
  <c r="O544" i="1"/>
  <c r="P544" i="1" s="1"/>
  <c r="N544" i="1"/>
  <c r="AA543" i="1"/>
  <c r="Z543" i="1"/>
  <c r="AB543" i="1" s="1"/>
  <c r="AC543" i="1" s="1"/>
  <c r="Y543" i="1"/>
  <c r="AD543" i="1" s="1"/>
  <c r="W543" i="1"/>
  <c r="V543" i="1"/>
  <c r="X543" i="1" s="1"/>
  <c r="T543" i="1"/>
  <c r="S543" i="1"/>
  <c r="U543" i="1" s="1"/>
  <c r="R543" i="1"/>
  <c r="O543" i="1"/>
  <c r="N543" i="1"/>
  <c r="AA542" i="1"/>
  <c r="Z542" i="1"/>
  <c r="AB542" i="1" s="1"/>
  <c r="AC542" i="1" s="1"/>
  <c r="Y542" i="1"/>
  <c r="AD542" i="1" s="1"/>
  <c r="X542" i="1"/>
  <c r="W542" i="1"/>
  <c r="V542" i="1"/>
  <c r="T542" i="1"/>
  <c r="S542" i="1"/>
  <c r="R542" i="1"/>
  <c r="Q542" i="1"/>
  <c r="P542" i="1"/>
  <c r="O542" i="1"/>
  <c r="N542" i="1"/>
  <c r="AA541" i="1"/>
  <c r="Y541" i="1"/>
  <c r="Z541" i="1" s="1"/>
  <c r="AB541" i="1" s="1"/>
  <c r="AC541" i="1" s="1"/>
  <c r="X541" i="1"/>
  <c r="W541" i="1"/>
  <c r="V541" i="1"/>
  <c r="T541" i="1"/>
  <c r="S541" i="1"/>
  <c r="R541" i="1"/>
  <c r="Q541" i="1"/>
  <c r="O541" i="1"/>
  <c r="P541" i="1" s="1"/>
  <c r="N541" i="1"/>
  <c r="AD540" i="1"/>
  <c r="AA540" i="1"/>
  <c r="Z540" i="1"/>
  <c r="AB540" i="1" s="1"/>
  <c r="AC540" i="1" s="1"/>
  <c r="Y540" i="1"/>
  <c r="W540" i="1"/>
  <c r="V540" i="1"/>
  <c r="X540" i="1" s="1"/>
  <c r="T540" i="1"/>
  <c r="S540" i="1"/>
  <c r="U540" i="1" s="1"/>
  <c r="R540" i="1"/>
  <c r="O540" i="1"/>
  <c r="P540" i="1" s="1"/>
  <c r="N540" i="1"/>
  <c r="AD539" i="1"/>
  <c r="AA539" i="1"/>
  <c r="Y539" i="1"/>
  <c r="Z539" i="1" s="1"/>
  <c r="AB539" i="1" s="1"/>
  <c r="AC539" i="1" s="1"/>
  <c r="W539" i="1"/>
  <c r="V539" i="1"/>
  <c r="T539" i="1"/>
  <c r="S539" i="1"/>
  <c r="R539" i="1"/>
  <c r="Q539" i="1"/>
  <c r="O539" i="1"/>
  <c r="P539" i="1" s="1"/>
  <c r="N539" i="1"/>
  <c r="AA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AD537" i="1"/>
  <c r="AA537" i="1"/>
  <c r="Z537" i="1"/>
  <c r="AB537" i="1" s="1"/>
  <c r="AC537" i="1" s="1"/>
  <c r="Y537" i="1"/>
  <c r="X537" i="1"/>
  <c r="W537" i="1"/>
  <c r="V537" i="1"/>
  <c r="U537" i="1"/>
  <c r="T537" i="1"/>
  <c r="S537" i="1"/>
  <c r="R537" i="1"/>
  <c r="Q537" i="1"/>
  <c r="O537" i="1"/>
  <c r="P537" i="1" s="1"/>
  <c r="N537" i="1"/>
  <c r="AA536" i="1"/>
  <c r="Y536" i="1"/>
  <c r="AD536" i="1" s="1"/>
  <c r="W536" i="1"/>
  <c r="V536" i="1"/>
  <c r="X536" i="1" s="1"/>
  <c r="U536" i="1"/>
  <c r="T536" i="1"/>
  <c r="S536" i="1"/>
  <c r="R536" i="1"/>
  <c r="Q536" i="1"/>
  <c r="O536" i="1"/>
  <c r="P536" i="1" s="1"/>
  <c r="N536" i="1"/>
  <c r="AA535" i="1"/>
  <c r="Y535" i="1"/>
  <c r="AD535" i="1" s="1"/>
  <c r="X535" i="1"/>
  <c r="W535" i="1"/>
  <c r="V535" i="1"/>
  <c r="T535" i="1"/>
  <c r="S535" i="1"/>
  <c r="R535" i="1"/>
  <c r="P535" i="1"/>
  <c r="O535" i="1"/>
  <c r="Q535" i="1" s="1"/>
  <c r="N535" i="1"/>
  <c r="AD534" i="1"/>
  <c r="AA534" i="1"/>
  <c r="Z534" i="1"/>
  <c r="AB534" i="1" s="1"/>
  <c r="AC534" i="1" s="1"/>
  <c r="Y534" i="1"/>
  <c r="X534" i="1"/>
  <c r="W534" i="1"/>
  <c r="V534" i="1"/>
  <c r="U534" i="1"/>
  <c r="T534" i="1"/>
  <c r="S534" i="1"/>
  <c r="R534" i="1"/>
  <c r="O534" i="1"/>
  <c r="N534" i="1"/>
  <c r="AA533" i="1"/>
  <c r="Z533" i="1"/>
  <c r="AB533" i="1" s="1"/>
  <c r="AC533" i="1" s="1"/>
  <c r="Y533" i="1"/>
  <c r="AD533" i="1" s="1"/>
  <c r="W533" i="1"/>
  <c r="X533" i="1" s="1"/>
  <c r="V533" i="1"/>
  <c r="T533" i="1"/>
  <c r="S533" i="1"/>
  <c r="U533" i="1" s="1"/>
  <c r="R533" i="1"/>
  <c r="Q533" i="1"/>
  <c r="P533" i="1"/>
  <c r="O533" i="1"/>
  <c r="N533" i="1"/>
  <c r="AA532" i="1"/>
  <c r="Y532" i="1"/>
  <c r="X532" i="1"/>
  <c r="W532" i="1"/>
  <c r="V532" i="1"/>
  <c r="T532" i="1"/>
  <c r="S532" i="1"/>
  <c r="U532" i="1" s="1"/>
  <c r="R532" i="1"/>
  <c r="Q532" i="1"/>
  <c r="P532" i="1"/>
  <c r="O532" i="1"/>
  <c r="N532" i="1"/>
  <c r="AD531" i="1"/>
  <c r="AA531" i="1"/>
  <c r="Z531" i="1"/>
  <c r="AB531" i="1" s="1"/>
  <c r="AC531" i="1" s="1"/>
  <c r="Y531" i="1"/>
  <c r="X531" i="1"/>
  <c r="W531" i="1"/>
  <c r="V531" i="1"/>
  <c r="U531" i="1"/>
  <c r="T531" i="1"/>
  <c r="S531" i="1"/>
  <c r="R531" i="1"/>
  <c r="Q531" i="1"/>
  <c r="O531" i="1"/>
  <c r="P531" i="1" s="1"/>
  <c r="N531" i="1"/>
  <c r="AA530" i="1"/>
  <c r="Z530" i="1"/>
  <c r="AB530" i="1" s="1"/>
  <c r="AC530" i="1" s="1"/>
  <c r="Y530" i="1"/>
  <c r="AD530" i="1" s="1"/>
  <c r="W530" i="1"/>
  <c r="V530" i="1"/>
  <c r="X530" i="1" s="1"/>
  <c r="T530" i="1"/>
  <c r="S530" i="1"/>
  <c r="U530" i="1" s="1"/>
  <c r="R530" i="1"/>
  <c r="Q530" i="1"/>
  <c r="O530" i="1"/>
  <c r="P530" i="1" s="1"/>
  <c r="N530" i="1"/>
  <c r="AA529" i="1"/>
  <c r="Y529" i="1"/>
  <c r="Z529" i="1" s="1"/>
  <c r="AB529" i="1" s="1"/>
  <c r="AC529" i="1" s="1"/>
  <c r="W529" i="1"/>
  <c r="V529" i="1"/>
  <c r="X529" i="1" s="1"/>
  <c r="T529" i="1"/>
  <c r="S529" i="1"/>
  <c r="U529" i="1" s="1"/>
  <c r="R529" i="1"/>
  <c r="P529" i="1"/>
  <c r="O529" i="1"/>
  <c r="Q529" i="1" s="1"/>
  <c r="N529" i="1"/>
  <c r="AD528" i="1"/>
  <c r="AA528" i="1"/>
  <c r="Y528" i="1"/>
  <c r="Z528" i="1" s="1"/>
  <c r="AB528" i="1" s="1"/>
  <c r="AC528" i="1" s="1"/>
  <c r="X528" i="1"/>
  <c r="W528" i="1"/>
  <c r="V528" i="1"/>
  <c r="U528" i="1"/>
  <c r="T528" i="1"/>
  <c r="S528" i="1"/>
  <c r="R528" i="1"/>
  <c r="O528" i="1"/>
  <c r="Q528" i="1" s="1"/>
  <c r="N528" i="1"/>
  <c r="AA527" i="1"/>
  <c r="Z527" i="1"/>
  <c r="AB527" i="1" s="1"/>
  <c r="AC527" i="1" s="1"/>
  <c r="Y527" i="1"/>
  <c r="AD527" i="1" s="1"/>
  <c r="W527" i="1"/>
  <c r="V527" i="1"/>
  <c r="X527" i="1" s="1"/>
  <c r="T527" i="1"/>
  <c r="S527" i="1"/>
  <c r="U527" i="1" s="1"/>
  <c r="R527" i="1"/>
  <c r="Q527" i="1"/>
  <c r="O527" i="1"/>
  <c r="P527" i="1" s="1"/>
  <c r="N527" i="1"/>
  <c r="AA526" i="1"/>
  <c r="Y526" i="1"/>
  <c r="Z526" i="1" s="1"/>
  <c r="AB526" i="1" s="1"/>
  <c r="AC526" i="1" s="1"/>
  <c r="W526" i="1"/>
  <c r="V526" i="1"/>
  <c r="X526" i="1" s="1"/>
  <c r="T526" i="1"/>
  <c r="S526" i="1"/>
  <c r="U526" i="1" s="1"/>
  <c r="R526" i="1"/>
  <c r="P526" i="1"/>
  <c r="O526" i="1"/>
  <c r="Q526" i="1" s="1"/>
  <c r="N526" i="1"/>
  <c r="AD525" i="1"/>
  <c r="AA525" i="1"/>
  <c r="Y525" i="1"/>
  <c r="Z525" i="1" s="1"/>
  <c r="AB525" i="1" s="1"/>
  <c r="AC525" i="1" s="1"/>
  <c r="X525" i="1"/>
  <c r="W525" i="1"/>
  <c r="V525" i="1"/>
  <c r="U525" i="1"/>
  <c r="T525" i="1"/>
  <c r="S525" i="1"/>
  <c r="R525" i="1"/>
  <c r="O525" i="1"/>
  <c r="Q525" i="1" s="1"/>
  <c r="N525" i="1"/>
  <c r="AD524" i="1"/>
  <c r="AC524" i="1"/>
  <c r="AB524" i="1"/>
  <c r="AA524" i="1"/>
  <c r="Z524" i="1"/>
  <c r="Y524" i="1"/>
  <c r="W524" i="1"/>
  <c r="V524" i="1"/>
  <c r="X524" i="1" s="1"/>
  <c r="T524" i="1"/>
  <c r="U524" i="1" s="1"/>
  <c r="S524" i="1"/>
  <c r="R524" i="1"/>
  <c r="Q524" i="1"/>
  <c r="P524" i="1"/>
  <c r="O524" i="1"/>
  <c r="N524" i="1"/>
  <c r="AA523" i="1"/>
  <c r="Y523" i="1"/>
  <c r="AD523" i="1" s="1"/>
  <c r="W523" i="1"/>
  <c r="V523" i="1"/>
  <c r="X523" i="1" s="1"/>
  <c r="U523" i="1"/>
  <c r="T523" i="1"/>
  <c r="S523" i="1"/>
  <c r="R523" i="1"/>
  <c r="P523" i="1"/>
  <c r="O523" i="1"/>
  <c r="Q523" i="1" s="1"/>
  <c r="N523" i="1"/>
  <c r="AD522" i="1"/>
  <c r="AA522" i="1"/>
  <c r="Z522" i="1"/>
  <c r="AB522" i="1" s="1"/>
  <c r="AC522" i="1" s="1"/>
  <c r="Y522" i="1"/>
  <c r="X522" i="1"/>
  <c r="W522" i="1"/>
  <c r="V522" i="1"/>
  <c r="U522" i="1"/>
  <c r="T522" i="1"/>
  <c r="S522" i="1"/>
  <c r="R522" i="1"/>
  <c r="O522" i="1"/>
  <c r="N522" i="1"/>
  <c r="AA521" i="1"/>
  <c r="Z521" i="1"/>
  <c r="AB521" i="1" s="1"/>
  <c r="AC521" i="1" s="1"/>
  <c r="Y521" i="1"/>
  <c r="AD521" i="1" s="1"/>
  <c r="W521" i="1"/>
  <c r="X521" i="1" s="1"/>
  <c r="V521" i="1"/>
  <c r="T521" i="1"/>
  <c r="S521" i="1"/>
  <c r="U521" i="1" s="1"/>
  <c r="R521" i="1"/>
  <c r="Q521" i="1"/>
  <c r="P521" i="1"/>
  <c r="O521" i="1"/>
  <c r="N521" i="1"/>
  <c r="AA520" i="1"/>
  <c r="Y520" i="1"/>
  <c r="X520" i="1"/>
  <c r="W520" i="1"/>
  <c r="V520" i="1"/>
  <c r="T520" i="1"/>
  <c r="S520" i="1"/>
  <c r="U520" i="1" s="1"/>
  <c r="R520" i="1"/>
  <c r="Q520" i="1"/>
  <c r="P520" i="1"/>
  <c r="O520" i="1"/>
  <c r="N520" i="1"/>
  <c r="AD519" i="1"/>
  <c r="AA519" i="1"/>
  <c r="Z519" i="1"/>
  <c r="AB519" i="1" s="1"/>
  <c r="AC519" i="1" s="1"/>
  <c r="Y519" i="1"/>
  <c r="X519" i="1"/>
  <c r="W519" i="1"/>
  <c r="V519" i="1"/>
  <c r="U519" i="1"/>
  <c r="T519" i="1"/>
  <c r="S519" i="1"/>
  <c r="R519" i="1"/>
  <c r="Q519" i="1"/>
  <c r="O519" i="1"/>
  <c r="P519" i="1" s="1"/>
  <c r="N519" i="1"/>
  <c r="AA518" i="1"/>
  <c r="Z518" i="1"/>
  <c r="AB518" i="1" s="1"/>
  <c r="AC518" i="1" s="1"/>
  <c r="Y518" i="1"/>
  <c r="AD518" i="1" s="1"/>
  <c r="W518" i="1"/>
  <c r="V518" i="1"/>
  <c r="X518" i="1" s="1"/>
  <c r="T518" i="1"/>
  <c r="S518" i="1"/>
  <c r="U518" i="1" s="1"/>
  <c r="R518" i="1"/>
  <c r="Q518" i="1"/>
  <c r="O518" i="1"/>
  <c r="P518" i="1" s="1"/>
  <c r="N518" i="1"/>
  <c r="AA517" i="1"/>
  <c r="Y517" i="1"/>
  <c r="Z517" i="1" s="1"/>
  <c r="AB517" i="1" s="1"/>
  <c r="AC517" i="1" s="1"/>
  <c r="W517" i="1"/>
  <c r="V517" i="1"/>
  <c r="X517" i="1" s="1"/>
  <c r="T517" i="1"/>
  <c r="S517" i="1"/>
  <c r="U517" i="1" s="1"/>
  <c r="R517" i="1"/>
  <c r="P517" i="1"/>
  <c r="O517" i="1"/>
  <c r="Q517" i="1" s="1"/>
  <c r="N517" i="1"/>
  <c r="AD516" i="1"/>
  <c r="AA516" i="1"/>
  <c r="Y516" i="1"/>
  <c r="Z516" i="1" s="1"/>
  <c r="AB516" i="1" s="1"/>
  <c r="AC516" i="1" s="1"/>
  <c r="X516" i="1"/>
  <c r="W516" i="1"/>
  <c r="V516" i="1"/>
  <c r="U516" i="1"/>
  <c r="T516" i="1"/>
  <c r="S516" i="1"/>
  <c r="R516" i="1"/>
  <c r="O516" i="1"/>
  <c r="Q516" i="1" s="1"/>
  <c r="N516" i="1"/>
  <c r="AA515" i="1"/>
  <c r="Z515" i="1"/>
  <c r="AB515" i="1" s="1"/>
  <c r="AC515" i="1" s="1"/>
  <c r="Y515" i="1"/>
  <c r="AD515" i="1" s="1"/>
  <c r="W515" i="1"/>
  <c r="V515" i="1"/>
  <c r="X515" i="1" s="1"/>
  <c r="T515" i="1"/>
  <c r="S515" i="1"/>
  <c r="U515" i="1" s="1"/>
  <c r="R515" i="1"/>
  <c r="Q515" i="1"/>
  <c r="O515" i="1"/>
  <c r="P515" i="1" s="1"/>
  <c r="N515" i="1"/>
  <c r="AD514" i="1"/>
  <c r="AA514" i="1"/>
  <c r="Y514" i="1"/>
  <c r="Z514" i="1" s="1"/>
  <c r="AB514" i="1" s="1"/>
  <c r="AC514" i="1" s="1"/>
  <c r="W514" i="1"/>
  <c r="V514" i="1"/>
  <c r="X514" i="1" s="1"/>
  <c r="T514" i="1"/>
  <c r="S514" i="1"/>
  <c r="U514" i="1" s="1"/>
  <c r="R514" i="1"/>
  <c r="P514" i="1"/>
  <c r="O514" i="1"/>
  <c r="Q514" i="1" s="1"/>
  <c r="N514" i="1"/>
  <c r="AD513" i="1"/>
  <c r="AA513" i="1"/>
  <c r="Y513" i="1"/>
  <c r="Z513" i="1" s="1"/>
  <c r="AB513" i="1" s="1"/>
  <c r="AC513" i="1" s="1"/>
  <c r="X513" i="1"/>
  <c r="W513" i="1"/>
  <c r="V513" i="1"/>
  <c r="U513" i="1"/>
  <c r="T513" i="1"/>
  <c r="S513" i="1"/>
  <c r="R513" i="1"/>
  <c r="O513" i="1"/>
  <c r="Q513" i="1" s="1"/>
  <c r="N513" i="1"/>
  <c r="AD512" i="1"/>
  <c r="AC512" i="1"/>
  <c r="AB512" i="1"/>
  <c r="AA512" i="1"/>
  <c r="Z512" i="1"/>
  <c r="Y512" i="1"/>
  <c r="W512" i="1"/>
  <c r="V512" i="1"/>
  <c r="X512" i="1" s="1"/>
  <c r="T512" i="1"/>
  <c r="U512" i="1" s="1"/>
  <c r="S512" i="1"/>
  <c r="R512" i="1"/>
  <c r="Q512" i="1"/>
  <c r="P512" i="1"/>
  <c r="O512" i="1"/>
  <c r="N512" i="1"/>
  <c r="AA511" i="1"/>
  <c r="Y511" i="1"/>
  <c r="AD511" i="1" s="1"/>
  <c r="W511" i="1"/>
  <c r="V511" i="1"/>
  <c r="X511" i="1" s="1"/>
  <c r="U511" i="1"/>
  <c r="T511" i="1"/>
  <c r="S511" i="1"/>
  <c r="R511" i="1"/>
  <c r="P511" i="1"/>
  <c r="O511" i="1"/>
  <c r="Q511" i="1" s="1"/>
  <c r="N511" i="1"/>
  <c r="AD510" i="1"/>
  <c r="AA510" i="1"/>
  <c r="Z510" i="1"/>
  <c r="AB510" i="1" s="1"/>
  <c r="AC510" i="1" s="1"/>
  <c r="Y510" i="1"/>
  <c r="X510" i="1"/>
  <c r="W510" i="1"/>
  <c r="V510" i="1"/>
  <c r="U510" i="1"/>
  <c r="T510" i="1"/>
  <c r="S510" i="1"/>
  <c r="R510" i="1"/>
  <c r="O510" i="1"/>
  <c r="N510" i="1"/>
  <c r="AA509" i="1"/>
  <c r="Z509" i="1"/>
  <c r="AB509" i="1" s="1"/>
  <c r="AC509" i="1" s="1"/>
  <c r="Y509" i="1"/>
  <c r="AD509" i="1" s="1"/>
  <c r="W509" i="1"/>
  <c r="X509" i="1" s="1"/>
  <c r="V509" i="1"/>
  <c r="T509" i="1"/>
  <c r="S509" i="1"/>
  <c r="R509" i="1"/>
  <c r="Q509" i="1"/>
  <c r="P509" i="1"/>
  <c r="O509" i="1"/>
  <c r="N509" i="1"/>
  <c r="AA508" i="1"/>
  <c r="Y508" i="1"/>
  <c r="X508" i="1"/>
  <c r="W508" i="1"/>
  <c r="V508" i="1"/>
  <c r="T508" i="1"/>
  <c r="S508" i="1"/>
  <c r="U508" i="1" s="1"/>
  <c r="R508" i="1"/>
  <c r="Q508" i="1"/>
  <c r="P508" i="1"/>
  <c r="O508" i="1"/>
  <c r="N508" i="1"/>
  <c r="AD507" i="1"/>
  <c r="AA507" i="1"/>
  <c r="Z507" i="1"/>
  <c r="AB507" i="1" s="1"/>
  <c r="AC507" i="1" s="1"/>
  <c r="Y507" i="1"/>
  <c r="X507" i="1"/>
  <c r="W507" i="1"/>
  <c r="V507" i="1"/>
  <c r="U507" i="1"/>
  <c r="T507" i="1"/>
  <c r="S507" i="1"/>
  <c r="R507" i="1"/>
  <c r="Q507" i="1"/>
  <c r="O507" i="1"/>
  <c r="P507" i="1" s="1"/>
  <c r="N507" i="1"/>
  <c r="AA506" i="1"/>
  <c r="Z506" i="1"/>
  <c r="AB506" i="1" s="1"/>
  <c r="AC506" i="1" s="1"/>
  <c r="Y506" i="1"/>
  <c r="AD506" i="1" s="1"/>
  <c r="W506" i="1"/>
  <c r="V506" i="1"/>
  <c r="T506" i="1"/>
  <c r="S506" i="1"/>
  <c r="U506" i="1" s="1"/>
  <c r="R506" i="1"/>
  <c r="Q506" i="1"/>
  <c r="O506" i="1"/>
  <c r="P506" i="1" s="1"/>
  <c r="N506" i="1"/>
  <c r="AA505" i="1"/>
  <c r="Y505" i="1"/>
  <c r="Z505" i="1" s="1"/>
  <c r="AB505" i="1" s="1"/>
  <c r="AC505" i="1" s="1"/>
  <c r="W505" i="1"/>
  <c r="V505" i="1"/>
  <c r="X505" i="1" s="1"/>
  <c r="T505" i="1"/>
  <c r="S505" i="1"/>
  <c r="U505" i="1" s="1"/>
  <c r="R505" i="1"/>
  <c r="P505" i="1"/>
  <c r="O505" i="1"/>
  <c r="Q505" i="1" s="1"/>
  <c r="N505" i="1"/>
  <c r="AD504" i="1"/>
  <c r="AA504" i="1"/>
  <c r="Y504" i="1"/>
  <c r="Z504" i="1" s="1"/>
  <c r="AB504" i="1" s="1"/>
  <c r="AC504" i="1" s="1"/>
  <c r="X504" i="1"/>
  <c r="W504" i="1"/>
  <c r="V504" i="1"/>
  <c r="U504" i="1"/>
  <c r="T504" i="1"/>
  <c r="S504" i="1"/>
  <c r="R504" i="1"/>
  <c r="O504" i="1"/>
  <c r="Q504" i="1" s="1"/>
  <c r="N504" i="1"/>
  <c r="AA503" i="1"/>
  <c r="Z503" i="1"/>
  <c r="AB503" i="1" s="1"/>
  <c r="AC503" i="1" s="1"/>
  <c r="Y503" i="1"/>
  <c r="AD503" i="1" s="1"/>
  <c r="W503" i="1"/>
  <c r="V503" i="1"/>
  <c r="X503" i="1" s="1"/>
  <c r="T503" i="1"/>
  <c r="S503" i="1"/>
  <c r="U503" i="1" s="1"/>
  <c r="R503" i="1"/>
  <c r="Q503" i="1"/>
  <c r="O503" i="1"/>
  <c r="P503" i="1" s="1"/>
  <c r="N503" i="1"/>
  <c r="AD502" i="1"/>
  <c r="AA502" i="1"/>
  <c r="Y502" i="1"/>
  <c r="Z502" i="1" s="1"/>
  <c r="AB502" i="1" s="1"/>
  <c r="AC502" i="1" s="1"/>
  <c r="W502" i="1"/>
  <c r="V502" i="1"/>
  <c r="X502" i="1" s="1"/>
  <c r="T502" i="1"/>
  <c r="S502" i="1"/>
  <c r="U502" i="1" s="1"/>
  <c r="R502" i="1"/>
  <c r="P502" i="1"/>
  <c r="O502" i="1"/>
  <c r="Q502" i="1" s="1"/>
  <c r="N502" i="1"/>
  <c r="AD501" i="1"/>
  <c r="AA501" i="1"/>
  <c r="Y501" i="1"/>
  <c r="Z501" i="1" s="1"/>
  <c r="AB501" i="1" s="1"/>
  <c r="AC501" i="1" s="1"/>
  <c r="X501" i="1"/>
  <c r="W501" i="1"/>
  <c r="V501" i="1"/>
  <c r="U501" i="1"/>
  <c r="T501" i="1"/>
  <c r="S501" i="1"/>
  <c r="R501" i="1"/>
  <c r="O501" i="1"/>
  <c r="Q501" i="1" s="1"/>
  <c r="N501" i="1"/>
  <c r="AD500" i="1"/>
  <c r="AC500" i="1"/>
  <c r="AB500" i="1"/>
  <c r="AA500" i="1"/>
  <c r="Z500" i="1"/>
  <c r="Y500" i="1"/>
  <c r="W500" i="1"/>
  <c r="V500" i="1"/>
  <c r="X500" i="1" s="1"/>
  <c r="T500" i="1"/>
  <c r="U500" i="1" s="1"/>
  <c r="S500" i="1"/>
  <c r="R500" i="1"/>
  <c r="Q500" i="1"/>
  <c r="P500" i="1"/>
  <c r="O500" i="1"/>
  <c r="N500" i="1"/>
  <c r="AA499" i="1"/>
  <c r="Y499" i="1"/>
  <c r="AD499" i="1" s="1"/>
  <c r="W499" i="1"/>
  <c r="V499" i="1"/>
  <c r="X499" i="1" s="1"/>
  <c r="U499" i="1"/>
  <c r="T499" i="1"/>
  <c r="S499" i="1"/>
  <c r="R499" i="1"/>
  <c r="P499" i="1"/>
  <c r="O499" i="1"/>
  <c r="Q499" i="1" s="1"/>
  <c r="N499" i="1"/>
  <c r="AD498" i="1"/>
  <c r="AA498" i="1"/>
  <c r="Z498" i="1"/>
  <c r="AB498" i="1" s="1"/>
  <c r="AC498" i="1" s="1"/>
  <c r="Y498" i="1"/>
  <c r="X498" i="1"/>
  <c r="W498" i="1"/>
  <c r="V498" i="1"/>
  <c r="U498" i="1"/>
  <c r="T498" i="1"/>
  <c r="S498" i="1"/>
  <c r="R498" i="1"/>
  <c r="O498" i="1"/>
  <c r="N498" i="1"/>
  <c r="AA497" i="1"/>
  <c r="Z497" i="1"/>
  <c r="AB497" i="1" s="1"/>
  <c r="AC497" i="1" s="1"/>
  <c r="Y497" i="1"/>
  <c r="AD497" i="1" s="1"/>
  <c r="W497" i="1"/>
  <c r="X497" i="1" s="1"/>
  <c r="V497" i="1"/>
  <c r="T497" i="1"/>
  <c r="S497" i="1"/>
  <c r="R497" i="1"/>
  <c r="Q497" i="1"/>
  <c r="P497" i="1"/>
  <c r="O497" i="1"/>
  <c r="N497" i="1"/>
  <c r="AA496" i="1"/>
  <c r="Y496" i="1"/>
  <c r="X496" i="1"/>
  <c r="W496" i="1"/>
  <c r="V496" i="1"/>
  <c r="T496" i="1"/>
  <c r="S496" i="1"/>
  <c r="U496" i="1" s="1"/>
  <c r="R496" i="1"/>
  <c r="Q496" i="1"/>
  <c r="P496" i="1"/>
  <c r="O496" i="1"/>
  <c r="N496" i="1"/>
  <c r="AD495" i="1"/>
  <c r="AA495" i="1"/>
  <c r="Z495" i="1"/>
  <c r="AB495" i="1" s="1"/>
  <c r="AC495" i="1" s="1"/>
  <c r="Y495" i="1"/>
  <c r="X495" i="1"/>
  <c r="W495" i="1"/>
  <c r="V495" i="1"/>
  <c r="U495" i="1"/>
  <c r="T495" i="1"/>
  <c r="S495" i="1"/>
  <c r="R495" i="1"/>
  <c r="Q495" i="1"/>
  <c r="O495" i="1"/>
  <c r="P495" i="1" s="1"/>
  <c r="N495" i="1"/>
  <c r="AC494" i="1"/>
  <c r="AA494" i="1"/>
  <c r="Z494" i="1"/>
  <c r="AB494" i="1" s="1"/>
  <c r="Y494" i="1"/>
  <c r="AD494" i="1" s="1"/>
  <c r="W494" i="1"/>
  <c r="V494" i="1"/>
  <c r="T494" i="1"/>
  <c r="S494" i="1"/>
  <c r="U494" i="1" s="1"/>
  <c r="R494" i="1"/>
  <c r="Q494" i="1"/>
  <c r="O494" i="1"/>
  <c r="P494" i="1" s="1"/>
  <c r="N494" i="1"/>
  <c r="AB493" i="1"/>
  <c r="AC493" i="1" s="1"/>
  <c r="AA493" i="1"/>
  <c r="Y493" i="1"/>
  <c r="Z493" i="1" s="1"/>
  <c r="W493" i="1"/>
  <c r="V493" i="1"/>
  <c r="X493" i="1" s="1"/>
  <c r="T493" i="1"/>
  <c r="S493" i="1"/>
  <c r="U493" i="1" s="1"/>
  <c r="R493" i="1"/>
  <c r="O493" i="1"/>
  <c r="Q493" i="1" s="1"/>
  <c r="N493" i="1"/>
  <c r="AD492" i="1"/>
  <c r="AA492" i="1"/>
  <c r="Y492" i="1"/>
  <c r="Z492" i="1" s="1"/>
  <c r="AB492" i="1" s="1"/>
  <c r="AC492" i="1" s="1"/>
  <c r="X492" i="1"/>
  <c r="W492" i="1"/>
  <c r="V492" i="1"/>
  <c r="T492" i="1"/>
  <c r="U492" i="1" s="1"/>
  <c r="S492" i="1"/>
  <c r="R492" i="1"/>
  <c r="O492" i="1"/>
  <c r="N492" i="1"/>
  <c r="AC491" i="1"/>
  <c r="AA491" i="1"/>
  <c r="Z491" i="1"/>
  <c r="AB491" i="1" s="1"/>
  <c r="Y491" i="1"/>
  <c r="AD491" i="1" s="1"/>
  <c r="W491" i="1"/>
  <c r="V491" i="1"/>
  <c r="X491" i="1" s="1"/>
  <c r="T491" i="1"/>
  <c r="S491" i="1"/>
  <c r="U491" i="1" s="1"/>
  <c r="R491" i="1"/>
  <c r="Q491" i="1"/>
  <c r="O491" i="1"/>
  <c r="P491" i="1" s="1"/>
  <c r="N491" i="1"/>
  <c r="AD490" i="1"/>
  <c r="AA490" i="1"/>
  <c r="Y490" i="1"/>
  <c r="Z490" i="1" s="1"/>
  <c r="AB490" i="1" s="1"/>
  <c r="AC490" i="1" s="1"/>
  <c r="W490" i="1"/>
  <c r="V490" i="1"/>
  <c r="X490" i="1" s="1"/>
  <c r="T490" i="1"/>
  <c r="S490" i="1"/>
  <c r="U490" i="1" s="1"/>
  <c r="R490" i="1"/>
  <c r="P490" i="1"/>
  <c r="O490" i="1"/>
  <c r="Q490" i="1" s="1"/>
  <c r="N490" i="1"/>
  <c r="AD489" i="1"/>
  <c r="AA489" i="1"/>
  <c r="Y489" i="1"/>
  <c r="Z489" i="1" s="1"/>
  <c r="AB489" i="1" s="1"/>
  <c r="AC489" i="1" s="1"/>
  <c r="X489" i="1"/>
  <c r="W489" i="1"/>
  <c r="V489" i="1"/>
  <c r="U489" i="1"/>
  <c r="T489" i="1"/>
  <c r="S489" i="1"/>
  <c r="R489" i="1"/>
  <c r="O489" i="1"/>
  <c r="N489" i="1"/>
  <c r="AD488" i="1"/>
  <c r="AB488" i="1"/>
  <c r="AC488" i="1" s="1"/>
  <c r="AA488" i="1"/>
  <c r="Z488" i="1"/>
  <c r="Y488" i="1"/>
  <c r="W488" i="1"/>
  <c r="V488" i="1"/>
  <c r="T488" i="1"/>
  <c r="U488" i="1" s="1"/>
  <c r="S488" i="1"/>
  <c r="R488" i="1"/>
  <c r="Q488" i="1"/>
  <c r="P488" i="1"/>
  <c r="O488" i="1"/>
  <c r="N488" i="1"/>
  <c r="AA487" i="1"/>
  <c r="Y487" i="1"/>
  <c r="W487" i="1"/>
  <c r="V487" i="1"/>
  <c r="X487" i="1" s="1"/>
  <c r="U487" i="1"/>
  <c r="T487" i="1"/>
  <c r="S487" i="1"/>
  <c r="R487" i="1"/>
  <c r="P487" i="1"/>
  <c r="O487" i="1"/>
  <c r="Q487" i="1" s="1"/>
  <c r="N487" i="1"/>
  <c r="AD486" i="1"/>
  <c r="AA486" i="1"/>
  <c r="Z486" i="1"/>
  <c r="AB486" i="1" s="1"/>
  <c r="AC486" i="1" s="1"/>
  <c r="Y486" i="1"/>
  <c r="X486" i="1"/>
  <c r="W486" i="1"/>
  <c r="V486" i="1"/>
  <c r="U486" i="1"/>
  <c r="T486" i="1"/>
  <c r="S486" i="1"/>
  <c r="R486" i="1"/>
  <c r="O486" i="1"/>
  <c r="N486" i="1"/>
  <c r="AA485" i="1"/>
  <c r="Z485" i="1"/>
  <c r="AB485" i="1" s="1"/>
  <c r="AC485" i="1" s="1"/>
  <c r="Y485" i="1"/>
  <c r="AD485" i="1" s="1"/>
  <c r="W485" i="1"/>
  <c r="X485" i="1" s="1"/>
  <c r="V485" i="1"/>
  <c r="T485" i="1"/>
  <c r="S485" i="1"/>
  <c r="U485" i="1" s="1"/>
  <c r="R485" i="1"/>
  <c r="Q485" i="1"/>
  <c r="P485" i="1"/>
  <c r="O485" i="1"/>
  <c r="N485" i="1"/>
  <c r="AA484" i="1"/>
  <c r="Y484" i="1"/>
  <c r="X484" i="1"/>
  <c r="W484" i="1"/>
  <c r="V484" i="1"/>
  <c r="T484" i="1"/>
  <c r="S484" i="1"/>
  <c r="U484" i="1" s="1"/>
  <c r="R484" i="1"/>
  <c r="Q484" i="1"/>
  <c r="P484" i="1"/>
  <c r="O484" i="1"/>
  <c r="N484" i="1"/>
  <c r="AD483" i="1"/>
  <c r="AA483" i="1"/>
  <c r="Z483" i="1"/>
  <c r="AB483" i="1" s="1"/>
  <c r="AC483" i="1" s="1"/>
  <c r="Y483" i="1"/>
  <c r="X483" i="1"/>
  <c r="W483" i="1"/>
  <c r="V483" i="1"/>
  <c r="U483" i="1"/>
  <c r="T483" i="1"/>
  <c r="S483" i="1"/>
  <c r="R483" i="1"/>
  <c r="Q483" i="1"/>
  <c r="O483" i="1"/>
  <c r="P483" i="1" s="1"/>
  <c r="N483" i="1"/>
  <c r="AA482" i="1"/>
  <c r="Z482" i="1"/>
  <c r="AB482" i="1" s="1"/>
  <c r="AC482" i="1" s="1"/>
  <c r="Y482" i="1"/>
  <c r="AD482" i="1" s="1"/>
  <c r="W482" i="1"/>
  <c r="V482" i="1"/>
  <c r="X482" i="1" s="1"/>
  <c r="T482" i="1"/>
  <c r="S482" i="1"/>
  <c r="R482" i="1"/>
  <c r="Q482" i="1"/>
  <c r="O482" i="1"/>
  <c r="P482" i="1" s="1"/>
  <c r="N482" i="1"/>
  <c r="AA481" i="1"/>
  <c r="Y481" i="1"/>
  <c r="W481" i="1"/>
  <c r="V481" i="1"/>
  <c r="X481" i="1" s="1"/>
  <c r="T481" i="1"/>
  <c r="S481" i="1"/>
  <c r="U481" i="1" s="1"/>
  <c r="R481" i="1"/>
  <c r="O481" i="1"/>
  <c r="N481" i="1"/>
  <c r="AD480" i="1"/>
  <c r="AA480" i="1"/>
  <c r="Y480" i="1"/>
  <c r="Z480" i="1" s="1"/>
  <c r="AB480" i="1" s="1"/>
  <c r="AC480" i="1" s="1"/>
  <c r="X480" i="1"/>
  <c r="W480" i="1"/>
  <c r="V480" i="1"/>
  <c r="U480" i="1"/>
  <c r="T480" i="1"/>
  <c r="S480" i="1"/>
  <c r="R480" i="1"/>
  <c r="O480" i="1"/>
  <c r="N480" i="1"/>
  <c r="AD479" i="1"/>
  <c r="AA479" i="1"/>
  <c r="Z479" i="1"/>
  <c r="AB479" i="1" s="1"/>
  <c r="AC479" i="1" s="1"/>
  <c r="Y479" i="1"/>
  <c r="W479" i="1"/>
  <c r="V479" i="1"/>
  <c r="X479" i="1" s="1"/>
  <c r="T479" i="1"/>
  <c r="S479" i="1"/>
  <c r="R479" i="1"/>
  <c r="Q479" i="1"/>
  <c r="O479" i="1"/>
  <c r="P479" i="1" s="1"/>
  <c r="N479" i="1"/>
  <c r="AD478" i="1"/>
  <c r="AA478" i="1"/>
  <c r="Y478" i="1"/>
  <c r="Z478" i="1" s="1"/>
  <c r="AB478" i="1" s="1"/>
  <c r="AC478" i="1" s="1"/>
  <c r="W478" i="1"/>
  <c r="V478" i="1"/>
  <c r="X478" i="1" s="1"/>
  <c r="T478" i="1"/>
  <c r="S478" i="1"/>
  <c r="U478" i="1" s="1"/>
  <c r="R478" i="1"/>
  <c r="P478" i="1"/>
  <c r="O478" i="1"/>
  <c r="Q478" i="1" s="1"/>
  <c r="N478" i="1"/>
  <c r="AD477" i="1"/>
  <c r="AA477" i="1"/>
  <c r="Y477" i="1"/>
  <c r="Z477" i="1" s="1"/>
  <c r="AB477" i="1" s="1"/>
  <c r="AC477" i="1" s="1"/>
  <c r="W477" i="1"/>
  <c r="X477" i="1" s="1"/>
  <c r="V477" i="1"/>
  <c r="U477" i="1"/>
  <c r="T477" i="1"/>
  <c r="S477" i="1"/>
  <c r="R477" i="1"/>
  <c r="O477" i="1"/>
  <c r="Q477" i="1" s="1"/>
  <c r="N477" i="1"/>
  <c r="AD476" i="1"/>
  <c r="AB476" i="1"/>
  <c r="AC476" i="1" s="1"/>
  <c r="AA476" i="1"/>
  <c r="Z476" i="1"/>
  <c r="Y476" i="1"/>
  <c r="W476" i="1"/>
  <c r="V476" i="1"/>
  <c r="X476" i="1" s="1"/>
  <c r="T476" i="1"/>
  <c r="U476" i="1" s="1"/>
  <c r="S476" i="1"/>
  <c r="R476" i="1"/>
  <c r="Q476" i="1"/>
  <c r="P476" i="1"/>
  <c r="O476" i="1"/>
  <c r="N476" i="1"/>
  <c r="AA475" i="1"/>
  <c r="Y475" i="1"/>
  <c r="W475" i="1"/>
  <c r="V475" i="1"/>
  <c r="X475" i="1" s="1"/>
  <c r="T475" i="1"/>
  <c r="S475" i="1"/>
  <c r="U475" i="1" s="1"/>
  <c r="R475" i="1"/>
  <c r="P475" i="1"/>
  <c r="O475" i="1"/>
  <c r="Q475" i="1" s="1"/>
  <c r="N475" i="1"/>
  <c r="AD474" i="1"/>
  <c r="AA474" i="1"/>
  <c r="Z474" i="1"/>
  <c r="AB474" i="1" s="1"/>
  <c r="AC474" i="1" s="1"/>
  <c r="Y474" i="1"/>
  <c r="X474" i="1"/>
  <c r="W474" i="1"/>
  <c r="V474" i="1"/>
  <c r="T474" i="1"/>
  <c r="S474" i="1"/>
  <c r="U474" i="1" s="1"/>
  <c r="R474" i="1"/>
  <c r="O474" i="1"/>
  <c r="Q474" i="1" s="1"/>
  <c r="N474" i="1"/>
  <c r="AA473" i="1"/>
  <c r="Z473" i="1"/>
  <c r="AB473" i="1" s="1"/>
  <c r="AC473" i="1" s="1"/>
  <c r="Y473" i="1"/>
  <c r="AD473" i="1" s="1"/>
  <c r="X473" i="1"/>
  <c r="W473" i="1"/>
  <c r="V473" i="1"/>
  <c r="U473" i="1"/>
  <c r="T473" i="1"/>
  <c r="S473" i="1"/>
  <c r="R473" i="1"/>
  <c r="Q473" i="1"/>
  <c r="P473" i="1"/>
  <c r="O473" i="1"/>
  <c r="N473" i="1"/>
  <c r="AA472" i="1"/>
  <c r="Y472" i="1"/>
  <c r="AD472" i="1" s="1"/>
  <c r="X472" i="1"/>
  <c r="W472" i="1"/>
  <c r="V472" i="1"/>
  <c r="T472" i="1"/>
  <c r="S472" i="1"/>
  <c r="U472" i="1" s="1"/>
  <c r="R472" i="1"/>
  <c r="Q472" i="1"/>
  <c r="P472" i="1"/>
  <c r="O472" i="1"/>
  <c r="N472" i="1"/>
  <c r="AD471" i="1"/>
  <c r="AC471" i="1"/>
  <c r="AA471" i="1"/>
  <c r="Z471" i="1"/>
  <c r="AB471" i="1" s="1"/>
  <c r="Y471" i="1"/>
  <c r="X471" i="1"/>
  <c r="W471" i="1"/>
  <c r="V471" i="1"/>
  <c r="T471" i="1"/>
  <c r="S471" i="1"/>
  <c r="U471" i="1" s="1"/>
  <c r="R471" i="1"/>
  <c r="O471" i="1"/>
  <c r="P471" i="1" s="1"/>
  <c r="N471" i="1"/>
  <c r="AA470" i="1"/>
  <c r="Z470" i="1"/>
  <c r="AB470" i="1" s="1"/>
  <c r="AC470" i="1" s="1"/>
  <c r="Y470" i="1"/>
  <c r="AD470" i="1" s="1"/>
  <c r="W470" i="1"/>
  <c r="X470" i="1" s="1"/>
  <c r="V470" i="1"/>
  <c r="T470" i="1"/>
  <c r="S470" i="1"/>
  <c r="R470" i="1"/>
  <c r="Q470" i="1"/>
  <c r="O470" i="1"/>
  <c r="P470" i="1" s="1"/>
  <c r="N470" i="1"/>
  <c r="AA469" i="1"/>
  <c r="Y469" i="1"/>
  <c r="W469" i="1"/>
  <c r="V469" i="1"/>
  <c r="X469" i="1" s="1"/>
  <c r="T469" i="1"/>
  <c r="S469" i="1"/>
  <c r="R469" i="1"/>
  <c r="Q469" i="1"/>
  <c r="P469" i="1"/>
  <c r="O469" i="1"/>
  <c r="N469" i="1"/>
  <c r="AD468" i="1"/>
  <c r="AA468" i="1"/>
  <c r="Y468" i="1"/>
  <c r="Z468" i="1" s="1"/>
  <c r="AB468" i="1" s="1"/>
  <c r="AC468" i="1" s="1"/>
  <c r="W468" i="1"/>
  <c r="V468" i="1"/>
  <c r="X468" i="1" s="1"/>
  <c r="T468" i="1"/>
  <c r="U468" i="1" s="1"/>
  <c r="S468" i="1"/>
  <c r="R468" i="1"/>
  <c r="O468" i="1"/>
  <c r="N468" i="1"/>
  <c r="AD467" i="1"/>
  <c r="AA467" i="1"/>
  <c r="Z467" i="1"/>
  <c r="AB467" i="1" s="1"/>
  <c r="AC467" i="1" s="1"/>
  <c r="Y467" i="1"/>
  <c r="W467" i="1"/>
  <c r="V467" i="1"/>
  <c r="T467" i="1"/>
  <c r="S467" i="1"/>
  <c r="U467" i="1" s="1"/>
  <c r="R467" i="1"/>
  <c r="O467" i="1"/>
  <c r="P467" i="1" s="1"/>
  <c r="N467" i="1"/>
  <c r="AD466" i="1"/>
  <c r="AB466" i="1"/>
  <c r="AC466" i="1" s="1"/>
  <c r="AA466" i="1"/>
  <c r="Y466" i="1"/>
  <c r="Z466" i="1" s="1"/>
  <c r="W466" i="1"/>
  <c r="V466" i="1"/>
  <c r="T466" i="1"/>
  <c r="S466" i="1"/>
  <c r="U466" i="1" s="1"/>
  <c r="R466" i="1"/>
  <c r="P466" i="1"/>
  <c r="O466" i="1"/>
  <c r="Q466" i="1" s="1"/>
  <c r="N466" i="1"/>
  <c r="AD465" i="1"/>
  <c r="AB465" i="1"/>
  <c r="AC465" i="1" s="1"/>
  <c r="AA465" i="1"/>
  <c r="Y465" i="1"/>
  <c r="Z465" i="1" s="1"/>
  <c r="X465" i="1"/>
  <c r="W465" i="1"/>
  <c r="V465" i="1"/>
  <c r="U465" i="1"/>
  <c r="T465" i="1"/>
  <c r="S465" i="1"/>
  <c r="R465" i="1"/>
  <c r="P465" i="1"/>
  <c r="O465" i="1"/>
  <c r="Q465" i="1" s="1"/>
  <c r="N465" i="1"/>
  <c r="AD464" i="1"/>
  <c r="AB464" i="1"/>
  <c r="AC464" i="1" s="1"/>
  <c r="AA464" i="1"/>
  <c r="Z464" i="1"/>
  <c r="Y464" i="1"/>
  <c r="W464" i="1"/>
  <c r="V464" i="1"/>
  <c r="T464" i="1"/>
  <c r="U464" i="1" s="1"/>
  <c r="S464" i="1"/>
  <c r="R464" i="1"/>
  <c r="Q464" i="1"/>
  <c r="P464" i="1"/>
  <c r="O464" i="1"/>
  <c r="N464" i="1"/>
  <c r="AA463" i="1"/>
  <c r="Z463" i="1"/>
  <c r="AB463" i="1" s="1"/>
  <c r="AC463" i="1" s="1"/>
  <c r="Y463" i="1"/>
  <c r="AD463" i="1" s="1"/>
  <c r="W463" i="1"/>
  <c r="V463" i="1"/>
  <c r="X463" i="1" s="1"/>
  <c r="T463" i="1"/>
  <c r="S463" i="1"/>
  <c r="U463" i="1" s="1"/>
  <c r="R463" i="1"/>
  <c r="P463" i="1"/>
  <c r="O463" i="1"/>
  <c r="Q463" i="1" s="1"/>
  <c r="N463" i="1"/>
  <c r="AD462" i="1"/>
  <c r="AB462" i="1"/>
  <c r="AC462" i="1" s="1"/>
  <c r="AA462" i="1"/>
  <c r="Z462" i="1"/>
  <c r="Y462" i="1"/>
  <c r="X462" i="1"/>
  <c r="W462" i="1"/>
  <c r="V462" i="1"/>
  <c r="T462" i="1"/>
  <c r="S462" i="1"/>
  <c r="U462" i="1" s="1"/>
  <c r="R462" i="1"/>
  <c r="P462" i="1"/>
  <c r="O462" i="1"/>
  <c r="Q462" i="1" s="1"/>
  <c r="N462" i="1"/>
  <c r="AA461" i="1"/>
  <c r="Y461" i="1"/>
  <c r="AD461" i="1" s="1"/>
  <c r="X461" i="1"/>
  <c r="W461" i="1"/>
  <c r="V461" i="1"/>
  <c r="T461" i="1"/>
  <c r="S461" i="1"/>
  <c r="U461" i="1" s="1"/>
  <c r="R461" i="1"/>
  <c r="Q461" i="1"/>
  <c r="P461" i="1"/>
  <c r="O461" i="1"/>
  <c r="N461" i="1"/>
  <c r="AD460" i="1"/>
  <c r="AA460" i="1"/>
  <c r="Y460" i="1"/>
  <c r="Z460" i="1" s="1"/>
  <c r="AB460" i="1" s="1"/>
  <c r="AC460" i="1" s="1"/>
  <c r="X460" i="1"/>
  <c r="W460" i="1"/>
  <c r="V460" i="1"/>
  <c r="T460" i="1"/>
  <c r="S460" i="1"/>
  <c r="U460" i="1" s="1"/>
  <c r="R460" i="1"/>
  <c r="Q460" i="1"/>
  <c r="P460" i="1"/>
  <c r="O460" i="1"/>
  <c r="N460" i="1"/>
  <c r="AD459" i="1"/>
  <c r="AA459" i="1"/>
  <c r="Z459" i="1"/>
  <c r="AB459" i="1" s="1"/>
  <c r="AC459" i="1" s="1"/>
  <c r="Y459" i="1"/>
  <c r="W459" i="1"/>
  <c r="V459" i="1"/>
  <c r="X459" i="1" s="1"/>
  <c r="U459" i="1"/>
  <c r="T459" i="1"/>
  <c r="S459" i="1"/>
  <c r="R459" i="1"/>
  <c r="O459" i="1"/>
  <c r="P459" i="1" s="1"/>
  <c r="N459" i="1"/>
  <c r="AA458" i="1"/>
  <c r="Z458" i="1"/>
  <c r="AB458" i="1" s="1"/>
  <c r="AC458" i="1" s="1"/>
  <c r="Y458" i="1"/>
  <c r="AD458" i="1" s="1"/>
  <c r="W458" i="1"/>
  <c r="X458" i="1" s="1"/>
  <c r="V458" i="1"/>
  <c r="T458" i="1"/>
  <c r="S458" i="1"/>
  <c r="R458" i="1"/>
  <c r="Q458" i="1"/>
  <c r="P458" i="1"/>
  <c r="O458" i="1"/>
  <c r="N458" i="1"/>
  <c r="AA457" i="1"/>
  <c r="Y457" i="1"/>
  <c r="W457" i="1"/>
  <c r="V457" i="1"/>
  <c r="X457" i="1" s="1"/>
  <c r="T457" i="1"/>
  <c r="S457" i="1"/>
  <c r="U457" i="1" s="1"/>
  <c r="R457" i="1"/>
  <c r="O457" i="1"/>
  <c r="N457" i="1"/>
  <c r="AA456" i="1"/>
  <c r="Y456" i="1"/>
  <c r="Z456" i="1" s="1"/>
  <c r="AB456" i="1" s="1"/>
  <c r="AC456" i="1" s="1"/>
  <c r="W456" i="1"/>
  <c r="V456" i="1"/>
  <c r="X456" i="1" s="1"/>
  <c r="U456" i="1"/>
  <c r="T456" i="1"/>
  <c r="S456" i="1"/>
  <c r="R456" i="1"/>
  <c r="O456" i="1"/>
  <c r="N456" i="1"/>
  <c r="AD455" i="1"/>
  <c r="AA455" i="1"/>
  <c r="Y455" i="1"/>
  <c r="Z455" i="1" s="1"/>
  <c r="AB455" i="1" s="1"/>
  <c r="AC455" i="1" s="1"/>
  <c r="W455" i="1"/>
  <c r="V455" i="1"/>
  <c r="T455" i="1"/>
  <c r="S455" i="1"/>
  <c r="U455" i="1" s="1"/>
  <c r="R455" i="1"/>
  <c r="O455" i="1"/>
  <c r="P455" i="1" s="1"/>
  <c r="N455" i="1"/>
  <c r="AB454" i="1"/>
  <c r="AC454" i="1" s="1"/>
  <c r="AA454" i="1"/>
  <c r="Y454" i="1"/>
  <c r="Z454" i="1" s="1"/>
  <c r="X454" i="1"/>
  <c r="W454" i="1"/>
  <c r="V454" i="1"/>
  <c r="T454" i="1"/>
  <c r="S454" i="1"/>
  <c r="U454" i="1" s="1"/>
  <c r="R454" i="1"/>
  <c r="O454" i="1"/>
  <c r="Q454" i="1" s="1"/>
  <c r="N454" i="1"/>
  <c r="AD453" i="1"/>
  <c r="AA453" i="1"/>
  <c r="Y453" i="1"/>
  <c r="Z453" i="1" s="1"/>
  <c r="AB453" i="1" s="1"/>
  <c r="AC453" i="1" s="1"/>
  <c r="W453" i="1"/>
  <c r="X453" i="1" s="1"/>
  <c r="V453" i="1"/>
  <c r="T453" i="1"/>
  <c r="U453" i="1" s="1"/>
  <c r="S453" i="1"/>
  <c r="R453" i="1"/>
  <c r="Q453" i="1"/>
  <c r="O453" i="1"/>
  <c r="P453" i="1" s="1"/>
  <c r="N453" i="1"/>
  <c r="AA452" i="1"/>
  <c r="Y452" i="1"/>
  <c r="AD452" i="1" s="1"/>
  <c r="W452" i="1"/>
  <c r="V452" i="1"/>
  <c r="U452" i="1"/>
  <c r="T452" i="1"/>
  <c r="S452" i="1"/>
  <c r="R452" i="1"/>
  <c r="Q452" i="1"/>
  <c r="P452" i="1"/>
  <c r="O452" i="1"/>
  <c r="N452" i="1"/>
  <c r="AA451" i="1"/>
  <c r="Y451" i="1"/>
  <c r="Z451" i="1" s="1"/>
  <c r="AB451" i="1" s="1"/>
  <c r="AC451" i="1" s="1"/>
  <c r="W451" i="1"/>
  <c r="V451" i="1"/>
  <c r="X451" i="1" s="1"/>
  <c r="U451" i="1"/>
  <c r="T451" i="1"/>
  <c r="S451" i="1"/>
  <c r="R451" i="1"/>
  <c r="O451" i="1"/>
  <c r="Q451" i="1" s="1"/>
  <c r="N451" i="1"/>
  <c r="AD450" i="1"/>
  <c r="AA450" i="1"/>
  <c r="Z450" i="1"/>
  <c r="AB450" i="1" s="1"/>
  <c r="AC450" i="1" s="1"/>
  <c r="Y450" i="1"/>
  <c r="W450" i="1"/>
  <c r="X450" i="1" s="1"/>
  <c r="V450" i="1"/>
  <c r="T450" i="1"/>
  <c r="S450" i="1"/>
  <c r="U450" i="1" s="1"/>
  <c r="R450" i="1"/>
  <c r="Q450" i="1"/>
  <c r="O450" i="1"/>
  <c r="P450" i="1" s="1"/>
  <c r="N450" i="1"/>
  <c r="AA449" i="1"/>
  <c r="Z449" i="1"/>
  <c r="AB449" i="1" s="1"/>
  <c r="AC449" i="1" s="1"/>
  <c r="Y449" i="1"/>
  <c r="AD449" i="1" s="1"/>
  <c r="W449" i="1"/>
  <c r="X449" i="1" s="1"/>
  <c r="V449" i="1"/>
  <c r="U449" i="1"/>
  <c r="T449" i="1"/>
  <c r="S449" i="1"/>
  <c r="R449" i="1"/>
  <c r="Q449" i="1"/>
  <c r="P449" i="1"/>
  <c r="O449" i="1"/>
  <c r="N449" i="1"/>
  <c r="AD448" i="1"/>
  <c r="AA448" i="1"/>
  <c r="Z448" i="1"/>
  <c r="AB448" i="1" s="1"/>
  <c r="AC448" i="1" s="1"/>
  <c r="Y448" i="1"/>
  <c r="W448" i="1"/>
  <c r="V448" i="1"/>
  <c r="X448" i="1" s="1"/>
  <c r="T448" i="1"/>
  <c r="S448" i="1"/>
  <c r="U448" i="1" s="1"/>
  <c r="R448" i="1"/>
  <c r="Q448" i="1"/>
  <c r="P448" i="1"/>
  <c r="O448" i="1"/>
  <c r="N448" i="1"/>
  <c r="AD447" i="1"/>
  <c r="AA447" i="1"/>
  <c r="Z447" i="1"/>
  <c r="AB447" i="1" s="1"/>
  <c r="AC447" i="1" s="1"/>
  <c r="Y447" i="1"/>
  <c r="W447" i="1"/>
  <c r="V447" i="1"/>
  <c r="X447" i="1" s="1"/>
  <c r="T447" i="1"/>
  <c r="U447" i="1" s="1"/>
  <c r="S447" i="1"/>
  <c r="R447" i="1"/>
  <c r="O447" i="1"/>
  <c r="P447" i="1" s="1"/>
  <c r="N447" i="1"/>
  <c r="AA446" i="1"/>
  <c r="Z446" i="1"/>
  <c r="AB446" i="1" s="1"/>
  <c r="AC446" i="1" s="1"/>
  <c r="Y446" i="1"/>
  <c r="AD446" i="1" s="1"/>
  <c r="W446" i="1"/>
  <c r="X446" i="1" s="1"/>
  <c r="V446" i="1"/>
  <c r="T446" i="1"/>
  <c r="S446" i="1"/>
  <c r="R446" i="1"/>
  <c r="Q446" i="1"/>
  <c r="P446" i="1"/>
  <c r="O446" i="1"/>
  <c r="N446" i="1"/>
  <c r="AD445" i="1"/>
  <c r="AB445" i="1"/>
  <c r="AC445" i="1" s="1"/>
  <c r="AA445" i="1"/>
  <c r="Y445" i="1"/>
  <c r="Z445" i="1" s="1"/>
  <c r="X445" i="1"/>
  <c r="W445" i="1"/>
  <c r="V445" i="1"/>
  <c r="U445" i="1"/>
  <c r="T445" i="1"/>
  <c r="S445" i="1"/>
  <c r="R445" i="1"/>
  <c r="Q445" i="1"/>
  <c r="O445" i="1"/>
  <c r="P445" i="1" s="1"/>
  <c r="N445" i="1"/>
  <c r="AA444" i="1"/>
  <c r="Y444" i="1"/>
  <c r="AD444" i="1" s="1"/>
  <c r="X444" i="1"/>
  <c r="W444" i="1"/>
  <c r="V444" i="1"/>
  <c r="U444" i="1"/>
  <c r="T444" i="1"/>
  <c r="S444" i="1"/>
  <c r="R444" i="1"/>
  <c r="O444" i="1"/>
  <c r="P444" i="1" s="1"/>
  <c r="N444" i="1"/>
  <c r="AA443" i="1"/>
  <c r="Y443" i="1"/>
  <c r="W443" i="1"/>
  <c r="V443" i="1"/>
  <c r="X443" i="1" s="1"/>
  <c r="T443" i="1"/>
  <c r="S443" i="1"/>
  <c r="R443" i="1"/>
  <c r="O443" i="1"/>
  <c r="Q443" i="1" s="1"/>
  <c r="N443" i="1"/>
  <c r="AA442" i="1"/>
  <c r="Y442" i="1"/>
  <c r="Z442" i="1" s="1"/>
  <c r="AB442" i="1" s="1"/>
  <c r="AC442" i="1" s="1"/>
  <c r="W442" i="1"/>
  <c r="X442" i="1" s="1"/>
  <c r="V442" i="1"/>
  <c r="U442" i="1"/>
  <c r="T442" i="1"/>
  <c r="S442" i="1"/>
  <c r="R442" i="1"/>
  <c r="P442" i="1"/>
  <c r="O442" i="1"/>
  <c r="Q442" i="1" s="1"/>
  <c r="N442" i="1"/>
  <c r="AD441" i="1"/>
  <c r="AA441" i="1"/>
  <c r="Y441" i="1"/>
  <c r="Z441" i="1" s="1"/>
  <c r="AB441" i="1" s="1"/>
  <c r="AC441" i="1" s="1"/>
  <c r="W441" i="1"/>
  <c r="X441" i="1" s="1"/>
  <c r="V441" i="1"/>
  <c r="U441" i="1"/>
  <c r="T441" i="1"/>
  <c r="S441" i="1"/>
  <c r="R441" i="1"/>
  <c r="O441" i="1"/>
  <c r="Q441" i="1" s="1"/>
  <c r="N441" i="1"/>
  <c r="AD440" i="1"/>
  <c r="AA440" i="1"/>
  <c r="Z440" i="1"/>
  <c r="AB440" i="1" s="1"/>
  <c r="AC440" i="1" s="1"/>
  <c r="Y440" i="1"/>
  <c r="W440" i="1"/>
  <c r="V440" i="1"/>
  <c r="X440" i="1" s="1"/>
  <c r="T440" i="1"/>
  <c r="S440" i="1"/>
  <c r="U440" i="1" s="1"/>
  <c r="R440" i="1"/>
  <c r="Q440" i="1"/>
  <c r="P440" i="1"/>
  <c r="O440" i="1"/>
  <c r="N440" i="1"/>
  <c r="AA439" i="1"/>
  <c r="Z439" i="1"/>
  <c r="AB439" i="1" s="1"/>
  <c r="AC439" i="1" s="1"/>
  <c r="Y439" i="1"/>
  <c r="AD439" i="1" s="1"/>
  <c r="W439" i="1"/>
  <c r="X439" i="1" s="1"/>
  <c r="V439" i="1"/>
  <c r="U439" i="1"/>
  <c r="T439" i="1"/>
  <c r="S439" i="1"/>
  <c r="R439" i="1"/>
  <c r="P439" i="1"/>
  <c r="O439" i="1"/>
  <c r="Q439" i="1" s="1"/>
  <c r="N439" i="1"/>
  <c r="AD438" i="1"/>
  <c r="AB438" i="1"/>
  <c r="AC438" i="1" s="1"/>
  <c r="AA438" i="1"/>
  <c r="Z438" i="1"/>
  <c r="Y438" i="1"/>
  <c r="W438" i="1"/>
  <c r="X438" i="1" s="1"/>
  <c r="V438" i="1"/>
  <c r="U438" i="1"/>
  <c r="T438" i="1"/>
  <c r="S438" i="1"/>
  <c r="R438" i="1"/>
  <c r="O438" i="1"/>
  <c r="Q438" i="1" s="1"/>
  <c r="N438" i="1"/>
  <c r="AA437" i="1"/>
  <c r="Z437" i="1"/>
  <c r="AB437" i="1" s="1"/>
  <c r="AC437" i="1" s="1"/>
  <c r="Y437" i="1"/>
  <c r="AD437" i="1" s="1"/>
  <c r="W437" i="1"/>
  <c r="V437" i="1"/>
  <c r="X437" i="1" s="1"/>
  <c r="T437" i="1"/>
  <c r="S437" i="1"/>
  <c r="U437" i="1" s="1"/>
  <c r="R437" i="1"/>
  <c r="Q437" i="1"/>
  <c r="P437" i="1"/>
  <c r="O437" i="1"/>
  <c r="N437" i="1"/>
  <c r="AA436" i="1"/>
  <c r="Y436" i="1"/>
  <c r="AD436" i="1" s="1"/>
  <c r="W436" i="1"/>
  <c r="V436" i="1"/>
  <c r="X436" i="1" s="1"/>
  <c r="T436" i="1"/>
  <c r="S436" i="1"/>
  <c r="U436" i="1" s="1"/>
  <c r="R436" i="1"/>
  <c r="O436" i="1"/>
  <c r="N436" i="1"/>
  <c r="AD435" i="1"/>
  <c r="AA435" i="1"/>
  <c r="Z435" i="1"/>
  <c r="AB435" i="1" s="1"/>
  <c r="AC435" i="1" s="1"/>
  <c r="Y435" i="1"/>
  <c r="W435" i="1"/>
  <c r="V435" i="1"/>
  <c r="X435" i="1" s="1"/>
  <c r="T435" i="1"/>
  <c r="S435" i="1"/>
  <c r="U435" i="1" s="1"/>
  <c r="R435" i="1"/>
  <c r="O435" i="1"/>
  <c r="P435" i="1" s="1"/>
  <c r="N435" i="1"/>
  <c r="AA434" i="1"/>
  <c r="Z434" i="1"/>
  <c r="AB434" i="1" s="1"/>
  <c r="AC434" i="1" s="1"/>
  <c r="Y434" i="1"/>
  <c r="AD434" i="1" s="1"/>
  <c r="W434" i="1"/>
  <c r="V434" i="1"/>
  <c r="X434" i="1" s="1"/>
  <c r="T434" i="1"/>
  <c r="S434" i="1"/>
  <c r="U434" i="1" s="1"/>
  <c r="R434" i="1"/>
  <c r="P434" i="1"/>
  <c r="O434" i="1"/>
  <c r="Q434" i="1" s="1"/>
  <c r="N434" i="1"/>
  <c r="AA433" i="1"/>
  <c r="Y433" i="1"/>
  <c r="W433" i="1"/>
  <c r="V433" i="1"/>
  <c r="X433" i="1" s="1"/>
  <c r="T433" i="1"/>
  <c r="S433" i="1"/>
  <c r="U433" i="1" s="1"/>
  <c r="R433" i="1"/>
  <c r="Q433" i="1"/>
  <c r="P433" i="1"/>
  <c r="O433" i="1"/>
  <c r="N433" i="1"/>
  <c r="AD432" i="1"/>
  <c r="AA432" i="1"/>
  <c r="Z432" i="1"/>
  <c r="AB432" i="1" s="1"/>
  <c r="AC432" i="1" s="1"/>
  <c r="Y432" i="1"/>
  <c r="X432" i="1"/>
  <c r="W432" i="1"/>
  <c r="V432" i="1"/>
  <c r="U432" i="1"/>
  <c r="T432" i="1"/>
  <c r="S432" i="1"/>
  <c r="R432" i="1"/>
  <c r="Q432" i="1"/>
  <c r="O432" i="1"/>
  <c r="P432" i="1" s="1"/>
  <c r="N432" i="1"/>
  <c r="AA431" i="1"/>
  <c r="Y431" i="1"/>
  <c r="Z431" i="1" s="1"/>
  <c r="AB431" i="1" s="1"/>
  <c r="AC431" i="1" s="1"/>
  <c r="W431" i="1"/>
  <c r="V431" i="1"/>
  <c r="T431" i="1"/>
  <c r="S431" i="1"/>
  <c r="U431" i="1" s="1"/>
  <c r="R431" i="1"/>
  <c r="Q431" i="1"/>
  <c r="P431" i="1"/>
  <c r="O431" i="1"/>
  <c r="N431" i="1"/>
  <c r="AA430" i="1"/>
  <c r="Y430" i="1"/>
  <c r="Z430" i="1" s="1"/>
  <c r="AB430" i="1" s="1"/>
  <c r="AC430" i="1" s="1"/>
  <c r="W430" i="1"/>
  <c r="V430" i="1"/>
  <c r="X430" i="1" s="1"/>
  <c r="T430" i="1"/>
  <c r="S430" i="1"/>
  <c r="U430" i="1" s="1"/>
  <c r="R430" i="1"/>
  <c r="P430" i="1"/>
  <c r="O430" i="1"/>
  <c r="Q430" i="1" s="1"/>
  <c r="N430" i="1"/>
  <c r="AD429" i="1"/>
  <c r="AA429" i="1"/>
  <c r="Z429" i="1"/>
  <c r="AB429" i="1" s="1"/>
  <c r="AC429" i="1" s="1"/>
  <c r="Y429" i="1"/>
  <c r="W429" i="1"/>
  <c r="X429" i="1" s="1"/>
  <c r="V429" i="1"/>
  <c r="U429" i="1"/>
  <c r="T429" i="1"/>
  <c r="S429" i="1"/>
  <c r="R429" i="1"/>
  <c r="Q429" i="1"/>
  <c r="O429" i="1"/>
  <c r="P429" i="1" s="1"/>
  <c r="N429" i="1"/>
  <c r="AD428" i="1"/>
  <c r="AA428" i="1"/>
  <c r="Z428" i="1"/>
  <c r="AB428" i="1" s="1"/>
  <c r="AC428" i="1" s="1"/>
  <c r="Y428" i="1"/>
  <c r="W428" i="1"/>
  <c r="V428" i="1"/>
  <c r="X428" i="1" s="1"/>
  <c r="U428" i="1"/>
  <c r="T428" i="1"/>
  <c r="S428" i="1"/>
  <c r="R428" i="1"/>
  <c r="O428" i="1"/>
  <c r="Q428" i="1" s="1"/>
  <c r="N428" i="1"/>
  <c r="AD427" i="1"/>
  <c r="AA427" i="1"/>
  <c r="Z427" i="1"/>
  <c r="AB427" i="1" s="1"/>
  <c r="AC427" i="1" s="1"/>
  <c r="Y427" i="1"/>
  <c r="W427" i="1"/>
  <c r="V427" i="1"/>
  <c r="X427" i="1" s="1"/>
  <c r="T427" i="1"/>
  <c r="S427" i="1"/>
  <c r="U427" i="1" s="1"/>
  <c r="R427" i="1"/>
  <c r="Q427" i="1"/>
  <c r="O427" i="1"/>
  <c r="P427" i="1" s="1"/>
  <c r="N427" i="1"/>
  <c r="AA426" i="1"/>
  <c r="Y426" i="1"/>
  <c r="AD426" i="1" s="1"/>
  <c r="W426" i="1"/>
  <c r="V426" i="1"/>
  <c r="X426" i="1" s="1"/>
  <c r="T426" i="1"/>
  <c r="S426" i="1"/>
  <c r="U426" i="1" s="1"/>
  <c r="R426" i="1"/>
  <c r="O426" i="1"/>
  <c r="N426" i="1"/>
  <c r="AD425" i="1"/>
  <c r="AA425" i="1"/>
  <c r="Y425" i="1"/>
  <c r="Z425" i="1" s="1"/>
  <c r="AB425" i="1" s="1"/>
  <c r="AC425" i="1" s="1"/>
  <c r="X425" i="1"/>
  <c r="W425" i="1"/>
  <c r="V425" i="1"/>
  <c r="T425" i="1"/>
  <c r="S425" i="1"/>
  <c r="U425" i="1" s="1"/>
  <c r="R425" i="1"/>
  <c r="O425" i="1"/>
  <c r="P425" i="1" s="1"/>
  <c r="N425" i="1"/>
  <c r="AA424" i="1"/>
  <c r="Y424" i="1"/>
  <c r="W424" i="1"/>
  <c r="V424" i="1"/>
  <c r="X424" i="1" s="1"/>
  <c r="T424" i="1"/>
  <c r="S424" i="1"/>
  <c r="U424" i="1" s="1"/>
  <c r="R424" i="1"/>
  <c r="Q424" i="1"/>
  <c r="P424" i="1"/>
  <c r="O424" i="1"/>
  <c r="N424" i="1"/>
  <c r="AD423" i="1"/>
  <c r="AA423" i="1"/>
  <c r="Y423" i="1"/>
  <c r="Z423" i="1" s="1"/>
  <c r="AB423" i="1" s="1"/>
  <c r="AC423" i="1" s="1"/>
  <c r="W423" i="1"/>
  <c r="V423" i="1"/>
  <c r="X423" i="1" s="1"/>
  <c r="U423" i="1"/>
  <c r="T423" i="1"/>
  <c r="S423" i="1"/>
  <c r="R423" i="1"/>
  <c r="O423" i="1"/>
  <c r="Q423" i="1" s="1"/>
  <c r="N423" i="1"/>
  <c r="AD422" i="1"/>
  <c r="AA422" i="1"/>
  <c r="Z422" i="1"/>
  <c r="AB422" i="1" s="1"/>
  <c r="AC422" i="1" s="1"/>
  <c r="Y422" i="1"/>
  <c r="W422" i="1"/>
  <c r="V422" i="1"/>
  <c r="T422" i="1"/>
  <c r="U422" i="1" s="1"/>
  <c r="S422" i="1"/>
  <c r="R422" i="1"/>
  <c r="O422" i="1"/>
  <c r="Q422" i="1" s="1"/>
  <c r="N422" i="1"/>
  <c r="AA421" i="1"/>
  <c r="Y421" i="1"/>
  <c r="AD421" i="1" s="1"/>
  <c r="W421" i="1"/>
  <c r="V421" i="1"/>
  <c r="X421" i="1" s="1"/>
  <c r="T421" i="1"/>
  <c r="S421" i="1"/>
  <c r="U421" i="1" s="1"/>
  <c r="R421" i="1"/>
  <c r="P421" i="1"/>
  <c r="O421" i="1"/>
  <c r="Q421" i="1" s="1"/>
  <c r="N421" i="1"/>
  <c r="AA420" i="1"/>
  <c r="Y420" i="1"/>
  <c r="Z420" i="1" s="1"/>
  <c r="AB420" i="1" s="1"/>
  <c r="AC420" i="1" s="1"/>
  <c r="X420" i="1"/>
  <c r="W420" i="1"/>
  <c r="V420" i="1"/>
  <c r="U420" i="1"/>
  <c r="T420" i="1"/>
  <c r="S420" i="1"/>
  <c r="R420" i="1"/>
  <c r="P420" i="1"/>
  <c r="O420" i="1"/>
  <c r="Q420" i="1" s="1"/>
  <c r="N420" i="1"/>
  <c r="AD419" i="1"/>
  <c r="AA419" i="1"/>
  <c r="Z419" i="1"/>
  <c r="AB419" i="1" s="1"/>
  <c r="AC419" i="1" s="1"/>
  <c r="Y419" i="1"/>
  <c r="W419" i="1"/>
  <c r="X419" i="1" s="1"/>
  <c r="V419" i="1"/>
  <c r="U419" i="1"/>
  <c r="T419" i="1"/>
  <c r="S419" i="1"/>
  <c r="R419" i="1"/>
  <c r="Q419" i="1"/>
  <c r="O419" i="1"/>
  <c r="P419" i="1" s="1"/>
  <c r="N419" i="1"/>
  <c r="AD418" i="1"/>
  <c r="AA418" i="1"/>
  <c r="Z418" i="1"/>
  <c r="AB418" i="1" s="1"/>
  <c r="AC418" i="1" s="1"/>
  <c r="Y418" i="1"/>
  <c r="W418" i="1"/>
  <c r="V418" i="1"/>
  <c r="X418" i="1" s="1"/>
  <c r="T418" i="1"/>
  <c r="S418" i="1"/>
  <c r="U418" i="1" s="1"/>
  <c r="R418" i="1"/>
  <c r="Q418" i="1"/>
  <c r="P418" i="1"/>
  <c r="O418" i="1"/>
  <c r="N418" i="1"/>
  <c r="AA417" i="1"/>
  <c r="Y417" i="1"/>
  <c r="AD417" i="1" s="1"/>
  <c r="X417" i="1"/>
  <c r="W417" i="1"/>
  <c r="V417" i="1"/>
  <c r="T417" i="1"/>
  <c r="S417" i="1"/>
  <c r="U417" i="1" s="1"/>
  <c r="R417" i="1"/>
  <c r="P417" i="1"/>
  <c r="O417" i="1"/>
  <c r="Q417" i="1" s="1"/>
  <c r="N417" i="1"/>
  <c r="AD416" i="1"/>
  <c r="AC416" i="1"/>
  <c r="AA416" i="1"/>
  <c r="Z416" i="1"/>
  <c r="AB416" i="1" s="1"/>
  <c r="Y416" i="1"/>
  <c r="X416" i="1"/>
  <c r="W416" i="1"/>
  <c r="V416" i="1"/>
  <c r="U416" i="1"/>
  <c r="T416" i="1"/>
  <c r="S416" i="1"/>
  <c r="R416" i="1"/>
  <c r="Q416" i="1"/>
  <c r="O416" i="1"/>
  <c r="P416" i="1" s="1"/>
  <c r="N416" i="1"/>
  <c r="AA415" i="1"/>
  <c r="Z415" i="1"/>
  <c r="AB415" i="1" s="1"/>
  <c r="AC415" i="1" s="1"/>
  <c r="Y415" i="1"/>
  <c r="AD415" i="1" s="1"/>
  <c r="W415" i="1"/>
  <c r="V415" i="1"/>
  <c r="X415" i="1" s="1"/>
  <c r="T415" i="1"/>
  <c r="S415" i="1"/>
  <c r="U415" i="1" s="1"/>
  <c r="R415" i="1"/>
  <c r="Q415" i="1"/>
  <c r="O415" i="1"/>
  <c r="P415" i="1" s="1"/>
  <c r="N415" i="1"/>
  <c r="AA414" i="1"/>
  <c r="Y414" i="1"/>
  <c r="AD414" i="1" s="1"/>
  <c r="W414" i="1"/>
  <c r="V414" i="1"/>
  <c r="X414" i="1" s="1"/>
  <c r="T414" i="1"/>
  <c r="S414" i="1"/>
  <c r="U414" i="1" s="1"/>
  <c r="R414" i="1"/>
  <c r="O414" i="1"/>
  <c r="N414" i="1"/>
  <c r="AD413" i="1"/>
  <c r="AA413" i="1"/>
  <c r="Y413" i="1"/>
  <c r="Z413" i="1" s="1"/>
  <c r="AB413" i="1" s="1"/>
  <c r="AC413" i="1" s="1"/>
  <c r="X413" i="1"/>
  <c r="W413" i="1"/>
  <c r="V413" i="1"/>
  <c r="T413" i="1"/>
  <c r="S413" i="1"/>
  <c r="R413" i="1"/>
  <c r="O413" i="1"/>
  <c r="P413" i="1" s="1"/>
  <c r="N413" i="1"/>
  <c r="AA412" i="1"/>
  <c r="Y412" i="1"/>
  <c r="W412" i="1"/>
  <c r="V412" i="1"/>
  <c r="X412" i="1" s="1"/>
  <c r="T412" i="1"/>
  <c r="S412" i="1"/>
  <c r="U412" i="1" s="1"/>
  <c r="R412" i="1"/>
  <c r="Q412" i="1"/>
  <c r="P412" i="1"/>
  <c r="O412" i="1"/>
  <c r="N412" i="1"/>
  <c r="AD411" i="1"/>
  <c r="AA411" i="1"/>
  <c r="Y411" i="1"/>
  <c r="Z411" i="1" s="1"/>
  <c r="AB411" i="1" s="1"/>
  <c r="AC411" i="1" s="1"/>
  <c r="W411" i="1"/>
  <c r="V411" i="1"/>
  <c r="X411" i="1" s="1"/>
  <c r="U411" i="1"/>
  <c r="T411" i="1"/>
  <c r="S411" i="1"/>
  <c r="R411" i="1"/>
  <c r="O411" i="1"/>
  <c r="Q411" i="1" s="1"/>
  <c r="N411" i="1"/>
  <c r="AD410" i="1"/>
  <c r="AA410" i="1"/>
  <c r="Z410" i="1"/>
  <c r="AB410" i="1" s="1"/>
  <c r="AC410" i="1" s="1"/>
  <c r="Y410" i="1"/>
  <c r="W410" i="1"/>
  <c r="V410" i="1"/>
  <c r="X410" i="1" s="1"/>
  <c r="T410" i="1"/>
  <c r="U410" i="1" s="1"/>
  <c r="S410" i="1"/>
  <c r="R410" i="1"/>
  <c r="O410" i="1"/>
  <c r="Q410" i="1" s="1"/>
  <c r="N410" i="1"/>
  <c r="AA409" i="1"/>
  <c r="Y409" i="1"/>
  <c r="AD409" i="1" s="1"/>
  <c r="W409" i="1"/>
  <c r="V409" i="1"/>
  <c r="X409" i="1" s="1"/>
  <c r="T409" i="1"/>
  <c r="S409" i="1"/>
  <c r="U409" i="1" s="1"/>
  <c r="R409" i="1"/>
  <c r="P409" i="1"/>
  <c r="O409" i="1"/>
  <c r="Q409" i="1" s="1"/>
  <c r="N409" i="1"/>
  <c r="AA408" i="1"/>
  <c r="Y408" i="1"/>
  <c r="Z408" i="1" s="1"/>
  <c r="AB408" i="1" s="1"/>
  <c r="AC408" i="1" s="1"/>
  <c r="X408" i="1"/>
  <c r="W408" i="1"/>
  <c r="V408" i="1"/>
  <c r="U408" i="1"/>
  <c r="T408" i="1"/>
  <c r="S408" i="1"/>
  <c r="R408" i="1"/>
  <c r="P408" i="1"/>
  <c r="O408" i="1"/>
  <c r="Q408" i="1" s="1"/>
  <c r="N408" i="1"/>
  <c r="AD407" i="1"/>
  <c r="AA407" i="1"/>
  <c r="Z407" i="1"/>
  <c r="AB407" i="1" s="1"/>
  <c r="AC407" i="1" s="1"/>
  <c r="Y407" i="1"/>
  <c r="W407" i="1"/>
  <c r="X407" i="1" s="1"/>
  <c r="V407" i="1"/>
  <c r="U407" i="1"/>
  <c r="T407" i="1"/>
  <c r="S407" i="1"/>
  <c r="R407" i="1"/>
  <c r="Q407" i="1"/>
  <c r="O407" i="1"/>
  <c r="P407" i="1" s="1"/>
  <c r="N407" i="1"/>
  <c r="AD406" i="1"/>
  <c r="AA406" i="1"/>
  <c r="Z406" i="1"/>
  <c r="AB406" i="1" s="1"/>
  <c r="AC406" i="1" s="1"/>
  <c r="Y406" i="1"/>
  <c r="W406" i="1"/>
  <c r="V406" i="1"/>
  <c r="X406" i="1" s="1"/>
  <c r="T406" i="1"/>
  <c r="S406" i="1"/>
  <c r="U406" i="1" s="1"/>
  <c r="R406" i="1"/>
  <c r="Q406" i="1"/>
  <c r="P406" i="1"/>
  <c r="O406" i="1"/>
  <c r="N406" i="1"/>
  <c r="AA405" i="1"/>
  <c r="Y405" i="1"/>
  <c r="AD405" i="1" s="1"/>
  <c r="X405" i="1"/>
  <c r="W405" i="1"/>
  <c r="V405" i="1"/>
  <c r="T405" i="1"/>
  <c r="S405" i="1"/>
  <c r="U405" i="1" s="1"/>
  <c r="R405" i="1"/>
  <c r="P405" i="1"/>
  <c r="O405" i="1"/>
  <c r="Q405" i="1" s="1"/>
  <c r="N405" i="1"/>
  <c r="AA404" i="1"/>
  <c r="Y404" i="1"/>
  <c r="X404" i="1"/>
  <c r="W404" i="1"/>
  <c r="V404" i="1"/>
  <c r="U404" i="1"/>
  <c r="T404" i="1"/>
  <c r="S404" i="1"/>
  <c r="R404" i="1"/>
  <c r="Q404" i="1"/>
  <c r="O404" i="1"/>
  <c r="P404" i="1" s="1"/>
  <c r="N404" i="1"/>
  <c r="AD403" i="1"/>
  <c r="AA403" i="1"/>
  <c r="Z403" i="1"/>
  <c r="AB403" i="1" s="1"/>
  <c r="AC403" i="1" s="1"/>
  <c r="Y403" i="1"/>
  <c r="W403" i="1"/>
  <c r="V403" i="1"/>
  <c r="X403" i="1" s="1"/>
  <c r="T403" i="1"/>
  <c r="S403" i="1"/>
  <c r="U403" i="1" s="1"/>
  <c r="R403" i="1"/>
  <c r="Q403" i="1"/>
  <c r="O403" i="1"/>
  <c r="P403" i="1" s="1"/>
  <c r="N403" i="1"/>
  <c r="AA402" i="1"/>
  <c r="Y402" i="1"/>
  <c r="AD402" i="1" s="1"/>
  <c r="W402" i="1"/>
  <c r="V402" i="1"/>
  <c r="T402" i="1"/>
  <c r="S402" i="1"/>
  <c r="U402" i="1" s="1"/>
  <c r="R402" i="1"/>
  <c r="O402" i="1"/>
  <c r="N402" i="1"/>
  <c r="AD401" i="1"/>
  <c r="AA401" i="1"/>
  <c r="Y401" i="1"/>
  <c r="Z401" i="1" s="1"/>
  <c r="AB401" i="1" s="1"/>
  <c r="AC401" i="1" s="1"/>
  <c r="X401" i="1"/>
  <c r="W401" i="1"/>
  <c r="V401" i="1"/>
  <c r="T401" i="1"/>
  <c r="S401" i="1"/>
  <c r="R401" i="1"/>
  <c r="O401" i="1"/>
  <c r="Q401" i="1" s="1"/>
  <c r="N401" i="1"/>
  <c r="AA400" i="1"/>
  <c r="Y400" i="1"/>
  <c r="W400" i="1"/>
  <c r="V400" i="1"/>
  <c r="X400" i="1" s="1"/>
  <c r="T400" i="1"/>
  <c r="U400" i="1" s="1"/>
  <c r="S400" i="1"/>
  <c r="R400" i="1"/>
  <c r="Q400" i="1"/>
  <c r="P400" i="1"/>
  <c r="O400" i="1"/>
  <c r="N400" i="1"/>
  <c r="AA399" i="1"/>
  <c r="Y399" i="1"/>
  <c r="AD399" i="1" s="1"/>
  <c r="W399" i="1"/>
  <c r="V399" i="1"/>
  <c r="X399" i="1" s="1"/>
  <c r="U399" i="1"/>
  <c r="T399" i="1"/>
  <c r="S399" i="1"/>
  <c r="R399" i="1"/>
  <c r="O399" i="1"/>
  <c r="Q399" i="1" s="1"/>
  <c r="N399" i="1"/>
  <c r="AD398" i="1"/>
  <c r="AA398" i="1"/>
  <c r="Z398" i="1"/>
  <c r="AB398" i="1" s="1"/>
  <c r="AC398" i="1" s="1"/>
  <c r="Y398" i="1"/>
  <c r="W398" i="1"/>
  <c r="V398" i="1"/>
  <c r="X398" i="1" s="1"/>
  <c r="T398" i="1"/>
  <c r="S398" i="1"/>
  <c r="U398" i="1" s="1"/>
  <c r="R398" i="1"/>
  <c r="O398" i="1"/>
  <c r="N398" i="1"/>
  <c r="AA397" i="1"/>
  <c r="Y397" i="1"/>
  <c r="AD397" i="1" s="1"/>
  <c r="W397" i="1"/>
  <c r="X397" i="1" s="1"/>
  <c r="V397" i="1"/>
  <c r="T397" i="1"/>
  <c r="S397" i="1"/>
  <c r="R397" i="1"/>
  <c r="P397" i="1"/>
  <c r="O397" i="1"/>
  <c r="Q397" i="1" s="1"/>
  <c r="N397" i="1"/>
  <c r="AA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AD395" i="1"/>
  <c r="AA395" i="1"/>
  <c r="Z395" i="1"/>
  <c r="AB395" i="1" s="1"/>
  <c r="AC395" i="1" s="1"/>
  <c r="Y395" i="1"/>
  <c r="W395" i="1"/>
  <c r="V395" i="1"/>
  <c r="X395" i="1" s="1"/>
  <c r="U395" i="1"/>
  <c r="T395" i="1"/>
  <c r="S395" i="1"/>
  <c r="R395" i="1"/>
  <c r="Q395" i="1"/>
  <c r="O395" i="1"/>
  <c r="P395" i="1" s="1"/>
  <c r="N395" i="1"/>
  <c r="AD394" i="1"/>
  <c r="AA394" i="1"/>
  <c r="Z394" i="1"/>
  <c r="AB394" i="1" s="1"/>
  <c r="AC394" i="1" s="1"/>
  <c r="Y394" i="1"/>
  <c r="W394" i="1"/>
  <c r="V394" i="1"/>
  <c r="X394" i="1" s="1"/>
  <c r="T394" i="1"/>
  <c r="S394" i="1"/>
  <c r="U394" i="1" s="1"/>
  <c r="R394" i="1"/>
  <c r="O394" i="1"/>
  <c r="N394" i="1"/>
  <c r="AA393" i="1"/>
  <c r="Y393" i="1"/>
  <c r="AD393" i="1" s="1"/>
  <c r="X393" i="1"/>
  <c r="W393" i="1"/>
  <c r="V393" i="1"/>
  <c r="T393" i="1"/>
  <c r="S393" i="1"/>
  <c r="U393" i="1" s="1"/>
  <c r="R393" i="1"/>
  <c r="P393" i="1"/>
  <c r="O393" i="1"/>
  <c r="Q393" i="1" s="1"/>
  <c r="N393" i="1"/>
  <c r="AA392" i="1"/>
  <c r="Y392" i="1"/>
  <c r="X392" i="1"/>
  <c r="W392" i="1"/>
  <c r="V392" i="1"/>
  <c r="U392" i="1"/>
  <c r="T392" i="1"/>
  <c r="S392" i="1"/>
  <c r="R392" i="1"/>
  <c r="Q392" i="1"/>
  <c r="O392" i="1"/>
  <c r="P392" i="1" s="1"/>
  <c r="N392" i="1"/>
  <c r="AD391" i="1"/>
  <c r="AA391" i="1"/>
  <c r="Z391" i="1"/>
  <c r="AB391" i="1" s="1"/>
  <c r="AC391" i="1" s="1"/>
  <c r="Y391" i="1"/>
  <c r="W391" i="1"/>
  <c r="V391" i="1"/>
  <c r="X391" i="1" s="1"/>
  <c r="T391" i="1"/>
  <c r="S391" i="1"/>
  <c r="U391" i="1" s="1"/>
  <c r="R391" i="1"/>
  <c r="Q391" i="1"/>
  <c r="O391" i="1"/>
  <c r="P391" i="1" s="1"/>
  <c r="N391" i="1"/>
  <c r="AA390" i="1"/>
  <c r="Y390" i="1"/>
  <c r="AD390" i="1" s="1"/>
  <c r="X390" i="1"/>
  <c r="W390" i="1"/>
  <c r="V390" i="1"/>
  <c r="T390" i="1"/>
  <c r="S390" i="1"/>
  <c r="U390" i="1" s="1"/>
  <c r="R390" i="1"/>
  <c r="O390" i="1"/>
  <c r="N390" i="1"/>
  <c r="AD389" i="1"/>
  <c r="AA389" i="1"/>
  <c r="Y389" i="1"/>
  <c r="Z389" i="1" s="1"/>
  <c r="AB389" i="1" s="1"/>
  <c r="AC389" i="1" s="1"/>
  <c r="X389" i="1"/>
  <c r="W389" i="1"/>
  <c r="V389" i="1"/>
  <c r="T389" i="1"/>
  <c r="S389" i="1"/>
  <c r="R389" i="1"/>
  <c r="O389" i="1"/>
  <c r="Q389" i="1" s="1"/>
  <c r="N389" i="1"/>
  <c r="AA388" i="1"/>
  <c r="Y388" i="1"/>
  <c r="W388" i="1"/>
  <c r="V388" i="1"/>
  <c r="X388" i="1" s="1"/>
  <c r="U388" i="1"/>
  <c r="T388" i="1"/>
  <c r="S388" i="1"/>
  <c r="R388" i="1"/>
  <c r="Q388" i="1"/>
  <c r="P388" i="1"/>
  <c r="O388" i="1"/>
  <c r="N388" i="1"/>
  <c r="AD387" i="1"/>
  <c r="AA387" i="1"/>
  <c r="Y387" i="1"/>
  <c r="Z387" i="1" s="1"/>
  <c r="AB387" i="1" s="1"/>
  <c r="AC387" i="1" s="1"/>
  <c r="W387" i="1"/>
  <c r="V387" i="1"/>
  <c r="X387" i="1" s="1"/>
  <c r="U387" i="1"/>
  <c r="T387" i="1"/>
  <c r="S387" i="1"/>
  <c r="R387" i="1"/>
  <c r="O387" i="1"/>
  <c r="N387" i="1"/>
  <c r="AD386" i="1"/>
  <c r="AA386" i="1"/>
  <c r="Z386" i="1"/>
  <c r="AB386" i="1" s="1"/>
  <c r="AC386" i="1" s="1"/>
  <c r="Y386" i="1"/>
  <c r="W386" i="1"/>
  <c r="V386" i="1"/>
  <c r="T386" i="1"/>
  <c r="S386" i="1"/>
  <c r="U386" i="1" s="1"/>
  <c r="R386" i="1"/>
  <c r="O386" i="1"/>
  <c r="N386" i="1"/>
  <c r="AA385" i="1"/>
  <c r="Y385" i="1"/>
  <c r="W385" i="1"/>
  <c r="X385" i="1" s="1"/>
  <c r="V385" i="1"/>
  <c r="T385" i="1"/>
  <c r="S385" i="1"/>
  <c r="U385" i="1" s="1"/>
  <c r="R385" i="1"/>
  <c r="P385" i="1"/>
  <c r="O385" i="1"/>
  <c r="Q385" i="1" s="1"/>
  <c r="N385" i="1"/>
  <c r="AD384" i="1"/>
  <c r="AC384" i="1"/>
  <c r="AA384" i="1"/>
  <c r="Y384" i="1"/>
  <c r="Z384" i="1" s="1"/>
  <c r="AB384" i="1" s="1"/>
  <c r="X384" i="1"/>
  <c r="W384" i="1"/>
  <c r="V384" i="1"/>
  <c r="U384" i="1"/>
  <c r="T384" i="1"/>
  <c r="S384" i="1"/>
  <c r="R384" i="1"/>
  <c r="Q384" i="1"/>
  <c r="P384" i="1"/>
  <c r="O384" i="1"/>
  <c r="N384" i="1"/>
  <c r="AD383" i="1"/>
  <c r="AA383" i="1"/>
  <c r="Z383" i="1"/>
  <c r="AB383" i="1" s="1"/>
  <c r="AC383" i="1" s="1"/>
  <c r="Y383" i="1"/>
  <c r="W383" i="1"/>
  <c r="V383" i="1"/>
  <c r="X383" i="1" s="1"/>
  <c r="U383" i="1"/>
  <c r="T383" i="1"/>
  <c r="S383" i="1"/>
  <c r="R383" i="1"/>
  <c r="Q383" i="1"/>
  <c r="O383" i="1"/>
  <c r="P383" i="1" s="1"/>
  <c r="N383" i="1"/>
  <c r="AD382" i="1"/>
  <c r="AA382" i="1"/>
  <c r="Z382" i="1"/>
  <c r="AB382" i="1" s="1"/>
  <c r="AC382" i="1" s="1"/>
  <c r="Y382" i="1"/>
  <c r="W382" i="1"/>
  <c r="V382" i="1"/>
  <c r="T382" i="1"/>
  <c r="S382" i="1"/>
  <c r="U382" i="1" s="1"/>
  <c r="R382" i="1"/>
  <c r="O382" i="1"/>
  <c r="Q382" i="1" s="1"/>
  <c r="N382" i="1"/>
  <c r="AA381" i="1"/>
  <c r="Y381" i="1"/>
  <c r="AD381" i="1" s="1"/>
  <c r="X381" i="1"/>
  <c r="W381" i="1"/>
  <c r="V381" i="1"/>
  <c r="T381" i="1"/>
  <c r="U381" i="1" s="1"/>
  <c r="S381" i="1"/>
  <c r="R381" i="1"/>
  <c r="P381" i="1"/>
  <c r="O381" i="1"/>
  <c r="Q381" i="1" s="1"/>
  <c r="N381" i="1"/>
  <c r="AA380" i="1"/>
  <c r="Y380" i="1"/>
  <c r="AD380" i="1" s="1"/>
  <c r="X380" i="1"/>
  <c r="W380" i="1"/>
  <c r="V380" i="1"/>
  <c r="U380" i="1"/>
  <c r="T380" i="1"/>
  <c r="S380" i="1"/>
  <c r="R380" i="1"/>
  <c r="O380" i="1"/>
  <c r="P380" i="1" s="1"/>
  <c r="N380" i="1"/>
  <c r="AD379" i="1"/>
  <c r="AA379" i="1"/>
  <c r="Z379" i="1"/>
  <c r="AB379" i="1" s="1"/>
  <c r="AC379" i="1" s="1"/>
  <c r="Y379" i="1"/>
  <c r="W379" i="1"/>
  <c r="V379" i="1"/>
  <c r="X379" i="1" s="1"/>
  <c r="T379" i="1"/>
  <c r="S379" i="1"/>
  <c r="R379" i="1"/>
  <c r="Q379" i="1"/>
  <c r="O379" i="1"/>
  <c r="P379" i="1" s="1"/>
  <c r="N379" i="1"/>
  <c r="AA378" i="1"/>
  <c r="Y378" i="1"/>
  <c r="X378" i="1"/>
  <c r="W378" i="1"/>
  <c r="V378" i="1"/>
  <c r="T378" i="1"/>
  <c r="S378" i="1"/>
  <c r="U378" i="1" s="1"/>
  <c r="R378" i="1"/>
  <c r="O378" i="1"/>
  <c r="N378" i="1"/>
  <c r="AD377" i="1"/>
  <c r="AA377" i="1"/>
  <c r="Y377" i="1"/>
  <c r="Z377" i="1" s="1"/>
  <c r="AB377" i="1" s="1"/>
  <c r="AC377" i="1" s="1"/>
  <c r="X377" i="1"/>
  <c r="W377" i="1"/>
  <c r="V377" i="1"/>
  <c r="T377" i="1"/>
  <c r="S377" i="1"/>
  <c r="R377" i="1"/>
  <c r="O377" i="1"/>
  <c r="Q377" i="1" s="1"/>
  <c r="N377" i="1"/>
  <c r="AA376" i="1"/>
  <c r="Y376" i="1"/>
  <c r="W376" i="1"/>
  <c r="V376" i="1"/>
  <c r="U376" i="1"/>
  <c r="T376" i="1"/>
  <c r="S376" i="1"/>
  <c r="R376" i="1"/>
  <c r="Q376" i="1"/>
  <c r="P376" i="1"/>
  <c r="O376" i="1"/>
  <c r="N376" i="1"/>
  <c r="AD375" i="1"/>
  <c r="AA375" i="1"/>
  <c r="Y375" i="1"/>
  <c r="Z375" i="1" s="1"/>
  <c r="AB375" i="1" s="1"/>
  <c r="AC375" i="1" s="1"/>
  <c r="W375" i="1"/>
  <c r="V375" i="1"/>
  <c r="X375" i="1" s="1"/>
  <c r="U375" i="1"/>
  <c r="T375" i="1"/>
  <c r="S375" i="1"/>
  <c r="R375" i="1"/>
  <c r="O375" i="1"/>
  <c r="N375" i="1"/>
  <c r="AD374" i="1"/>
  <c r="AA374" i="1"/>
  <c r="Z374" i="1"/>
  <c r="AB374" i="1" s="1"/>
  <c r="AC374" i="1" s="1"/>
  <c r="Y374" i="1"/>
  <c r="W374" i="1"/>
  <c r="V374" i="1"/>
  <c r="X374" i="1" s="1"/>
  <c r="T374" i="1"/>
  <c r="S374" i="1"/>
  <c r="U374" i="1" s="1"/>
  <c r="R374" i="1"/>
  <c r="O374" i="1"/>
  <c r="N374" i="1"/>
  <c r="AA373" i="1"/>
  <c r="Z373" i="1"/>
  <c r="AB373" i="1" s="1"/>
  <c r="AC373" i="1" s="1"/>
  <c r="Y373" i="1"/>
  <c r="AD373" i="1" s="1"/>
  <c r="W373" i="1"/>
  <c r="X373" i="1" s="1"/>
  <c r="V373" i="1"/>
  <c r="T373" i="1"/>
  <c r="S373" i="1"/>
  <c r="U373" i="1" s="1"/>
  <c r="R373" i="1"/>
  <c r="O373" i="1"/>
  <c r="Q373" i="1" s="1"/>
  <c r="N373" i="1"/>
  <c r="AA372" i="1"/>
  <c r="Y372" i="1"/>
  <c r="Z372" i="1" s="1"/>
  <c r="AB372" i="1" s="1"/>
  <c r="AC372" i="1" s="1"/>
  <c r="X372" i="1"/>
  <c r="W372" i="1"/>
  <c r="V372" i="1"/>
  <c r="T372" i="1"/>
  <c r="S372" i="1"/>
  <c r="R372" i="1"/>
  <c r="Q372" i="1"/>
  <c r="P372" i="1"/>
  <c r="O372" i="1"/>
  <c r="N372" i="1"/>
  <c r="AA371" i="1"/>
  <c r="Z371" i="1"/>
  <c r="AB371" i="1" s="1"/>
  <c r="AC371" i="1" s="1"/>
  <c r="Y371" i="1"/>
  <c r="AD371" i="1" s="1"/>
  <c r="X371" i="1"/>
  <c r="W371" i="1"/>
  <c r="V371" i="1"/>
  <c r="U371" i="1"/>
  <c r="T371" i="1"/>
  <c r="S371" i="1"/>
  <c r="R371" i="1"/>
  <c r="Q371" i="1"/>
  <c r="O371" i="1"/>
  <c r="P371" i="1" s="1"/>
  <c r="N371" i="1"/>
  <c r="AD370" i="1"/>
  <c r="AB370" i="1"/>
  <c r="AC370" i="1" s="1"/>
  <c r="AA370" i="1"/>
  <c r="Z370" i="1"/>
  <c r="Y370" i="1"/>
  <c r="W370" i="1"/>
  <c r="V370" i="1"/>
  <c r="T370" i="1"/>
  <c r="S370" i="1"/>
  <c r="U370" i="1" s="1"/>
  <c r="R370" i="1"/>
  <c r="P370" i="1"/>
  <c r="O370" i="1"/>
  <c r="Q370" i="1" s="1"/>
  <c r="N370" i="1"/>
  <c r="AA369" i="1"/>
  <c r="Y369" i="1"/>
  <c r="AD369" i="1" s="1"/>
  <c r="X369" i="1"/>
  <c r="W369" i="1"/>
  <c r="V369" i="1"/>
  <c r="T369" i="1"/>
  <c r="S369" i="1"/>
  <c r="U369" i="1" s="1"/>
  <c r="R369" i="1"/>
  <c r="O369" i="1"/>
  <c r="N369" i="1"/>
  <c r="AA368" i="1"/>
  <c r="Z368" i="1"/>
  <c r="AB368" i="1" s="1"/>
  <c r="AC368" i="1" s="1"/>
  <c r="Y368" i="1"/>
  <c r="AD368" i="1" s="1"/>
  <c r="X368" i="1"/>
  <c r="W368" i="1"/>
  <c r="V368" i="1"/>
  <c r="U368" i="1"/>
  <c r="T368" i="1"/>
  <c r="S368" i="1"/>
  <c r="R368" i="1"/>
  <c r="O368" i="1"/>
  <c r="Q368" i="1" s="1"/>
  <c r="N368" i="1"/>
  <c r="AA367" i="1"/>
  <c r="Y367" i="1"/>
  <c r="AD367" i="1" s="1"/>
  <c r="W367" i="1"/>
  <c r="V367" i="1"/>
  <c r="X367" i="1" s="1"/>
  <c r="U367" i="1"/>
  <c r="T367" i="1"/>
  <c r="S367" i="1"/>
  <c r="R367" i="1"/>
  <c r="Q367" i="1"/>
  <c r="O367" i="1"/>
  <c r="P367" i="1" s="1"/>
  <c r="N367" i="1"/>
  <c r="AA366" i="1"/>
  <c r="Z366" i="1"/>
  <c r="AB366" i="1" s="1"/>
  <c r="AC366" i="1" s="1"/>
  <c r="Y366" i="1"/>
  <c r="AD366" i="1" s="1"/>
  <c r="X366" i="1"/>
  <c r="W366" i="1"/>
  <c r="V366" i="1"/>
  <c r="T366" i="1"/>
  <c r="S366" i="1"/>
  <c r="U366" i="1" s="1"/>
  <c r="R366" i="1"/>
  <c r="O366" i="1"/>
  <c r="N366" i="1"/>
  <c r="AD365" i="1"/>
  <c r="AA365" i="1"/>
  <c r="Y365" i="1"/>
  <c r="Z365" i="1" s="1"/>
  <c r="AB365" i="1" s="1"/>
  <c r="AC365" i="1" s="1"/>
  <c r="X365" i="1"/>
  <c r="W365" i="1"/>
  <c r="V365" i="1"/>
  <c r="T365" i="1"/>
  <c r="S365" i="1"/>
  <c r="R365" i="1"/>
  <c r="O365" i="1"/>
  <c r="Q365" i="1" s="1"/>
  <c r="N365" i="1"/>
  <c r="AA364" i="1"/>
  <c r="Y364" i="1"/>
  <c r="Z364" i="1" s="1"/>
  <c r="AB364" i="1" s="1"/>
  <c r="AC364" i="1" s="1"/>
  <c r="W364" i="1"/>
  <c r="V364" i="1"/>
  <c r="X364" i="1" s="1"/>
  <c r="T364" i="1"/>
  <c r="U364" i="1" s="1"/>
  <c r="S364" i="1"/>
  <c r="R364" i="1"/>
  <c r="Q364" i="1"/>
  <c r="P364" i="1"/>
  <c r="O364" i="1"/>
  <c r="N364" i="1"/>
  <c r="AD363" i="1"/>
  <c r="AA363" i="1"/>
  <c r="Y363" i="1"/>
  <c r="Z363" i="1" s="1"/>
  <c r="AB363" i="1" s="1"/>
  <c r="AC363" i="1" s="1"/>
  <c r="W363" i="1"/>
  <c r="V363" i="1"/>
  <c r="U363" i="1"/>
  <c r="T363" i="1"/>
  <c r="S363" i="1"/>
  <c r="R363" i="1"/>
  <c r="Q363" i="1"/>
  <c r="P363" i="1"/>
  <c r="O363" i="1"/>
  <c r="N363" i="1"/>
  <c r="AD362" i="1"/>
  <c r="AA362" i="1"/>
  <c r="Z362" i="1"/>
  <c r="AB362" i="1" s="1"/>
  <c r="AC362" i="1" s="1"/>
  <c r="Y362" i="1"/>
  <c r="X362" i="1"/>
  <c r="W362" i="1"/>
  <c r="V362" i="1"/>
  <c r="U362" i="1"/>
  <c r="T362" i="1"/>
  <c r="S362" i="1"/>
  <c r="R362" i="1"/>
  <c r="O362" i="1"/>
  <c r="Q362" i="1" s="1"/>
  <c r="N362" i="1"/>
  <c r="AB361" i="1"/>
  <c r="AC361" i="1" s="1"/>
  <c r="AA361" i="1"/>
  <c r="Z361" i="1"/>
  <c r="Y361" i="1"/>
  <c r="AD361" i="1" s="1"/>
  <c r="X361" i="1"/>
  <c r="W361" i="1"/>
  <c r="V361" i="1"/>
  <c r="T361" i="1"/>
  <c r="S361" i="1"/>
  <c r="U361" i="1" s="1"/>
  <c r="R361" i="1"/>
  <c r="O361" i="1"/>
  <c r="Q361" i="1" s="1"/>
  <c r="N361" i="1"/>
  <c r="AA360" i="1"/>
  <c r="Z360" i="1"/>
  <c r="AB360" i="1" s="1"/>
  <c r="AC360" i="1" s="1"/>
  <c r="Y360" i="1"/>
  <c r="AD360" i="1" s="1"/>
  <c r="W360" i="1"/>
  <c r="V360" i="1"/>
  <c r="X360" i="1" s="1"/>
  <c r="U360" i="1"/>
  <c r="T360" i="1"/>
  <c r="S360" i="1"/>
  <c r="R360" i="1"/>
  <c r="Q360" i="1"/>
  <c r="P360" i="1"/>
  <c r="O360" i="1"/>
  <c r="N360" i="1"/>
  <c r="AA359" i="1"/>
  <c r="Y359" i="1"/>
  <c r="X359" i="1"/>
  <c r="W359" i="1"/>
  <c r="V359" i="1"/>
  <c r="U359" i="1"/>
  <c r="T359" i="1"/>
  <c r="S359" i="1"/>
  <c r="R359" i="1"/>
  <c r="O359" i="1"/>
  <c r="P359" i="1" s="1"/>
  <c r="N359" i="1"/>
  <c r="AD358" i="1"/>
  <c r="AC358" i="1"/>
  <c r="AB358" i="1"/>
  <c r="AA358" i="1"/>
  <c r="Z358" i="1"/>
  <c r="Y358" i="1"/>
  <c r="W358" i="1"/>
  <c r="V358" i="1"/>
  <c r="X358" i="1" s="1"/>
  <c r="T358" i="1"/>
  <c r="S358" i="1"/>
  <c r="U358" i="1" s="1"/>
  <c r="R358" i="1"/>
  <c r="O358" i="1"/>
  <c r="N358" i="1"/>
  <c r="AA357" i="1"/>
  <c r="Y357" i="1"/>
  <c r="W357" i="1"/>
  <c r="V357" i="1"/>
  <c r="X357" i="1" s="1"/>
  <c r="T357" i="1"/>
  <c r="S357" i="1"/>
  <c r="U357" i="1" s="1"/>
  <c r="R357" i="1"/>
  <c r="O357" i="1"/>
  <c r="Q357" i="1" s="1"/>
  <c r="N357" i="1"/>
  <c r="AA356" i="1"/>
  <c r="Z356" i="1"/>
  <c r="AB356" i="1" s="1"/>
  <c r="AC356" i="1" s="1"/>
  <c r="Y356" i="1"/>
  <c r="AD356" i="1" s="1"/>
  <c r="X356" i="1"/>
  <c r="W356" i="1"/>
  <c r="V356" i="1"/>
  <c r="T356" i="1"/>
  <c r="U356" i="1" s="1"/>
  <c r="S356" i="1"/>
  <c r="R356" i="1"/>
  <c r="O356" i="1"/>
  <c r="Q356" i="1" s="1"/>
  <c r="N356" i="1"/>
  <c r="AD355" i="1"/>
  <c r="AC355" i="1"/>
  <c r="AA355" i="1"/>
  <c r="Z355" i="1"/>
  <c r="AB355" i="1" s="1"/>
  <c r="Y355" i="1"/>
  <c r="W355" i="1"/>
  <c r="V355" i="1"/>
  <c r="T355" i="1"/>
  <c r="S355" i="1"/>
  <c r="U355" i="1" s="1"/>
  <c r="R355" i="1"/>
  <c r="Q355" i="1"/>
  <c r="O355" i="1"/>
  <c r="P355" i="1" s="1"/>
  <c r="N355" i="1"/>
  <c r="AD354" i="1"/>
  <c r="AA354" i="1"/>
  <c r="Z354" i="1"/>
  <c r="AB354" i="1" s="1"/>
  <c r="AC354" i="1" s="1"/>
  <c r="Y354" i="1"/>
  <c r="W354" i="1"/>
  <c r="V354" i="1"/>
  <c r="X354" i="1" s="1"/>
  <c r="T354" i="1"/>
  <c r="S354" i="1"/>
  <c r="U354" i="1" s="1"/>
  <c r="R354" i="1"/>
  <c r="O354" i="1"/>
  <c r="Q354" i="1" s="1"/>
  <c r="N354" i="1"/>
  <c r="AA353" i="1"/>
  <c r="Y353" i="1"/>
  <c r="Z353" i="1" s="1"/>
  <c r="AB353" i="1" s="1"/>
  <c r="AC353" i="1" s="1"/>
  <c r="W353" i="1"/>
  <c r="X353" i="1" s="1"/>
  <c r="V353" i="1"/>
  <c r="T353" i="1"/>
  <c r="S353" i="1"/>
  <c r="R353" i="1"/>
  <c r="P353" i="1"/>
  <c r="O353" i="1"/>
  <c r="Q353" i="1" s="1"/>
  <c r="N353" i="1"/>
  <c r="AA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AD351" i="1"/>
  <c r="AC351" i="1"/>
  <c r="AA351" i="1"/>
  <c r="Z351" i="1"/>
  <c r="AB351" i="1" s="1"/>
  <c r="Y351" i="1"/>
  <c r="W351" i="1"/>
  <c r="V351" i="1"/>
  <c r="X351" i="1" s="1"/>
  <c r="T351" i="1"/>
  <c r="S351" i="1"/>
  <c r="U351" i="1" s="1"/>
  <c r="R351" i="1"/>
  <c r="Q351" i="1"/>
  <c r="P351" i="1"/>
  <c r="O351" i="1"/>
  <c r="N351" i="1"/>
  <c r="AD350" i="1"/>
  <c r="AA350" i="1"/>
  <c r="Z350" i="1"/>
  <c r="AB350" i="1" s="1"/>
  <c r="AC350" i="1" s="1"/>
  <c r="Y350" i="1"/>
  <c r="W350" i="1"/>
  <c r="V350" i="1"/>
  <c r="X350" i="1" s="1"/>
  <c r="T350" i="1"/>
  <c r="U350" i="1" s="1"/>
  <c r="S350" i="1"/>
  <c r="R350" i="1"/>
  <c r="P350" i="1"/>
  <c r="O350" i="1"/>
  <c r="Q350" i="1" s="1"/>
  <c r="N350" i="1"/>
  <c r="AA349" i="1"/>
  <c r="Z349" i="1"/>
  <c r="AB349" i="1" s="1"/>
  <c r="AC349" i="1" s="1"/>
  <c r="Y349" i="1"/>
  <c r="AD349" i="1" s="1"/>
  <c r="W349" i="1"/>
  <c r="X349" i="1" s="1"/>
  <c r="V349" i="1"/>
  <c r="T349" i="1"/>
  <c r="S349" i="1"/>
  <c r="U349" i="1" s="1"/>
  <c r="R349" i="1"/>
  <c r="O349" i="1"/>
  <c r="Q349" i="1" s="1"/>
  <c r="N349" i="1"/>
  <c r="AA348" i="1"/>
  <c r="Y348" i="1"/>
  <c r="Z348" i="1" s="1"/>
  <c r="AB348" i="1" s="1"/>
  <c r="AC348" i="1" s="1"/>
  <c r="W348" i="1"/>
  <c r="V348" i="1"/>
  <c r="X348" i="1" s="1"/>
  <c r="T348" i="1"/>
  <c r="S348" i="1"/>
  <c r="U348" i="1" s="1"/>
  <c r="R348" i="1"/>
  <c r="Q348" i="1"/>
  <c r="P348" i="1"/>
  <c r="O348" i="1"/>
  <c r="N348" i="1"/>
  <c r="AD347" i="1"/>
  <c r="AA347" i="1"/>
  <c r="Y347" i="1"/>
  <c r="Z347" i="1" s="1"/>
  <c r="AB347" i="1" s="1"/>
  <c r="AC347" i="1" s="1"/>
  <c r="W347" i="1"/>
  <c r="V347" i="1"/>
  <c r="X347" i="1" s="1"/>
  <c r="U347" i="1"/>
  <c r="T347" i="1"/>
  <c r="S347" i="1"/>
  <c r="R347" i="1"/>
  <c r="O347" i="1"/>
  <c r="Q347" i="1" s="1"/>
  <c r="N347" i="1"/>
  <c r="AD346" i="1"/>
  <c r="AA346" i="1"/>
  <c r="Z346" i="1"/>
  <c r="AB346" i="1" s="1"/>
  <c r="AC346" i="1" s="1"/>
  <c r="Y346" i="1"/>
  <c r="W346" i="1"/>
  <c r="V346" i="1"/>
  <c r="X346" i="1" s="1"/>
  <c r="T346" i="1"/>
  <c r="S346" i="1"/>
  <c r="U346" i="1" s="1"/>
  <c r="R346" i="1"/>
  <c r="O346" i="1"/>
  <c r="N346" i="1"/>
  <c r="AA345" i="1"/>
  <c r="Y345" i="1"/>
  <c r="AD345" i="1" s="1"/>
  <c r="W345" i="1"/>
  <c r="V345" i="1"/>
  <c r="X345" i="1" s="1"/>
  <c r="T345" i="1"/>
  <c r="S345" i="1"/>
  <c r="R345" i="1"/>
  <c r="P345" i="1"/>
  <c r="O345" i="1"/>
  <c r="Q345" i="1" s="1"/>
  <c r="N345" i="1"/>
  <c r="AA344" i="1"/>
  <c r="Y344" i="1"/>
  <c r="X344" i="1"/>
  <c r="W344" i="1"/>
  <c r="V344" i="1"/>
  <c r="U344" i="1"/>
  <c r="T344" i="1"/>
  <c r="S344" i="1"/>
  <c r="R344" i="1"/>
  <c r="O344" i="1"/>
  <c r="Q344" i="1" s="1"/>
  <c r="N344" i="1"/>
  <c r="AD343" i="1"/>
  <c r="AA343" i="1"/>
  <c r="Z343" i="1"/>
  <c r="AB343" i="1" s="1"/>
  <c r="AC343" i="1" s="1"/>
  <c r="Y343" i="1"/>
  <c r="W343" i="1"/>
  <c r="V343" i="1"/>
  <c r="X343" i="1" s="1"/>
  <c r="T343" i="1"/>
  <c r="S343" i="1"/>
  <c r="U343" i="1" s="1"/>
  <c r="R343" i="1"/>
  <c r="Q343" i="1"/>
  <c r="P343" i="1"/>
  <c r="O343" i="1"/>
  <c r="N343" i="1"/>
  <c r="AA342" i="1"/>
  <c r="Y342" i="1"/>
  <c r="AD342" i="1" s="1"/>
  <c r="W342" i="1"/>
  <c r="V342" i="1"/>
  <c r="T342" i="1"/>
  <c r="S342" i="1"/>
  <c r="U342" i="1" s="1"/>
  <c r="R342" i="1"/>
  <c r="P342" i="1"/>
  <c r="O342" i="1"/>
  <c r="Q342" i="1" s="1"/>
  <c r="N342" i="1"/>
  <c r="AD341" i="1"/>
  <c r="AB341" i="1"/>
  <c r="AC341" i="1" s="1"/>
  <c r="AA341" i="1"/>
  <c r="Z341" i="1"/>
  <c r="Y341" i="1"/>
  <c r="X341" i="1"/>
  <c r="W341" i="1"/>
  <c r="V341" i="1"/>
  <c r="T341" i="1"/>
  <c r="S341" i="1"/>
  <c r="U341" i="1" s="1"/>
  <c r="R341" i="1"/>
  <c r="P341" i="1"/>
  <c r="O341" i="1"/>
  <c r="Q341" i="1" s="1"/>
  <c r="N341" i="1"/>
  <c r="AA340" i="1"/>
  <c r="Z340" i="1"/>
  <c r="AB340" i="1" s="1"/>
  <c r="AC340" i="1" s="1"/>
  <c r="Y340" i="1"/>
  <c r="AD340" i="1" s="1"/>
  <c r="W340" i="1"/>
  <c r="V340" i="1"/>
  <c r="X340" i="1" s="1"/>
  <c r="U340" i="1"/>
  <c r="T340" i="1"/>
  <c r="S340" i="1"/>
  <c r="R340" i="1"/>
  <c r="Q340" i="1"/>
  <c r="P340" i="1"/>
  <c r="O340" i="1"/>
  <c r="N340" i="1"/>
  <c r="AA339" i="1"/>
  <c r="Z339" i="1"/>
  <c r="AB339" i="1" s="1"/>
  <c r="AC339" i="1" s="1"/>
  <c r="Y339" i="1"/>
  <c r="AD339" i="1" s="1"/>
  <c r="W339" i="1"/>
  <c r="V339" i="1"/>
  <c r="X339" i="1" s="1"/>
  <c r="T339" i="1"/>
  <c r="S339" i="1"/>
  <c r="U339" i="1" s="1"/>
  <c r="R339" i="1"/>
  <c r="P339" i="1"/>
  <c r="O339" i="1"/>
  <c r="Q339" i="1" s="1"/>
  <c r="N339" i="1"/>
  <c r="AD338" i="1"/>
  <c r="AA338" i="1"/>
  <c r="Z338" i="1"/>
  <c r="AB338" i="1" s="1"/>
  <c r="AC338" i="1" s="1"/>
  <c r="Y338" i="1"/>
  <c r="W338" i="1"/>
  <c r="V338" i="1"/>
  <c r="X338" i="1" s="1"/>
  <c r="T338" i="1"/>
  <c r="S338" i="1"/>
  <c r="U338" i="1" s="1"/>
  <c r="R338" i="1"/>
  <c r="O338" i="1"/>
  <c r="Q338" i="1" s="1"/>
  <c r="N338" i="1"/>
  <c r="AA337" i="1"/>
  <c r="Z337" i="1"/>
  <c r="AB337" i="1" s="1"/>
  <c r="AC337" i="1" s="1"/>
  <c r="Y337" i="1"/>
  <c r="AD337" i="1" s="1"/>
  <c r="X337" i="1"/>
  <c r="W337" i="1"/>
  <c r="V337" i="1"/>
  <c r="T337" i="1"/>
  <c r="S337" i="1"/>
  <c r="R337" i="1"/>
  <c r="O337" i="1"/>
  <c r="Q337" i="1" s="1"/>
  <c r="N337" i="1"/>
  <c r="AA336" i="1"/>
  <c r="Y336" i="1"/>
  <c r="W336" i="1"/>
  <c r="V336" i="1"/>
  <c r="X336" i="1" s="1"/>
  <c r="T336" i="1"/>
  <c r="S336" i="1"/>
  <c r="U336" i="1" s="1"/>
  <c r="R336" i="1"/>
  <c r="Q336" i="1"/>
  <c r="P336" i="1"/>
  <c r="O336" i="1"/>
  <c r="N336" i="1"/>
  <c r="AD335" i="1"/>
  <c r="AA335" i="1"/>
  <c r="Y335" i="1"/>
  <c r="Z335" i="1" s="1"/>
  <c r="AB335" i="1" s="1"/>
  <c r="AC335" i="1" s="1"/>
  <c r="W335" i="1"/>
  <c r="V335" i="1"/>
  <c r="X335" i="1" s="1"/>
  <c r="U335" i="1"/>
  <c r="T335" i="1"/>
  <c r="S335" i="1"/>
  <c r="R335" i="1"/>
  <c r="O335" i="1"/>
  <c r="Q335" i="1" s="1"/>
  <c r="N335" i="1"/>
  <c r="AD334" i="1"/>
  <c r="AA334" i="1"/>
  <c r="Z334" i="1"/>
  <c r="AB334" i="1" s="1"/>
  <c r="AC334" i="1" s="1"/>
  <c r="Y334" i="1"/>
  <c r="W334" i="1"/>
  <c r="V334" i="1"/>
  <c r="T334" i="1"/>
  <c r="S334" i="1"/>
  <c r="U334" i="1" s="1"/>
  <c r="R334" i="1"/>
  <c r="O334" i="1"/>
  <c r="N334" i="1"/>
  <c r="AA333" i="1"/>
  <c r="Y333" i="1"/>
  <c r="AD333" i="1" s="1"/>
  <c r="W333" i="1"/>
  <c r="V333" i="1"/>
  <c r="X333" i="1" s="1"/>
  <c r="T333" i="1"/>
  <c r="S333" i="1"/>
  <c r="R333" i="1"/>
  <c r="P333" i="1"/>
  <c r="O333" i="1"/>
  <c r="Q333" i="1" s="1"/>
  <c r="N333" i="1"/>
  <c r="AA332" i="1"/>
  <c r="Y332" i="1"/>
  <c r="X332" i="1"/>
  <c r="W332" i="1"/>
  <c r="V332" i="1"/>
  <c r="U332" i="1"/>
  <c r="T332" i="1"/>
  <c r="S332" i="1"/>
  <c r="R332" i="1"/>
  <c r="O332" i="1"/>
  <c r="Q332" i="1" s="1"/>
  <c r="N332" i="1"/>
  <c r="AD331" i="1"/>
  <c r="AA331" i="1"/>
  <c r="Z331" i="1"/>
  <c r="AB331" i="1" s="1"/>
  <c r="AC331" i="1" s="1"/>
  <c r="Y331" i="1"/>
  <c r="W331" i="1"/>
  <c r="V331" i="1"/>
  <c r="X331" i="1" s="1"/>
  <c r="T331" i="1"/>
  <c r="S331" i="1"/>
  <c r="U331" i="1" s="1"/>
  <c r="R331" i="1"/>
  <c r="Q331" i="1"/>
  <c r="P331" i="1"/>
  <c r="O331" i="1"/>
  <c r="N331" i="1"/>
  <c r="AA330" i="1"/>
  <c r="Y330" i="1"/>
  <c r="AD330" i="1" s="1"/>
  <c r="W330" i="1"/>
  <c r="V330" i="1"/>
  <c r="X330" i="1" s="1"/>
  <c r="T330" i="1"/>
  <c r="S330" i="1"/>
  <c r="U330" i="1" s="1"/>
  <c r="R330" i="1"/>
  <c r="P330" i="1"/>
  <c r="O330" i="1"/>
  <c r="Q330" i="1" s="1"/>
  <c r="N330" i="1"/>
  <c r="AD329" i="1"/>
  <c r="AB329" i="1"/>
  <c r="AC329" i="1" s="1"/>
  <c r="AA329" i="1"/>
  <c r="Z329" i="1"/>
  <c r="Y329" i="1"/>
  <c r="X329" i="1"/>
  <c r="W329" i="1"/>
  <c r="V329" i="1"/>
  <c r="T329" i="1"/>
  <c r="S329" i="1"/>
  <c r="U329" i="1" s="1"/>
  <c r="R329" i="1"/>
  <c r="O329" i="1"/>
  <c r="N329" i="1"/>
  <c r="AA328" i="1"/>
  <c r="Z328" i="1"/>
  <c r="AB328" i="1" s="1"/>
  <c r="AC328" i="1" s="1"/>
  <c r="Y328" i="1"/>
  <c r="AD328" i="1" s="1"/>
  <c r="W328" i="1"/>
  <c r="V328" i="1"/>
  <c r="X328" i="1" s="1"/>
  <c r="U328" i="1"/>
  <c r="T328" i="1"/>
  <c r="S328" i="1"/>
  <c r="R328" i="1"/>
  <c r="Q328" i="1"/>
  <c r="P328" i="1"/>
  <c r="O328" i="1"/>
  <c r="N328" i="1"/>
  <c r="AA327" i="1"/>
  <c r="Y327" i="1"/>
  <c r="AD327" i="1" s="1"/>
  <c r="W327" i="1"/>
  <c r="V327" i="1"/>
  <c r="X327" i="1" s="1"/>
  <c r="T327" i="1"/>
  <c r="S327" i="1"/>
  <c r="U327" i="1" s="1"/>
  <c r="R327" i="1"/>
  <c r="P327" i="1"/>
  <c r="O327" i="1"/>
  <c r="Q327" i="1" s="1"/>
  <c r="N327" i="1"/>
  <c r="AD326" i="1"/>
  <c r="AA326" i="1"/>
  <c r="Z326" i="1"/>
  <c r="AB326" i="1" s="1"/>
  <c r="AC326" i="1" s="1"/>
  <c r="Y326" i="1"/>
  <c r="W326" i="1"/>
  <c r="V326" i="1"/>
  <c r="X326" i="1" s="1"/>
  <c r="T326" i="1"/>
  <c r="S326" i="1"/>
  <c r="U326" i="1" s="1"/>
  <c r="R326" i="1"/>
  <c r="O326" i="1"/>
  <c r="N326" i="1"/>
  <c r="AA325" i="1"/>
  <c r="Z325" i="1"/>
  <c r="AB325" i="1" s="1"/>
  <c r="AC325" i="1" s="1"/>
  <c r="Y325" i="1"/>
  <c r="AD325" i="1" s="1"/>
  <c r="W325" i="1"/>
  <c r="X325" i="1" s="1"/>
  <c r="V325" i="1"/>
  <c r="T325" i="1"/>
  <c r="S325" i="1"/>
  <c r="R325" i="1"/>
  <c r="O325" i="1"/>
  <c r="Q325" i="1" s="1"/>
  <c r="N325" i="1"/>
  <c r="AA324" i="1"/>
  <c r="Y324" i="1"/>
  <c r="W324" i="1"/>
  <c r="V324" i="1"/>
  <c r="X324" i="1" s="1"/>
  <c r="T324" i="1"/>
  <c r="S324" i="1"/>
  <c r="U324" i="1" s="1"/>
  <c r="R324" i="1"/>
  <c r="Q324" i="1"/>
  <c r="P324" i="1"/>
  <c r="O324" i="1"/>
  <c r="N324" i="1"/>
  <c r="AD323" i="1"/>
  <c r="AA323" i="1"/>
  <c r="Y323" i="1"/>
  <c r="Z323" i="1" s="1"/>
  <c r="AB323" i="1" s="1"/>
  <c r="AC323" i="1" s="1"/>
  <c r="W323" i="1"/>
  <c r="V323" i="1"/>
  <c r="X323" i="1" s="1"/>
  <c r="U323" i="1"/>
  <c r="T323" i="1"/>
  <c r="S323" i="1"/>
  <c r="R323" i="1"/>
  <c r="O323" i="1"/>
  <c r="Q323" i="1" s="1"/>
  <c r="N323" i="1"/>
  <c r="AD322" i="1"/>
  <c r="AA322" i="1"/>
  <c r="Z322" i="1"/>
  <c r="AB322" i="1" s="1"/>
  <c r="AC322" i="1" s="1"/>
  <c r="Y322" i="1"/>
  <c r="W322" i="1"/>
  <c r="V322" i="1"/>
  <c r="X322" i="1" s="1"/>
  <c r="T322" i="1"/>
  <c r="S322" i="1"/>
  <c r="U322" i="1" s="1"/>
  <c r="R322" i="1"/>
  <c r="O322" i="1"/>
  <c r="N322" i="1"/>
  <c r="AA321" i="1"/>
  <c r="Y321" i="1"/>
  <c r="AD321" i="1" s="1"/>
  <c r="W321" i="1"/>
  <c r="V321" i="1"/>
  <c r="X321" i="1" s="1"/>
  <c r="T321" i="1"/>
  <c r="S321" i="1"/>
  <c r="U321" i="1" s="1"/>
  <c r="R321" i="1"/>
  <c r="P321" i="1"/>
  <c r="O321" i="1"/>
  <c r="Q321" i="1" s="1"/>
  <c r="N321" i="1"/>
  <c r="AA320" i="1"/>
  <c r="Y320" i="1"/>
  <c r="X320" i="1"/>
  <c r="W320" i="1"/>
  <c r="V320" i="1"/>
  <c r="U320" i="1"/>
  <c r="T320" i="1"/>
  <c r="S320" i="1"/>
  <c r="R320" i="1"/>
  <c r="O320" i="1"/>
  <c r="Q320" i="1" s="1"/>
  <c r="N320" i="1"/>
  <c r="AD319" i="1"/>
  <c r="AA319" i="1"/>
  <c r="Z319" i="1"/>
  <c r="AB319" i="1" s="1"/>
  <c r="AC319" i="1" s="1"/>
  <c r="Y319" i="1"/>
  <c r="W319" i="1"/>
  <c r="V319" i="1"/>
  <c r="X319" i="1" s="1"/>
  <c r="T319" i="1"/>
  <c r="S319" i="1"/>
  <c r="U319" i="1" s="1"/>
  <c r="R319" i="1"/>
  <c r="Q319" i="1"/>
  <c r="P319" i="1"/>
  <c r="O319" i="1"/>
  <c r="N319" i="1"/>
  <c r="AA318" i="1"/>
  <c r="Y318" i="1"/>
  <c r="AD318" i="1" s="1"/>
  <c r="W318" i="1"/>
  <c r="V318" i="1"/>
  <c r="T318" i="1"/>
  <c r="S318" i="1"/>
  <c r="U318" i="1" s="1"/>
  <c r="R318" i="1"/>
  <c r="P318" i="1"/>
  <c r="O318" i="1"/>
  <c r="Q318" i="1" s="1"/>
  <c r="N318" i="1"/>
  <c r="AD317" i="1"/>
  <c r="AB317" i="1"/>
  <c r="AC317" i="1" s="1"/>
  <c r="AA317" i="1"/>
  <c r="Z317" i="1"/>
  <c r="Y317" i="1"/>
  <c r="X317" i="1"/>
  <c r="W317" i="1"/>
  <c r="V317" i="1"/>
  <c r="T317" i="1"/>
  <c r="S317" i="1"/>
  <c r="U317" i="1" s="1"/>
  <c r="R317" i="1"/>
  <c r="O317" i="1"/>
  <c r="N317" i="1"/>
  <c r="AC316" i="1"/>
  <c r="AA316" i="1"/>
  <c r="Z316" i="1"/>
  <c r="AB316" i="1" s="1"/>
  <c r="Y316" i="1"/>
  <c r="AD316" i="1" s="1"/>
  <c r="W316" i="1"/>
  <c r="V316" i="1"/>
  <c r="X316" i="1" s="1"/>
  <c r="T316" i="1"/>
  <c r="U316" i="1" s="1"/>
  <c r="S316" i="1"/>
  <c r="R316" i="1"/>
  <c r="Q316" i="1"/>
  <c r="P316" i="1"/>
  <c r="O316" i="1"/>
  <c r="N316" i="1"/>
  <c r="AA315" i="1"/>
  <c r="Y315" i="1"/>
  <c r="AD315" i="1" s="1"/>
  <c r="W315" i="1"/>
  <c r="V315" i="1"/>
  <c r="X315" i="1" s="1"/>
  <c r="T315" i="1"/>
  <c r="S315" i="1"/>
  <c r="U315" i="1" s="1"/>
  <c r="R315" i="1"/>
  <c r="P315" i="1"/>
  <c r="O315" i="1"/>
  <c r="Q315" i="1" s="1"/>
  <c r="N315" i="1"/>
  <c r="AD314" i="1"/>
  <c r="AA314" i="1"/>
  <c r="Z314" i="1"/>
  <c r="AB314" i="1" s="1"/>
  <c r="AC314" i="1" s="1"/>
  <c r="Y314" i="1"/>
  <c r="W314" i="1"/>
  <c r="V314" i="1"/>
  <c r="X314" i="1" s="1"/>
  <c r="T314" i="1"/>
  <c r="S314" i="1"/>
  <c r="U314" i="1" s="1"/>
  <c r="R314" i="1"/>
  <c r="O314" i="1"/>
  <c r="N314" i="1"/>
  <c r="AA313" i="1"/>
  <c r="Z313" i="1"/>
  <c r="AB313" i="1" s="1"/>
  <c r="AC313" i="1" s="1"/>
  <c r="Y313" i="1"/>
  <c r="AD313" i="1" s="1"/>
  <c r="W313" i="1"/>
  <c r="X313" i="1" s="1"/>
  <c r="V313" i="1"/>
  <c r="T313" i="1"/>
  <c r="S313" i="1"/>
  <c r="U313" i="1" s="1"/>
  <c r="R313" i="1"/>
  <c r="O313" i="1"/>
  <c r="Q313" i="1" s="1"/>
  <c r="N313" i="1"/>
  <c r="AA312" i="1"/>
  <c r="Y312" i="1"/>
  <c r="W312" i="1"/>
  <c r="V312" i="1"/>
  <c r="X312" i="1" s="1"/>
  <c r="T312" i="1"/>
  <c r="S312" i="1"/>
  <c r="U312" i="1" s="1"/>
  <c r="R312" i="1"/>
  <c r="Q312" i="1"/>
  <c r="P312" i="1"/>
  <c r="O312" i="1"/>
  <c r="N312" i="1"/>
  <c r="AD311" i="1"/>
  <c r="AA311" i="1"/>
  <c r="Y311" i="1"/>
  <c r="Z311" i="1" s="1"/>
  <c r="AB311" i="1" s="1"/>
  <c r="AC311" i="1" s="1"/>
  <c r="W311" i="1"/>
  <c r="V311" i="1"/>
  <c r="X311" i="1" s="1"/>
  <c r="U311" i="1"/>
  <c r="T311" i="1"/>
  <c r="S311" i="1"/>
  <c r="R311" i="1"/>
  <c r="O311" i="1"/>
  <c r="Q311" i="1" s="1"/>
  <c r="N311" i="1"/>
  <c r="AD310" i="1"/>
  <c r="AA310" i="1"/>
  <c r="Z310" i="1"/>
  <c r="AB310" i="1" s="1"/>
  <c r="AC310" i="1" s="1"/>
  <c r="Y310" i="1"/>
  <c r="W310" i="1"/>
  <c r="V310" i="1"/>
  <c r="X310" i="1" s="1"/>
  <c r="T310" i="1"/>
  <c r="S310" i="1"/>
  <c r="U310" i="1" s="1"/>
  <c r="R310" i="1"/>
  <c r="O310" i="1"/>
  <c r="N310" i="1"/>
  <c r="AA309" i="1"/>
  <c r="Y309" i="1"/>
  <c r="AD309" i="1" s="1"/>
  <c r="W309" i="1"/>
  <c r="V309" i="1"/>
  <c r="X309" i="1" s="1"/>
  <c r="T309" i="1"/>
  <c r="S309" i="1"/>
  <c r="U309" i="1" s="1"/>
  <c r="R309" i="1"/>
  <c r="P309" i="1"/>
  <c r="O309" i="1"/>
  <c r="Q309" i="1" s="1"/>
  <c r="N309" i="1"/>
  <c r="AA308" i="1"/>
  <c r="Y308" i="1"/>
  <c r="X308" i="1"/>
  <c r="W308" i="1"/>
  <c r="V308" i="1"/>
  <c r="U308" i="1"/>
  <c r="T308" i="1"/>
  <c r="S308" i="1"/>
  <c r="R308" i="1"/>
  <c r="O308" i="1"/>
  <c r="Q308" i="1" s="1"/>
  <c r="N308" i="1"/>
  <c r="AD307" i="1"/>
  <c r="AC307" i="1"/>
  <c r="AA307" i="1"/>
  <c r="Z307" i="1"/>
  <c r="AB307" i="1" s="1"/>
  <c r="Y307" i="1"/>
  <c r="W307" i="1"/>
  <c r="V307" i="1"/>
  <c r="X307" i="1" s="1"/>
  <c r="T307" i="1"/>
  <c r="S307" i="1"/>
  <c r="U307" i="1" s="1"/>
  <c r="R307" i="1"/>
  <c r="Q307" i="1"/>
  <c r="P307" i="1"/>
  <c r="O307" i="1"/>
  <c r="N307" i="1"/>
  <c r="AA306" i="1"/>
  <c r="Y306" i="1"/>
  <c r="AD306" i="1" s="1"/>
  <c r="W306" i="1"/>
  <c r="V306" i="1"/>
  <c r="T306" i="1"/>
  <c r="S306" i="1"/>
  <c r="U306" i="1" s="1"/>
  <c r="R306" i="1"/>
  <c r="P306" i="1"/>
  <c r="O306" i="1"/>
  <c r="Q306" i="1" s="1"/>
  <c r="N306" i="1"/>
  <c r="AD305" i="1"/>
  <c r="AB305" i="1"/>
  <c r="AC305" i="1" s="1"/>
  <c r="AA305" i="1"/>
  <c r="Z305" i="1"/>
  <c r="Y305" i="1"/>
  <c r="X305" i="1"/>
  <c r="W305" i="1"/>
  <c r="V305" i="1"/>
  <c r="T305" i="1"/>
  <c r="S305" i="1"/>
  <c r="U305" i="1" s="1"/>
  <c r="R305" i="1"/>
  <c r="P305" i="1"/>
  <c r="O305" i="1"/>
  <c r="Q305" i="1" s="1"/>
  <c r="N305" i="1"/>
  <c r="AA304" i="1"/>
  <c r="Z304" i="1"/>
  <c r="AB304" i="1" s="1"/>
  <c r="AC304" i="1" s="1"/>
  <c r="Y304" i="1"/>
  <c r="AD304" i="1" s="1"/>
  <c r="W304" i="1"/>
  <c r="V304" i="1"/>
  <c r="X304" i="1" s="1"/>
  <c r="T304" i="1"/>
  <c r="U304" i="1" s="1"/>
  <c r="S304" i="1"/>
  <c r="R304" i="1"/>
  <c r="Q304" i="1"/>
  <c r="P304" i="1"/>
  <c r="O304" i="1"/>
  <c r="N304" i="1"/>
  <c r="AA303" i="1"/>
  <c r="Y303" i="1"/>
  <c r="AD303" i="1" s="1"/>
  <c r="W303" i="1"/>
  <c r="V303" i="1"/>
  <c r="X303" i="1" s="1"/>
  <c r="T303" i="1"/>
  <c r="S303" i="1"/>
  <c r="U303" i="1" s="1"/>
  <c r="R303" i="1"/>
  <c r="P303" i="1"/>
  <c r="O303" i="1"/>
  <c r="Q303" i="1" s="1"/>
  <c r="N303" i="1"/>
  <c r="AD302" i="1"/>
  <c r="AA302" i="1"/>
  <c r="Z302" i="1"/>
  <c r="AB302" i="1" s="1"/>
  <c r="AC302" i="1" s="1"/>
  <c r="Y302" i="1"/>
  <c r="W302" i="1"/>
  <c r="V302" i="1"/>
  <c r="X302" i="1" s="1"/>
  <c r="T302" i="1"/>
  <c r="S302" i="1"/>
  <c r="U302" i="1" s="1"/>
  <c r="R302" i="1"/>
  <c r="O302" i="1"/>
  <c r="N302" i="1"/>
  <c r="AA301" i="1"/>
  <c r="Z301" i="1"/>
  <c r="AB301" i="1" s="1"/>
  <c r="AC301" i="1" s="1"/>
  <c r="Y301" i="1"/>
  <c r="AD301" i="1" s="1"/>
  <c r="W301" i="1"/>
  <c r="X301" i="1" s="1"/>
  <c r="V301" i="1"/>
  <c r="T301" i="1"/>
  <c r="S301" i="1"/>
  <c r="U301" i="1" s="1"/>
  <c r="R301" i="1"/>
  <c r="O301" i="1"/>
  <c r="Q301" i="1" s="1"/>
  <c r="N301" i="1"/>
  <c r="AA300" i="1"/>
  <c r="Y300" i="1"/>
  <c r="W300" i="1"/>
  <c r="V300" i="1"/>
  <c r="X300" i="1" s="1"/>
  <c r="T300" i="1"/>
  <c r="S300" i="1"/>
  <c r="U300" i="1" s="1"/>
  <c r="R300" i="1"/>
  <c r="Q300" i="1"/>
  <c r="P300" i="1"/>
  <c r="O300" i="1"/>
  <c r="N300" i="1"/>
  <c r="AD299" i="1"/>
  <c r="AA299" i="1"/>
  <c r="Y299" i="1"/>
  <c r="Z299" i="1" s="1"/>
  <c r="AB299" i="1" s="1"/>
  <c r="AC299" i="1" s="1"/>
  <c r="W299" i="1"/>
  <c r="V299" i="1"/>
  <c r="X299" i="1" s="1"/>
  <c r="U299" i="1"/>
  <c r="T299" i="1"/>
  <c r="S299" i="1"/>
  <c r="R299" i="1"/>
  <c r="O299" i="1"/>
  <c r="Q299" i="1" s="1"/>
  <c r="N299" i="1"/>
  <c r="AD298" i="1"/>
  <c r="AA298" i="1"/>
  <c r="Z298" i="1"/>
  <c r="AB298" i="1" s="1"/>
  <c r="AC298" i="1" s="1"/>
  <c r="Y298" i="1"/>
  <c r="W298" i="1"/>
  <c r="V298" i="1"/>
  <c r="X298" i="1" s="1"/>
  <c r="T298" i="1"/>
  <c r="S298" i="1"/>
  <c r="U298" i="1" s="1"/>
  <c r="R298" i="1"/>
  <c r="O298" i="1"/>
  <c r="N298" i="1"/>
  <c r="AA297" i="1"/>
  <c r="Y297" i="1"/>
  <c r="AD297" i="1" s="1"/>
  <c r="W297" i="1"/>
  <c r="V297" i="1"/>
  <c r="X297" i="1" s="1"/>
  <c r="T297" i="1"/>
  <c r="S297" i="1"/>
  <c r="U297" i="1" s="1"/>
  <c r="R297" i="1"/>
  <c r="P297" i="1"/>
  <c r="O297" i="1"/>
  <c r="Q297" i="1" s="1"/>
  <c r="N297" i="1"/>
  <c r="AA296" i="1"/>
  <c r="Y296" i="1"/>
  <c r="X296" i="1"/>
  <c r="W296" i="1"/>
  <c r="V296" i="1"/>
  <c r="U296" i="1"/>
  <c r="T296" i="1"/>
  <c r="S296" i="1"/>
  <c r="R296" i="1"/>
  <c r="O296" i="1"/>
  <c r="Q296" i="1" s="1"/>
  <c r="N296" i="1"/>
  <c r="AD295" i="1"/>
  <c r="AC295" i="1"/>
  <c r="AA295" i="1"/>
  <c r="Z295" i="1"/>
  <c r="AB295" i="1" s="1"/>
  <c r="Y295" i="1"/>
  <c r="W295" i="1"/>
  <c r="V295" i="1"/>
  <c r="X295" i="1" s="1"/>
  <c r="T295" i="1"/>
  <c r="U295" i="1" s="1"/>
  <c r="S295" i="1"/>
  <c r="R295" i="1"/>
  <c r="Q295" i="1"/>
  <c r="P295" i="1"/>
  <c r="O295" i="1"/>
  <c r="N295" i="1"/>
  <c r="AA294" i="1"/>
  <c r="Y294" i="1"/>
  <c r="AD294" i="1" s="1"/>
  <c r="W294" i="1"/>
  <c r="V294" i="1"/>
  <c r="T294" i="1"/>
  <c r="S294" i="1"/>
  <c r="U294" i="1" s="1"/>
  <c r="R294" i="1"/>
  <c r="P294" i="1"/>
  <c r="O294" i="1"/>
  <c r="Q294" i="1" s="1"/>
  <c r="N294" i="1"/>
  <c r="AD293" i="1"/>
  <c r="AB293" i="1"/>
  <c r="AC293" i="1" s="1"/>
  <c r="AA293" i="1"/>
  <c r="Z293" i="1"/>
  <c r="Y293" i="1"/>
  <c r="X293" i="1"/>
  <c r="W293" i="1"/>
  <c r="V293" i="1"/>
  <c r="T293" i="1"/>
  <c r="S293" i="1"/>
  <c r="U293" i="1" s="1"/>
  <c r="R293" i="1"/>
  <c r="O293" i="1"/>
  <c r="Q293" i="1" s="1"/>
  <c r="N293" i="1"/>
  <c r="AA292" i="1"/>
  <c r="Z292" i="1"/>
  <c r="AB292" i="1" s="1"/>
  <c r="AC292" i="1" s="1"/>
  <c r="Y292" i="1"/>
  <c r="AD292" i="1" s="1"/>
  <c r="W292" i="1"/>
  <c r="V292" i="1"/>
  <c r="X292" i="1" s="1"/>
  <c r="U292" i="1"/>
  <c r="T292" i="1"/>
  <c r="S292" i="1"/>
  <c r="R292" i="1"/>
  <c r="Q292" i="1"/>
  <c r="P292" i="1"/>
  <c r="O292" i="1"/>
  <c r="N292" i="1"/>
  <c r="AA291" i="1"/>
  <c r="Y291" i="1"/>
  <c r="W291" i="1"/>
  <c r="V291" i="1"/>
  <c r="X291" i="1" s="1"/>
  <c r="T291" i="1"/>
  <c r="S291" i="1"/>
  <c r="U291" i="1" s="1"/>
  <c r="R291" i="1"/>
  <c r="P291" i="1"/>
  <c r="O291" i="1"/>
  <c r="Q291" i="1" s="1"/>
  <c r="N291" i="1"/>
  <c r="AD290" i="1"/>
  <c r="AA290" i="1"/>
  <c r="Z290" i="1"/>
  <c r="AB290" i="1" s="1"/>
  <c r="AC290" i="1" s="1"/>
  <c r="Y290" i="1"/>
  <c r="W290" i="1"/>
  <c r="V290" i="1"/>
  <c r="X290" i="1" s="1"/>
  <c r="T290" i="1"/>
  <c r="S290" i="1"/>
  <c r="U290" i="1" s="1"/>
  <c r="R290" i="1"/>
  <c r="O290" i="1"/>
  <c r="N290" i="1"/>
  <c r="AA289" i="1"/>
  <c r="Z289" i="1"/>
  <c r="AB289" i="1" s="1"/>
  <c r="AC289" i="1" s="1"/>
  <c r="Y289" i="1"/>
  <c r="AD289" i="1" s="1"/>
  <c r="W289" i="1"/>
  <c r="X289" i="1" s="1"/>
  <c r="V289" i="1"/>
  <c r="T289" i="1"/>
  <c r="S289" i="1"/>
  <c r="R289" i="1"/>
  <c r="O289" i="1"/>
  <c r="Q289" i="1" s="1"/>
  <c r="N289" i="1"/>
  <c r="AA288" i="1"/>
  <c r="Y288" i="1"/>
  <c r="W288" i="1"/>
  <c r="V288" i="1"/>
  <c r="X288" i="1" s="1"/>
  <c r="T288" i="1"/>
  <c r="S288" i="1"/>
  <c r="U288" i="1" s="1"/>
  <c r="R288" i="1"/>
  <c r="Q288" i="1"/>
  <c r="P288" i="1"/>
  <c r="O288" i="1"/>
  <c r="N288" i="1"/>
  <c r="AD287" i="1"/>
  <c r="AA287" i="1"/>
  <c r="Y287" i="1"/>
  <c r="Z287" i="1" s="1"/>
  <c r="AB287" i="1" s="1"/>
  <c r="AC287" i="1" s="1"/>
  <c r="W287" i="1"/>
  <c r="V287" i="1"/>
  <c r="X287" i="1" s="1"/>
  <c r="U287" i="1"/>
  <c r="T287" i="1"/>
  <c r="S287" i="1"/>
  <c r="R287" i="1"/>
  <c r="O287" i="1"/>
  <c r="Q287" i="1" s="1"/>
  <c r="N287" i="1"/>
  <c r="AD286" i="1"/>
  <c r="AA286" i="1"/>
  <c r="Z286" i="1"/>
  <c r="AB286" i="1" s="1"/>
  <c r="AC286" i="1" s="1"/>
  <c r="Y286" i="1"/>
  <c r="W286" i="1"/>
  <c r="V286" i="1"/>
  <c r="X286" i="1" s="1"/>
  <c r="T286" i="1"/>
  <c r="S286" i="1"/>
  <c r="U286" i="1" s="1"/>
  <c r="R286" i="1"/>
  <c r="O286" i="1"/>
  <c r="N286" i="1"/>
  <c r="AA285" i="1"/>
  <c r="Y285" i="1"/>
  <c r="AD285" i="1" s="1"/>
  <c r="W285" i="1"/>
  <c r="V285" i="1"/>
  <c r="X285" i="1" s="1"/>
  <c r="T285" i="1"/>
  <c r="S285" i="1"/>
  <c r="U285" i="1" s="1"/>
  <c r="R285" i="1"/>
  <c r="P285" i="1"/>
  <c r="O285" i="1"/>
  <c r="Q285" i="1" s="1"/>
  <c r="N285" i="1"/>
  <c r="AA284" i="1"/>
  <c r="Y284" i="1"/>
  <c r="X284" i="1"/>
  <c r="W284" i="1"/>
  <c r="V284" i="1"/>
  <c r="U284" i="1"/>
  <c r="T284" i="1"/>
  <c r="S284" i="1"/>
  <c r="R284" i="1"/>
  <c r="O284" i="1"/>
  <c r="Q284" i="1" s="1"/>
  <c r="N284" i="1"/>
  <c r="AD283" i="1"/>
  <c r="AA283" i="1"/>
  <c r="Z283" i="1"/>
  <c r="AB283" i="1" s="1"/>
  <c r="AC283" i="1" s="1"/>
  <c r="Y283" i="1"/>
  <c r="W283" i="1"/>
  <c r="V283" i="1"/>
  <c r="X283" i="1" s="1"/>
  <c r="T283" i="1"/>
  <c r="U283" i="1" s="1"/>
  <c r="S283" i="1"/>
  <c r="R283" i="1"/>
  <c r="Q283" i="1"/>
  <c r="P283" i="1"/>
  <c r="O283" i="1"/>
  <c r="N283" i="1"/>
  <c r="AA282" i="1"/>
  <c r="Y282" i="1"/>
  <c r="AD282" i="1" s="1"/>
  <c r="W282" i="1"/>
  <c r="V282" i="1"/>
  <c r="T282" i="1"/>
  <c r="S282" i="1"/>
  <c r="U282" i="1" s="1"/>
  <c r="R282" i="1"/>
  <c r="P282" i="1"/>
  <c r="O282" i="1"/>
  <c r="Q282" i="1" s="1"/>
  <c r="N282" i="1"/>
  <c r="AD281" i="1"/>
  <c r="AB281" i="1"/>
  <c r="AC281" i="1" s="1"/>
  <c r="AA281" i="1"/>
  <c r="Z281" i="1"/>
  <c r="Y281" i="1"/>
  <c r="X281" i="1"/>
  <c r="W281" i="1"/>
  <c r="V281" i="1"/>
  <c r="T281" i="1"/>
  <c r="S281" i="1"/>
  <c r="U281" i="1" s="1"/>
  <c r="R281" i="1"/>
  <c r="O281" i="1"/>
  <c r="Q281" i="1" s="1"/>
  <c r="N281" i="1"/>
  <c r="AC280" i="1"/>
  <c r="AA280" i="1"/>
  <c r="Z280" i="1"/>
  <c r="AB280" i="1" s="1"/>
  <c r="Y280" i="1"/>
  <c r="AD280" i="1" s="1"/>
  <c r="W280" i="1"/>
  <c r="X280" i="1" s="1"/>
  <c r="V280" i="1"/>
  <c r="U280" i="1"/>
  <c r="T280" i="1"/>
  <c r="S280" i="1"/>
  <c r="R280" i="1"/>
  <c r="Q280" i="1"/>
  <c r="P280" i="1"/>
  <c r="O280" i="1"/>
  <c r="N280" i="1"/>
  <c r="AA279" i="1"/>
  <c r="Y279" i="1"/>
  <c r="W279" i="1"/>
  <c r="V279" i="1"/>
  <c r="X279" i="1" s="1"/>
  <c r="T279" i="1"/>
  <c r="S279" i="1"/>
  <c r="U279" i="1" s="1"/>
  <c r="R279" i="1"/>
  <c r="Q279" i="1"/>
  <c r="P279" i="1"/>
  <c r="O279" i="1"/>
  <c r="N279" i="1"/>
  <c r="AD278" i="1"/>
  <c r="AC278" i="1"/>
  <c r="AB278" i="1"/>
  <c r="AA278" i="1"/>
  <c r="Z278" i="1"/>
  <c r="Y278" i="1"/>
  <c r="W278" i="1"/>
  <c r="V278" i="1"/>
  <c r="X278" i="1" s="1"/>
  <c r="T278" i="1"/>
  <c r="S278" i="1"/>
  <c r="U278" i="1" s="1"/>
  <c r="R278" i="1"/>
  <c r="O278" i="1"/>
  <c r="N278" i="1"/>
  <c r="AA277" i="1"/>
  <c r="Z277" i="1"/>
  <c r="AB277" i="1" s="1"/>
  <c r="AC277" i="1" s="1"/>
  <c r="Y277" i="1"/>
  <c r="AD277" i="1" s="1"/>
  <c r="W277" i="1"/>
  <c r="X277" i="1" s="1"/>
  <c r="V277" i="1"/>
  <c r="T277" i="1"/>
  <c r="U277" i="1" s="1"/>
  <c r="S277" i="1"/>
  <c r="R277" i="1"/>
  <c r="O277" i="1"/>
  <c r="Q277" i="1" s="1"/>
  <c r="N277" i="1"/>
  <c r="AA276" i="1"/>
  <c r="Y276" i="1"/>
  <c r="W276" i="1"/>
  <c r="V276" i="1"/>
  <c r="X276" i="1" s="1"/>
  <c r="T276" i="1"/>
  <c r="S276" i="1"/>
  <c r="U276" i="1" s="1"/>
  <c r="R276" i="1"/>
  <c r="Q276" i="1"/>
  <c r="P276" i="1"/>
  <c r="O276" i="1"/>
  <c r="N276" i="1"/>
  <c r="AD275" i="1"/>
  <c r="AA275" i="1"/>
  <c r="Y275" i="1"/>
  <c r="Z275" i="1" s="1"/>
  <c r="AB275" i="1" s="1"/>
  <c r="AC275" i="1" s="1"/>
  <c r="X275" i="1"/>
  <c r="W275" i="1"/>
  <c r="V275" i="1"/>
  <c r="U275" i="1"/>
  <c r="T275" i="1"/>
  <c r="S275" i="1"/>
  <c r="R275" i="1"/>
  <c r="O275" i="1"/>
  <c r="Q275" i="1" s="1"/>
  <c r="N275" i="1"/>
  <c r="AD274" i="1"/>
  <c r="AA274" i="1"/>
  <c r="Z274" i="1"/>
  <c r="AB274" i="1" s="1"/>
  <c r="AC274" i="1" s="1"/>
  <c r="Y274" i="1"/>
  <c r="W274" i="1"/>
  <c r="X274" i="1" s="1"/>
  <c r="V274" i="1"/>
  <c r="T274" i="1"/>
  <c r="S274" i="1"/>
  <c r="U274" i="1" s="1"/>
  <c r="R274" i="1"/>
  <c r="Q274" i="1"/>
  <c r="O274" i="1"/>
  <c r="P274" i="1" s="1"/>
  <c r="N274" i="1"/>
  <c r="AA273" i="1"/>
  <c r="Y273" i="1"/>
  <c r="AD273" i="1" s="1"/>
  <c r="W273" i="1"/>
  <c r="V273" i="1"/>
  <c r="X273" i="1" s="1"/>
  <c r="T273" i="1"/>
  <c r="S273" i="1"/>
  <c r="R273" i="1"/>
  <c r="Q273" i="1"/>
  <c r="P273" i="1"/>
  <c r="O273" i="1"/>
  <c r="N273" i="1"/>
  <c r="AA272" i="1"/>
  <c r="Y272" i="1"/>
  <c r="X272" i="1"/>
  <c r="W272" i="1"/>
  <c r="V272" i="1"/>
  <c r="U272" i="1"/>
  <c r="T272" i="1"/>
  <c r="S272" i="1"/>
  <c r="R272" i="1"/>
  <c r="O272" i="1"/>
  <c r="N272" i="1"/>
  <c r="AD271" i="1"/>
  <c r="AA271" i="1"/>
  <c r="Z271" i="1"/>
  <c r="AB271" i="1" s="1"/>
  <c r="AC271" i="1" s="1"/>
  <c r="Y271" i="1"/>
  <c r="W271" i="1"/>
  <c r="V271" i="1"/>
  <c r="X271" i="1" s="1"/>
  <c r="T271" i="1"/>
  <c r="U271" i="1" s="1"/>
  <c r="S271" i="1"/>
  <c r="R271" i="1"/>
  <c r="Q271" i="1"/>
  <c r="P271" i="1"/>
  <c r="O271" i="1"/>
  <c r="N271" i="1"/>
  <c r="AA270" i="1"/>
  <c r="Y270" i="1"/>
  <c r="W270" i="1"/>
  <c r="V270" i="1"/>
  <c r="T270" i="1"/>
  <c r="S270" i="1"/>
  <c r="U270" i="1" s="1"/>
  <c r="R270" i="1"/>
  <c r="P270" i="1"/>
  <c r="O270" i="1"/>
  <c r="Q270" i="1" s="1"/>
  <c r="N270" i="1"/>
  <c r="AD269" i="1"/>
  <c r="AB269" i="1"/>
  <c r="AC269" i="1" s="1"/>
  <c r="AA269" i="1"/>
  <c r="Z269" i="1"/>
  <c r="Y269" i="1"/>
  <c r="X269" i="1"/>
  <c r="W269" i="1"/>
  <c r="V269" i="1"/>
  <c r="T269" i="1"/>
  <c r="S269" i="1"/>
  <c r="U269" i="1" s="1"/>
  <c r="R269" i="1"/>
  <c r="O269" i="1"/>
  <c r="N269" i="1"/>
  <c r="AC268" i="1"/>
  <c r="AA268" i="1"/>
  <c r="Z268" i="1"/>
  <c r="AB268" i="1" s="1"/>
  <c r="Y268" i="1"/>
  <c r="AD268" i="1" s="1"/>
  <c r="W268" i="1"/>
  <c r="X268" i="1" s="1"/>
  <c r="V268" i="1"/>
  <c r="T268" i="1"/>
  <c r="U268" i="1" s="1"/>
  <c r="S268" i="1"/>
  <c r="R268" i="1"/>
  <c r="Q268" i="1"/>
  <c r="P268" i="1"/>
  <c r="O268" i="1"/>
  <c r="N268" i="1"/>
  <c r="AA267" i="1"/>
  <c r="Z267" i="1"/>
  <c r="AB267" i="1" s="1"/>
  <c r="AC267" i="1" s="1"/>
  <c r="Y267" i="1"/>
  <c r="AD267" i="1" s="1"/>
  <c r="W267" i="1"/>
  <c r="V267" i="1"/>
  <c r="X267" i="1" s="1"/>
  <c r="T267" i="1"/>
  <c r="S267" i="1"/>
  <c r="U267" i="1" s="1"/>
  <c r="R267" i="1"/>
  <c r="Q267" i="1"/>
  <c r="P267" i="1"/>
  <c r="O267" i="1"/>
  <c r="N267" i="1"/>
  <c r="AD266" i="1"/>
  <c r="AC266" i="1"/>
  <c r="AB266" i="1"/>
  <c r="AA266" i="1"/>
  <c r="Z266" i="1"/>
  <c r="Y266" i="1"/>
  <c r="W266" i="1"/>
  <c r="V266" i="1"/>
  <c r="X266" i="1" s="1"/>
  <c r="T266" i="1"/>
  <c r="S266" i="1"/>
  <c r="U266" i="1" s="1"/>
  <c r="R266" i="1"/>
  <c r="O266" i="1"/>
  <c r="N266" i="1"/>
  <c r="AA265" i="1"/>
  <c r="Z265" i="1"/>
  <c r="AB265" i="1" s="1"/>
  <c r="AC265" i="1" s="1"/>
  <c r="Y265" i="1"/>
  <c r="AD265" i="1" s="1"/>
  <c r="X265" i="1"/>
  <c r="W265" i="1"/>
  <c r="V265" i="1"/>
  <c r="T265" i="1"/>
  <c r="U265" i="1" s="1"/>
  <c r="S265" i="1"/>
  <c r="R265" i="1"/>
  <c r="O265" i="1"/>
  <c r="N265" i="1"/>
  <c r="AA264" i="1"/>
  <c r="Y264" i="1"/>
  <c r="W264" i="1"/>
  <c r="V264" i="1"/>
  <c r="X264" i="1" s="1"/>
  <c r="T264" i="1"/>
  <c r="S264" i="1"/>
  <c r="R264" i="1"/>
  <c r="Q264" i="1"/>
  <c r="P264" i="1"/>
  <c r="O264" i="1"/>
  <c r="N264" i="1"/>
  <c r="AA263" i="1"/>
  <c r="Y263" i="1"/>
  <c r="W263" i="1"/>
  <c r="V263" i="1"/>
  <c r="X263" i="1" s="1"/>
  <c r="U263" i="1"/>
  <c r="T263" i="1"/>
  <c r="S263" i="1"/>
  <c r="R263" i="1"/>
  <c r="O263" i="1"/>
  <c r="Q263" i="1" s="1"/>
  <c r="N263" i="1"/>
  <c r="AD262" i="1"/>
  <c r="AB262" i="1"/>
  <c r="AC262" i="1" s="1"/>
  <c r="AA262" i="1"/>
  <c r="Z262" i="1"/>
  <c r="Y262" i="1"/>
  <c r="W262" i="1"/>
  <c r="X262" i="1" s="1"/>
  <c r="V262" i="1"/>
  <c r="T262" i="1"/>
  <c r="S262" i="1"/>
  <c r="U262" i="1" s="1"/>
  <c r="R262" i="1"/>
  <c r="O262" i="1"/>
  <c r="Q262" i="1" s="1"/>
  <c r="N262" i="1"/>
  <c r="AA261" i="1"/>
  <c r="Y261" i="1"/>
  <c r="AD261" i="1" s="1"/>
  <c r="W261" i="1"/>
  <c r="V261" i="1"/>
  <c r="X261" i="1" s="1"/>
  <c r="T261" i="1"/>
  <c r="S261" i="1"/>
  <c r="U261" i="1" s="1"/>
  <c r="R261" i="1"/>
  <c r="Q261" i="1"/>
  <c r="P261" i="1"/>
  <c r="O261" i="1"/>
  <c r="N261" i="1"/>
  <c r="AA260" i="1"/>
  <c r="Y260" i="1"/>
  <c r="X260" i="1"/>
  <c r="W260" i="1"/>
  <c r="V260" i="1"/>
  <c r="U260" i="1"/>
  <c r="T260" i="1"/>
  <c r="S260" i="1"/>
  <c r="R260" i="1"/>
  <c r="P260" i="1"/>
  <c r="O260" i="1"/>
  <c r="Q260" i="1" s="1"/>
  <c r="N260" i="1"/>
  <c r="AD259" i="1"/>
  <c r="AC259" i="1"/>
  <c r="AA259" i="1"/>
  <c r="Z259" i="1"/>
  <c r="AB259" i="1" s="1"/>
  <c r="Y259" i="1"/>
  <c r="W259" i="1"/>
  <c r="V259" i="1"/>
  <c r="X259" i="1" s="1"/>
  <c r="T259" i="1"/>
  <c r="U259" i="1" s="1"/>
  <c r="S259" i="1"/>
  <c r="R259" i="1"/>
  <c r="Q259" i="1"/>
  <c r="P259" i="1"/>
  <c r="O259" i="1"/>
  <c r="N259" i="1"/>
  <c r="AA258" i="1"/>
  <c r="Y258" i="1"/>
  <c r="AD258" i="1" s="1"/>
  <c r="W258" i="1"/>
  <c r="V258" i="1"/>
  <c r="X258" i="1" s="1"/>
  <c r="T258" i="1"/>
  <c r="S258" i="1"/>
  <c r="U258" i="1" s="1"/>
  <c r="R258" i="1"/>
  <c r="P258" i="1"/>
  <c r="O258" i="1"/>
  <c r="Q258" i="1" s="1"/>
  <c r="N258" i="1"/>
  <c r="AD257" i="1"/>
  <c r="AB257" i="1"/>
  <c r="AC257" i="1" s="1"/>
  <c r="AA257" i="1"/>
  <c r="Z257" i="1"/>
  <c r="Y257" i="1"/>
  <c r="X257" i="1"/>
  <c r="W257" i="1"/>
  <c r="V257" i="1"/>
  <c r="T257" i="1"/>
  <c r="S257" i="1"/>
  <c r="U257" i="1" s="1"/>
  <c r="R257" i="1"/>
  <c r="O257" i="1"/>
  <c r="Q257" i="1" s="1"/>
  <c r="N257" i="1"/>
  <c r="AC256" i="1"/>
  <c r="AA256" i="1"/>
  <c r="Z256" i="1"/>
  <c r="AB256" i="1" s="1"/>
  <c r="Y256" i="1"/>
  <c r="AD256" i="1" s="1"/>
  <c r="X256" i="1"/>
  <c r="W256" i="1"/>
  <c r="V256" i="1"/>
  <c r="T256" i="1"/>
  <c r="U256" i="1" s="1"/>
  <c r="S256" i="1"/>
  <c r="R256" i="1"/>
  <c r="Q256" i="1"/>
  <c r="P256" i="1"/>
  <c r="O256" i="1"/>
  <c r="N256" i="1"/>
  <c r="AB255" i="1"/>
  <c r="AC255" i="1" s="1"/>
  <c r="AA255" i="1"/>
  <c r="Z255" i="1"/>
  <c r="Y255" i="1"/>
  <c r="AD255" i="1" s="1"/>
  <c r="W255" i="1"/>
  <c r="V255" i="1"/>
  <c r="X255" i="1" s="1"/>
  <c r="T255" i="1"/>
  <c r="S255" i="1"/>
  <c r="U255" i="1" s="1"/>
  <c r="R255" i="1"/>
  <c r="Q255" i="1"/>
  <c r="P255" i="1"/>
  <c r="O255" i="1"/>
  <c r="N255" i="1"/>
  <c r="AD254" i="1"/>
  <c r="AC254" i="1"/>
  <c r="AB254" i="1"/>
  <c r="AA254" i="1"/>
  <c r="Z254" i="1"/>
  <c r="Y254" i="1"/>
  <c r="W254" i="1"/>
  <c r="V254" i="1"/>
  <c r="X254" i="1" s="1"/>
  <c r="T254" i="1"/>
  <c r="S254" i="1"/>
  <c r="U254" i="1" s="1"/>
  <c r="R254" i="1"/>
  <c r="Q254" i="1"/>
  <c r="O254" i="1"/>
  <c r="P254" i="1" s="1"/>
  <c r="N254" i="1"/>
  <c r="AA253" i="1"/>
  <c r="Y253" i="1"/>
  <c r="AD253" i="1" s="1"/>
  <c r="X253" i="1"/>
  <c r="W253" i="1"/>
  <c r="V253" i="1"/>
  <c r="T253" i="1"/>
  <c r="U253" i="1" s="1"/>
  <c r="S253" i="1"/>
  <c r="R253" i="1"/>
  <c r="Q253" i="1"/>
  <c r="P253" i="1"/>
  <c r="O253" i="1"/>
  <c r="N253" i="1"/>
  <c r="AB252" i="1"/>
  <c r="AC252" i="1" s="1"/>
  <c r="AA252" i="1"/>
  <c r="Y252" i="1"/>
  <c r="Z252" i="1" s="1"/>
  <c r="W252" i="1"/>
  <c r="V252" i="1"/>
  <c r="X252" i="1" s="1"/>
  <c r="U252" i="1"/>
  <c r="T252" i="1"/>
  <c r="S252" i="1"/>
  <c r="R252" i="1"/>
  <c r="O252" i="1"/>
  <c r="Q252" i="1" s="1"/>
  <c r="N252" i="1"/>
  <c r="AD251" i="1"/>
  <c r="AA251" i="1"/>
  <c r="Z251" i="1"/>
  <c r="AB251" i="1" s="1"/>
  <c r="AC251" i="1" s="1"/>
  <c r="Y251" i="1"/>
  <c r="X251" i="1"/>
  <c r="W251" i="1"/>
  <c r="V251" i="1"/>
  <c r="T251" i="1"/>
  <c r="U251" i="1" s="1"/>
  <c r="S251" i="1"/>
  <c r="R251" i="1"/>
  <c r="O251" i="1"/>
  <c r="N251" i="1"/>
  <c r="AD250" i="1"/>
  <c r="AA250" i="1"/>
  <c r="Y250" i="1"/>
  <c r="Z250" i="1" s="1"/>
  <c r="AB250" i="1" s="1"/>
  <c r="AC250" i="1" s="1"/>
  <c r="W250" i="1"/>
  <c r="X250" i="1" s="1"/>
  <c r="V250" i="1"/>
  <c r="T250" i="1"/>
  <c r="S250" i="1"/>
  <c r="U250" i="1" s="1"/>
  <c r="R250" i="1"/>
  <c r="Q250" i="1"/>
  <c r="P250" i="1"/>
  <c r="O250" i="1"/>
  <c r="N250" i="1"/>
  <c r="AA249" i="1"/>
  <c r="Y249" i="1"/>
  <c r="Z249" i="1" s="1"/>
  <c r="AB249" i="1" s="1"/>
  <c r="AC249" i="1" s="1"/>
  <c r="W249" i="1"/>
  <c r="V249" i="1"/>
  <c r="T249" i="1"/>
  <c r="U249" i="1" s="1"/>
  <c r="S249" i="1"/>
  <c r="R249" i="1"/>
  <c r="Q249" i="1"/>
  <c r="P249" i="1"/>
  <c r="O249" i="1"/>
  <c r="N249" i="1"/>
  <c r="AA248" i="1"/>
  <c r="Y248" i="1"/>
  <c r="W248" i="1"/>
  <c r="V248" i="1"/>
  <c r="U248" i="1"/>
  <c r="T248" i="1"/>
  <c r="S248" i="1"/>
  <c r="R248" i="1"/>
  <c r="P248" i="1"/>
  <c r="O248" i="1"/>
  <c r="Q248" i="1" s="1"/>
  <c r="N248" i="1"/>
  <c r="AD247" i="1"/>
  <c r="AB247" i="1"/>
  <c r="AC247" i="1" s="1"/>
  <c r="AA247" i="1"/>
  <c r="Z247" i="1"/>
  <c r="Y247" i="1"/>
  <c r="W247" i="1"/>
  <c r="V247" i="1"/>
  <c r="X247" i="1" s="1"/>
  <c r="T247" i="1"/>
  <c r="S247" i="1"/>
  <c r="R247" i="1"/>
  <c r="Q247" i="1"/>
  <c r="O247" i="1"/>
  <c r="P247" i="1" s="1"/>
  <c r="N247" i="1"/>
  <c r="AA246" i="1"/>
  <c r="Y246" i="1"/>
  <c r="AD246" i="1" s="1"/>
  <c r="X246" i="1"/>
  <c r="W246" i="1"/>
  <c r="V246" i="1"/>
  <c r="U246" i="1"/>
  <c r="T246" i="1"/>
  <c r="S246" i="1"/>
  <c r="R246" i="1"/>
  <c r="P246" i="1"/>
  <c r="O246" i="1"/>
  <c r="Q246" i="1" s="1"/>
  <c r="N246" i="1"/>
  <c r="AA245" i="1"/>
  <c r="Y245" i="1"/>
  <c r="W245" i="1"/>
  <c r="X245" i="1" s="1"/>
  <c r="V245" i="1"/>
  <c r="T245" i="1"/>
  <c r="S245" i="1"/>
  <c r="U245" i="1" s="1"/>
  <c r="R245" i="1"/>
  <c r="P245" i="1"/>
  <c r="O245" i="1"/>
  <c r="Q245" i="1" s="1"/>
  <c r="N245" i="1"/>
  <c r="AD244" i="1"/>
  <c r="AB244" i="1"/>
  <c r="AC244" i="1" s="1"/>
  <c r="AA244" i="1"/>
  <c r="Z244" i="1"/>
  <c r="Y244" i="1"/>
  <c r="W244" i="1"/>
  <c r="V244" i="1"/>
  <c r="X244" i="1" s="1"/>
  <c r="U244" i="1"/>
  <c r="T244" i="1"/>
  <c r="S244" i="1"/>
  <c r="R244" i="1"/>
  <c r="Q244" i="1"/>
  <c r="P244" i="1"/>
  <c r="O244" i="1"/>
  <c r="N244" i="1"/>
  <c r="AA243" i="1"/>
  <c r="Z243" i="1"/>
  <c r="AB243" i="1" s="1"/>
  <c r="AC243" i="1" s="1"/>
  <c r="Y243" i="1"/>
  <c r="AD243" i="1" s="1"/>
  <c r="W243" i="1"/>
  <c r="X243" i="1" s="1"/>
  <c r="V243" i="1"/>
  <c r="U243" i="1"/>
  <c r="T243" i="1"/>
  <c r="S243" i="1"/>
  <c r="R243" i="1"/>
  <c r="O243" i="1"/>
  <c r="Q243" i="1" s="1"/>
  <c r="N243" i="1"/>
  <c r="AD242" i="1"/>
  <c r="AA242" i="1"/>
  <c r="Z242" i="1"/>
  <c r="AB242" i="1" s="1"/>
  <c r="AC242" i="1" s="1"/>
  <c r="Y242" i="1"/>
  <c r="W242" i="1"/>
  <c r="V242" i="1"/>
  <c r="X242" i="1" s="1"/>
  <c r="T242" i="1"/>
  <c r="S242" i="1"/>
  <c r="U242" i="1" s="1"/>
  <c r="R242" i="1"/>
  <c r="Q242" i="1"/>
  <c r="P242" i="1"/>
  <c r="O242" i="1"/>
  <c r="N242" i="1"/>
  <c r="AA241" i="1"/>
  <c r="Y241" i="1"/>
  <c r="AD241" i="1" s="1"/>
  <c r="X241" i="1"/>
  <c r="W241" i="1"/>
  <c r="V241" i="1"/>
  <c r="U241" i="1"/>
  <c r="T241" i="1"/>
  <c r="S241" i="1"/>
  <c r="R241" i="1"/>
  <c r="O241" i="1"/>
  <c r="Q241" i="1" s="1"/>
  <c r="N241" i="1"/>
  <c r="AD240" i="1"/>
  <c r="AA240" i="1"/>
  <c r="Z240" i="1"/>
  <c r="AB240" i="1" s="1"/>
  <c r="AC240" i="1" s="1"/>
  <c r="Y240" i="1"/>
  <c r="X240" i="1"/>
  <c r="W240" i="1"/>
  <c r="V240" i="1"/>
  <c r="T240" i="1"/>
  <c r="S240" i="1"/>
  <c r="U240" i="1" s="1"/>
  <c r="R240" i="1"/>
  <c r="Q240" i="1"/>
  <c r="P240" i="1"/>
  <c r="O240" i="1"/>
  <c r="N240" i="1"/>
  <c r="AA239" i="1"/>
  <c r="Y239" i="1"/>
  <c r="AD239" i="1" s="1"/>
  <c r="W239" i="1"/>
  <c r="V239" i="1"/>
  <c r="X239" i="1" s="1"/>
  <c r="T239" i="1"/>
  <c r="S239" i="1"/>
  <c r="U239" i="1" s="1"/>
  <c r="R239" i="1"/>
  <c r="Q239" i="1"/>
  <c r="O239" i="1"/>
  <c r="P239" i="1" s="1"/>
  <c r="N239" i="1"/>
  <c r="AA238" i="1"/>
  <c r="Z238" i="1"/>
  <c r="AB238" i="1" s="1"/>
  <c r="AC238" i="1" s="1"/>
  <c r="Y238" i="1"/>
  <c r="AD238" i="1" s="1"/>
  <c r="W238" i="1"/>
  <c r="V238" i="1"/>
  <c r="X238" i="1" s="1"/>
  <c r="T238" i="1"/>
  <c r="U238" i="1" s="1"/>
  <c r="S238" i="1"/>
  <c r="R238" i="1"/>
  <c r="O238" i="1"/>
  <c r="N238" i="1"/>
  <c r="AD237" i="1"/>
  <c r="AA237" i="1"/>
  <c r="Y237" i="1"/>
  <c r="Z237" i="1" s="1"/>
  <c r="AB237" i="1" s="1"/>
  <c r="AC237" i="1" s="1"/>
  <c r="W237" i="1"/>
  <c r="V237" i="1"/>
  <c r="X237" i="1" s="1"/>
  <c r="T237" i="1"/>
  <c r="S237" i="1"/>
  <c r="R237" i="1"/>
  <c r="O237" i="1"/>
  <c r="P237" i="1" s="1"/>
  <c r="N237" i="1"/>
  <c r="AA236" i="1"/>
  <c r="Y236" i="1"/>
  <c r="W236" i="1"/>
  <c r="V236" i="1"/>
  <c r="X236" i="1" s="1"/>
  <c r="T236" i="1"/>
  <c r="S236" i="1"/>
  <c r="U236" i="1" s="1"/>
  <c r="R236" i="1"/>
  <c r="O236" i="1"/>
  <c r="Q236" i="1" s="1"/>
  <c r="N236" i="1"/>
  <c r="AA235" i="1"/>
  <c r="Y235" i="1"/>
  <c r="Z235" i="1" s="1"/>
  <c r="AB235" i="1" s="1"/>
  <c r="AC235" i="1" s="1"/>
  <c r="W235" i="1"/>
  <c r="V235" i="1"/>
  <c r="X235" i="1" s="1"/>
  <c r="T235" i="1"/>
  <c r="S235" i="1"/>
  <c r="U235" i="1" s="1"/>
  <c r="R235" i="1"/>
  <c r="O235" i="1"/>
  <c r="N235" i="1"/>
  <c r="AD234" i="1"/>
  <c r="AA234" i="1"/>
  <c r="Y234" i="1"/>
  <c r="Z234" i="1" s="1"/>
  <c r="AB234" i="1" s="1"/>
  <c r="AC234" i="1" s="1"/>
  <c r="W234" i="1"/>
  <c r="V234" i="1"/>
  <c r="X234" i="1" s="1"/>
  <c r="T234" i="1"/>
  <c r="U234" i="1" s="1"/>
  <c r="S234" i="1"/>
  <c r="R234" i="1"/>
  <c r="P234" i="1"/>
  <c r="O234" i="1"/>
  <c r="Q234" i="1" s="1"/>
  <c r="N234" i="1"/>
  <c r="AA233" i="1"/>
  <c r="Y233" i="1"/>
  <c r="W233" i="1"/>
  <c r="V233" i="1"/>
  <c r="X233" i="1" s="1"/>
  <c r="T233" i="1"/>
  <c r="S233" i="1"/>
  <c r="U233" i="1" s="1"/>
  <c r="R233" i="1"/>
  <c r="P233" i="1"/>
  <c r="O233" i="1"/>
  <c r="Q233" i="1" s="1"/>
  <c r="N233" i="1"/>
  <c r="AD232" i="1"/>
  <c r="AB232" i="1"/>
  <c r="AC232" i="1" s="1"/>
  <c r="AA232" i="1"/>
  <c r="Z232" i="1"/>
  <c r="Y232" i="1"/>
  <c r="W232" i="1"/>
  <c r="V232" i="1"/>
  <c r="X232" i="1" s="1"/>
  <c r="U232" i="1"/>
  <c r="T232" i="1"/>
  <c r="S232" i="1"/>
  <c r="R232" i="1"/>
  <c r="P232" i="1"/>
  <c r="O232" i="1"/>
  <c r="Q232" i="1" s="1"/>
  <c r="N232" i="1"/>
  <c r="AA231" i="1"/>
  <c r="Z231" i="1"/>
  <c r="AB231" i="1" s="1"/>
  <c r="AC231" i="1" s="1"/>
  <c r="Y231" i="1"/>
  <c r="AD231" i="1" s="1"/>
  <c r="W231" i="1"/>
  <c r="X231" i="1" s="1"/>
  <c r="V231" i="1"/>
  <c r="U231" i="1"/>
  <c r="T231" i="1"/>
  <c r="S231" i="1"/>
  <c r="R231" i="1"/>
  <c r="O231" i="1"/>
  <c r="Q231" i="1" s="1"/>
  <c r="N231" i="1"/>
  <c r="AD230" i="1"/>
  <c r="AB230" i="1"/>
  <c r="AC230" i="1" s="1"/>
  <c r="AA230" i="1"/>
  <c r="Z230" i="1"/>
  <c r="Y230" i="1"/>
  <c r="W230" i="1"/>
  <c r="V230" i="1"/>
  <c r="X230" i="1" s="1"/>
  <c r="T230" i="1"/>
  <c r="S230" i="1"/>
  <c r="U230" i="1" s="1"/>
  <c r="R230" i="1"/>
  <c r="Q230" i="1"/>
  <c r="P230" i="1"/>
  <c r="O230" i="1"/>
  <c r="N230" i="1"/>
  <c r="AA229" i="1"/>
  <c r="Y229" i="1"/>
  <c r="AD229" i="1" s="1"/>
  <c r="X229" i="1"/>
  <c r="W229" i="1"/>
  <c r="V229" i="1"/>
  <c r="T229" i="1"/>
  <c r="S229" i="1"/>
  <c r="U229" i="1" s="1"/>
  <c r="R229" i="1"/>
  <c r="O229" i="1"/>
  <c r="Q229" i="1" s="1"/>
  <c r="N229" i="1"/>
  <c r="AD228" i="1"/>
  <c r="AC228" i="1"/>
  <c r="AA228" i="1"/>
  <c r="Z228" i="1"/>
  <c r="AB228" i="1" s="1"/>
  <c r="Y228" i="1"/>
  <c r="X228" i="1"/>
  <c r="W228" i="1"/>
  <c r="V228" i="1"/>
  <c r="T228" i="1"/>
  <c r="S228" i="1"/>
  <c r="U228" i="1" s="1"/>
  <c r="R228" i="1"/>
  <c r="Q228" i="1"/>
  <c r="P228" i="1"/>
  <c r="O228" i="1"/>
  <c r="N228" i="1"/>
  <c r="AA227" i="1"/>
  <c r="Y227" i="1"/>
  <c r="AD227" i="1" s="1"/>
  <c r="W227" i="1"/>
  <c r="V227" i="1"/>
  <c r="X227" i="1" s="1"/>
  <c r="T227" i="1"/>
  <c r="S227" i="1"/>
  <c r="U227" i="1" s="1"/>
  <c r="R227" i="1"/>
  <c r="Q227" i="1"/>
  <c r="O227" i="1"/>
  <c r="P227" i="1" s="1"/>
  <c r="N227" i="1"/>
  <c r="AA226" i="1"/>
  <c r="Z226" i="1"/>
  <c r="AB226" i="1" s="1"/>
  <c r="AC226" i="1" s="1"/>
  <c r="Y226" i="1"/>
  <c r="AD226" i="1" s="1"/>
  <c r="W226" i="1"/>
  <c r="V226" i="1"/>
  <c r="X226" i="1" s="1"/>
  <c r="T226" i="1"/>
  <c r="U226" i="1" s="1"/>
  <c r="S226" i="1"/>
  <c r="R226" i="1"/>
  <c r="O226" i="1"/>
  <c r="N226" i="1"/>
  <c r="AD225" i="1"/>
  <c r="AA225" i="1"/>
  <c r="Y225" i="1"/>
  <c r="Z225" i="1" s="1"/>
  <c r="AB225" i="1" s="1"/>
  <c r="AC225" i="1" s="1"/>
  <c r="W225" i="1"/>
  <c r="V225" i="1"/>
  <c r="X225" i="1" s="1"/>
  <c r="T225" i="1"/>
  <c r="S225" i="1"/>
  <c r="U225" i="1" s="1"/>
  <c r="R225" i="1"/>
  <c r="O225" i="1"/>
  <c r="P225" i="1" s="1"/>
  <c r="N225" i="1"/>
  <c r="AA224" i="1"/>
  <c r="Y224" i="1"/>
  <c r="W224" i="1"/>
  <c r="V224" i="1"/>
  <c r="X224" i="1" s="1"/>
  <c r="T224" i="1"/>
  <c r="S224" i="1"/>
  <c r="U224" i="1" s="1"/>
  <c r="R224" i="1"/>
  <c r="O224" i="1"/>
  <c r="Q224" i="1" s="1"/>
  <c r="N224" i="1"/>
  <c r="AD223" i="1"/>
  <c r="AA223" i="1"/>
  <c r="Y223" i="1"/>
  <c r="Z223" i="1" s="1"/>
  <c r="AB223" i="1" s="1"/>
  <c r="AC223" i="1" s="1"/>
  <c r="W223" i="1"/>
  <c r="X223" i="1" s="1"/>
  <c r="V223" i="1"/>
  <c r="T223" i="1"/>
  <c r="S223" i="1"/>
  <c r="U223" i="1" s="1"/>
  <c r="R223" i="1"/>
  <c r="O223" i="1"/>
  <c r="N223" i="1"/>
  <c r="AD222" i="1"/>
  <c r="AA222" i="1"/>
  <c r="Y222" i="1"/>
  <c r="Z222" i="1" s="1"/>
  <c r="AB222" i="1" s="1"/>
  <c r="AC222" i="1" s="1"/>
  <c r="X222" i="1"/>
  <c r="W222" i="1"/>
  <c r="V222" i="1"/>
  <c r="T222" i="1"/>
  <c r="U222" i="1" s="1"/>
  <c r="S222" i="1"/>
  <c r="R222" i="1"/>
  <c r="P222" i="1"/>
  <c r="O222" i="1"/>
  <c r="Q222" i="1" s="1"/>
  <c r="N222" i="1"/>
  <c r="AA221" i="1"/>
  <c r="Y221" i="1"/>
  <c r="W221" i="1"/>
  <c r="V221" i="1"/>
  <c r="X221" i="1" s="1"/>
  <c r="T221" i="1"/>
  <c r="S221" i="1"/>
  <c r="U221" i="1" s="1"/>
  <c r="R221" i="1"/>
  <c r="Q221" i="1"/>
  <c r="P221" i="1"/>
  <c r="O221" i="1"/>
  <c r="N221" i="1"/>
  <c r="AD220" i="1"/>
  <c r="AB220" i="1"/>
  <c r="AC220" i="1" s="1"/>
  <c r="AA220" i="1"/>
  <c r="Z220" i="1"/>
  <c r="Y220" i="1"/>
  <c r="W220" i="1"/>
  <c r="V220" i="1"/>
  <c r="X220" i="1" s="1"/>
  <c r="U220" i="1"/>
  <c r="T220" i="1"/>
  <c r="S220" i="1"/>
  <c r="R220" i="1"/>
  <c r="P220" i="1"/>
  <c r="O220" i="1"/>
  <c r="Q220" i="1" s="1"/>
  <c r="N220" i="1"/>
  <c r="AA219" i="1"/>
  <c r="Z219" i="1"/>
  <c r="AB219" i="1" s="1"/>
  <c r="AC219" i="1" s="1"/>
  <c r="Y219" i="1"/>
  <c r="AD219" i="1" s="1"/>
  <c r="W219" i="1"/>
  <c r="X219" i="1" s="1"/>
  <c r="V219" i="1"/>
  <c r="U219" i="1"/>
  <c r="T219" i="1"/>
  <c r="S219" i="1"/>
  <c r="R219" i="1"/>
  <c r="O219" i="1"/>
  <c r="N219" i="1"/>
  <c r="AD218" i="1"/>
  <c r="AB218" i="1"/>
  <c r="AC218" i="1" s="1"/>
  <c r="AA218" i="1"/>
  <c r="Z218" i="1"/>
  <c r="Y218" i="1"/>
  <c r="W218" i="1"/>
  <c r="V218" i="1"/>
  <c r="X218" i="1" s="1"/>
  <c r="T218" i="1"/>
  <c r="S218" i="1"/>
  <c r="U218" i="1" s="1"/>
  <c r="R218" i="1"/>
  <c r="Q218" i="1"/>
  <c r="P218" i="1"/>
  <c r="O218" i="1"/>
  <c r="N218" i="1"/>
  <c r="AA217" i="1"/>
  <c r="Y217" i="1"/>
  <c r="X217" i="1"/>
  <c r="W217" i="1"/>
  <c r="V217" i="1"/>
  <c r="T217" i="1"/>
  <c r="S217" i="1"/>
  <c r="U217" i="1" s="1"/>
  <c r="R217" i="1"/>
  <c r="O217" i="1"/>
  <c r="Q217" i="1" s="1"/>
  <c r="N217" i="1"/>
  <c r="AD216" i="1"/>
  <c r="AA216" i="1"/>
  <c r="Z216" i="1"/>
  <c r="AB216" i="1" s="1"/>
  <c r="AC216" i="1" s="1"/>
  <c r="Y216" i="1"/>
  <c r="X216" i="1"/>
  <c r="W216" i="1"/>
  <c r="V216" i="1"/>
  <c r="T216" i="1"/>
  <c r="S216" i="1"/>
  <c r="U216" i="1" s="1"/>
  <c r="R216" i="1"/>
  <c r="Q216" i="1"/>
  <c r="P216" i="1"/>
  <c r="O216" i="1"/>
  <c r="N216" i="1"/>
  <c r="AA215" i="1"/>
  <c r="Y215" i="1"/>
  <c r="AD215" i="1" s="1"/>
  <c r="W215" i="1"/>
  <c r="V215" i="1"/>
  <c r="X215" i="1" s="1"/>
  <c r="T215" i="1"/>
  <c r="S215" i="1"/>
  <c r="U215" i="1" s="1"/>
  <c r="R215" i="1"/>
  <c r="Q215" i="1"/>
  <c r="O215" i="1"/>
  <c r="P215" i="1" s="1"/>
  <c r="N215" i="1"/>
  <c r="AB214" i="1"/>
  <c r="AC214" i="1" s="1"/>
  <c r="AA214" i="1"/>
  <c r="Z214" i="1"/>
  <c r="Y214" i="1"/>
  <c r="AD214" i="1" s="1"/>
  <c r="W214" i="1"/>
  <c r="V214" i="1"/>
  <c r="X214" i="1" s="1"/>
  <c r="T214" i="1"/>
  <c r="U214" i="1" s="1"/>
  <c r="S214" i="1"/>
  <c r="R214" i="1"/>
  <c r="P214" i="1"/>
  <c r="O214" i="1"/>
  <c r="Q214" i="1" s="1"/>
  <c r="N214" i="1"/>
  <c r="AD213" i="1"/>
  <c r="AA213" i="1"/>
  <c r="Y213" i="1"/>
  <c r="Z213" i="1" s="1"/>
  <c r="AB213" i="1" s="1"/>
  <c r="AC213" i="1" s="1"/>
  <c r="W213" i="1"/>
  <c r="V213" i="1"/>
  <c r="X213" i="1" s="1"/>
  <c r="U213" i="1"/>
  <c r="T213" i="1"/>
  <c r="S213" i="1"/>
  <c r="R213" i="1"/>
  <c r="O213" i="1"/>
  <c r="P213" i="1" s="1"/>
  <c r="N213" i="1"/>
  <c r="AA212" i="1"/>
  <c r="Z212" i="1"/>
  <c r="AB212" i="1" s="1"/>
  <c r="AC212" i="1" s="1"/>
  <c r="Y212" i="1"/>
  <c r="AD212" i="1" s="1"/>
  <c r="W212" i="1"/>
  <c r="V212" i="1"/>
  <c r="X212" i="1" s="1"/>
  <c r="T212" i="1"/>
  <c r="S212" i="1"/>
  <c r="R212" i="1"/>
  <c r="O212" i="1"/>
  <c r="Q212" i="1" s="1"/>
  <c r="N212" i="1"/>
  <c r="AD211" i="1"/>
  <c r="AA211" i="1"/>
  <c r="Y211" i="1"/>
  <c r="Z211" i="1" s="1"/>
  <c r="AB211" i="1" s="1"/>
  <c r="AC211" i="1" s="1"/>
  <c r="W211" i="1"/>
  <c r="X211" i="1" s="1"/>
  <c r="V211" i="1"/>
  <c r="T211" i="1"/>
  <c r="S211" i="1"/>
  <c r="U211" i="1" s="1"/>
  <c r="R211" i="1"/>
  <c r="O211" i="1"/>
  <c r="N211" i="1"/>
  <c r="AD210" i="1"/>
  <c r="AA210" i="1"/>
  <c r="Y210" i="1"/>
  <c r="Z210" i="1" s="1"/>
  <c r="AB210" i="1" s="1"/>
  <c r="AC210" i="1" s="1"/>
  <c r="W210" i="1"/>
  <c r="X210" i="1" s="1"/>
  <c r="V210" i="1"/>
  <c r="T210" i="1"/>
  <c r="U210" i="1" s="1"/>
  <c r="S210" i="1"/>
  <c r="R210" i="1"/>
  <c r="Q210" i="1"/>
  <c r="P210" i="1"/>
  <c r="O210" i="1"/>
  <c r="N210" i="1"/>
  <c r="AA209" i="1"/>
  <c r="Y209" i="1"/>
  <c r="W209" i="1"/>
  <c r="V209" i="1"/>
  <c r="U209" i="1"/>
  <c r="T209" i="1"/>
  <c r="S209" i="1"/>
  <c r="R209" i="1"/>
  <c r="Q209" i="1"/>
  <c r="P209" i="1"/>
  <c r="O209" i="1"/>
  <c r="N209" i="1"/>
  <c r="AD208" i="1"/>
  <c r="AB208" i="1"/>
  <c r="AC208" i="1" s="1"/>
  <c r="AA208" i="1"/>
  <c r="Z208" i="1"/>
  <c r="Y208" i="1"/>
  <c r="W208" i="1"/>
  <c r="V208" i="1"/>
  <c r="X208" i="1" s="1"/>
  <c r="U208" i="1"/>
  <c r="T208" i="1"/>
  <c r="S208" i="1"/>
  <c r="R208" i="1"/>
  <c r="P208" i="1"/>
  <c r="O208" i="1"/>
  <c r="Q208" i="1" s="1"/>
  <c r="N208" i="1"/>
  <c r="AA207" i="1"/>
  <c r="Z207" i="1"/>
  <c r="AB207" i="1" s="1"/>
  <c r="AC207" i="1" s="1"/>
  <c r="Y207" i="1"/>
  <c r="AD207" i="1" s="1"/>
  <c r="W207" i="1"/>
  <c r="X207" i="1" s="1"/>
  <c r="V207" i="1"/>
  <c r="U207" i="1"/>
  <c r="T207" i="1"/>
  <c r="S207" i="1"/>
  <c r="R207" i="1"/>
  <c r="O207" i="1"/>
  <c r="N207" i="1"/>
  <c r="AD206" i="1"/>
  <c r="AB206" i="1"/>
  <c r="AC206" i="1" s="1"/>
  <c r="AA206" i="1"/>
  <c r="Z206" i="1"/>
  <c r="Y206" i="1"/>
  <c r="X206" i="1"/>
  <c r="W206" i="1"/>
  <c r="V206" i="1"/>
  <c r="T206" i="1"/>
  <c r="S206" i="1"/>
  <c r="R206" i="1"/>
  <c r="Q206" i="1"/>
  <c r="P206" i="1"/>
  <c r="O206" i="1"/>
  <c r="N206" i="1"/>
  <c r="AA205" i="1"/>
  <c r="Y205" i="1"/>
  <c r="X205" i="1"/>
  <c r="W205" i="1"/>
  <c r="V205" i="1"/>
  <c r="U205" i="1"/>
  <c r="T205" i="1"/>
  <c r="S205" i="1"/>
  <c r="R205" i="1"/>
  <c r="Q205" i="1"/>
  <c r="O205" i="1"/>
  <c r="P205" i="1" s="1"/>
  <c r="N205" i="1"/>
  <c r="AD204" i="1"/>
  <c r="AC204" i="1"/>
  <c r="AA204" i="1"/>
  <c r="Z204" i="1"/>
  <c r="AB204" i="1" s="1"/>
  <c r="Y204" i="1"/>
  <c r="X204" i="1"/>
  <c r="W204" i="1"/>
  <c r="V204" i="1"/>
  <c r="T204" i="1"/>
  <c r="S204" i="1"/>
  <c r="U204" i="1" s="1"/>
  <c r="R204" i="1"/>
  <c r="Q204" i="1"/>
  <c r="P204" i="1"/>
  <c r="O204" i="1"/>
  <c r="N204" i="1"/>
  <c r="AA203" i="1"/>
  <c r="Y203" i="1"/>
  <c r="AD203" i="1" s="1"/>
  <c r="W203" i="1"/>
  <c r="V203" i="1"/>
  <c r="X203" i="1" s="1"/>
  <c r="T203" i="1"/>
  <c r="S203" i="1"/>
  <c r="U203" i="1" s="1"/>
  <c r="R203" i="1"/>
  <c r="Q203" i="1"/>
  <c r="O203" i="1"/>
  <c r="P203" i="1" s="1"/>
  <c r="N203" i="1"/>
  <c r="AB202" i="1"/>
  <c r="AC202" i="1" s="1"/>
  <c r="AA202" i="1"/>
  <c r="Z202" i="1"/>
  <c r="Y202" i="1"/>
  <c r="AD202" i="1" s="1"/>
  <c r="W202" i="1"/>
  <c r="V202" i="1"/>
  <c r="X202" i="1" s="1"/>
  <c r="T202" i="1"/>
  <c r="U202" i="1" s="1"/>
  <c r="S202" i="1"/>
  <c r="R202" i="1"/>
  <c r="O202" i="1"/>
  <c r="Q202" i="1" s="1"/>
  <c r="N202" i="1"/>
  <c r="AD201" i="1"/>
  <c r="AC201" i="1"/>
  <c r="AA201" i="1"/>
  <c r="Y201" i="1"/>
  <c r="Z201" i="1" s="1"/>
  <c r="AB201" i="1" s="1"/>
  <c r="W201" i="1"/>
  <c r="V201" i="1"/>
  <c r="X201" i="1" s="1"/>
  <c r="T201" i="1"/>
  <c r="U201" i="1" s="1"/>
  <c r="S201" i="1"/>
  <c r="R201" i="1"/>
  <c r="O201" i="1"/>
  <c r="N201" i="1"/>
  <c r="AA200" i="1"/>
  <c r="Z200" i="1"/>
  <c r="AB200" i="1" s="1"/>
  <c r="AC200" i="1" s="1"/>
  <c r="Y200" i="1"/>
  <c r="AD200" i="1" s="1"/>
  <c r="W200" i="1"/>
  <c r="V200" i="1"/>
  <c r="X200" i="1" s="1"/>
  <c r="T200" i="1"/>
  <c r="S200" i="1"/>
  <c r="U200" i="1" s="1"/>
  <c r="R200" i="1"/>
  <c r="O200" i="1"/>
  <c r="Q200" i="1" s="1"/>
  <c r="N200" i="1"/>
  <c r="AD199" i="1"/>
  <c r="AA199" i="1"/>
  <c r="Y199" i="1"/>
  <c r="Z199" i="1" s="1"/>
  <c r="AB199" i="1" s="1"/>
  <c r="AC199" i="1" s="1"/>
  <c r="W199" i="1"/>
  <c r="X199" i="1" s="1"/>
  <c r="V199" i="1"/>
  <c r="T199" i="1"/>
  <c r="S199" i="1"/>
  <c r="U199" i="1" s="1"/>
  <c r="R199" i="1"/>
  <c r="O199" i="1"/>
  <c r="N199" i="1"/>
  <c r="AD198" i="1"/>
  <c r="AA198" i="1"/>
  <c r="Y198" i="1"/>
  <c r="Z198" i="1" s="1"/>
  <c r="AB198" i="1" s="1"/>
  <c r="AC198" i="1" s="1"/>
  <c r="X198" i="1"/>
  <c r="W198" i="1"/>
  <c r="V198" i="1"/>
  <c r="T198" i="1"/>
  <c r="U198" i="1" s="1"/>
  <c r="S198" i="1"/>
  <c r="R198" i="1"/>
  <c r="Q198" i="1"/>
  <c r="P198" i="1"/>
  <c r="O198" i="1"/>
  <c r="N198" i="1"/>
  <c r="AA197" i="1"/>
  <c r="Y197" i="1"/>
  <c r="W197" i="1"/>
  <c r="V197" i="1"/>
  <c r="U197" i="1"/>
  <c r="T197" i="1"/>
  <c r="S197" i="1"/>
  <c r="R197" i="1"/>
  <c r="O197" i="1"/>
  <c r="Q197" i="1" s="1"/>
  <c r="N197" i="1"/>
  <c r="AD196" i="1"/>
  <c r="AB196" i="1"/>
  <c r="AC196" i="1" s="1"/>
  <c r="AA196" i="1"/>
  <c r="Z196" i="1"/>
  <c r="Y196" i="1"/>
  <c r="W196" i="1"/>
  <c r="V196" i="1"/>
  <c r="X196" i="1" s="1"/>
  <c r="U196" i="1"/>
  <c r="T196" i="1"/>
  <c r="S196" i="1"/>
  <c r="R196" i="1"/>
  <c r="P196" i="1"/>
  <c r="O196" i="1"/>
  <c r="Q196" i="1" s="1"/>
  <c r="N196" i="1"/>
  <c r="AA195" i="1"/>
  <c r="Y195" i="1"/>
  <c r="AD195" i="1" s="1"/>
  <c r="W195" i="1"/>
  <c r="X195" i="1" s="1"/>
  <c r="V195" i="1"/>
  <c r="U195" i="1"/>
  <c r="T195" i="1"/>
  <c r="S195" i="1"/>
  <c r="R195" i="1"/>
  <c r="O195" i="1"/>
  <c r="N195" i="1"/>
  <c r="AD194" i="1"/>
  <c r="AB194" i="1"/>
  <c r="AC194" i="1" s="1"/>
  <c r="AA194" i="1"/>
  <c r="Z194" i="1"/>
  <c r="Y194" i="1"/>
  <c r="X194" i="1"/>
  <c r="W194" i="1"/>
  <c r="V194" i="1"/>
  <c r="T194" i="1"/>
  <c r="S194" i="1"/>
  <c r="U194" i="1" s="1"/>
  <c r="R194" i="1"/>
  <c r="Q194" i="1"/>
  <c r="P194" i="1"/>
  <c r="O194" i="1"/>
  <c r="N194" i="1"/>
  <c r="AA193" i="1"/>
  <c r="Y193" i="1"/>
  <c r="W193" i="1"/>
  <c r="X193" i="1" s="1"/>
  <c r="V193" i="1"/>
  <c r="T193" i="1"/>
  <c r="S193" i="1"/>
  <c r="U193" i="1" s="1"/>
  <c r="R193" i="1"/>
  <c r="Q193" i="1"/>
  <c r="O193" i="1"/>
  <c r="P193" i="1" s="1"/>
  <c r="N193" i="1"/>
  <c r="AD192" i="1"/>
  <c r="AA192" i="1"/>
  <c r="Z192" i="1"/>
  <c r="AB192" i="1" s="1"/>
  <c r="AC192" i="1" s="1"/>
  <c r="Y192" i="1"/>
  <c r="X192" i="1"/>
  <c r="W192" i="1"/>
  <c r="V192" i="1"/>
  <c r="T192" i="1"/>
  <c r="S192" i="1"/>
  <c r="U192" i="1" s="1"/>
  <c r="R192" i="1"/>
  <c r="Q192" i="1"/>
  <c r="P192" i="1"/>
  <c r="O192" i="1"/>
  <c r="N192" i="1"/>
  <c r="AA191" i="1"/>
  <c r="Y191" i="1"/>
  <c r="AD191" i="1" s="1"/>
  <c r="W191" i="1"/>
  <c r="V191" i="1"/>
  <c r="U191" i="1"/>
  <c r="T191" i="1"/>
  <c r="S191" i="1"/>
  <c r="R191" i="1"/>
  <c r="Q191" i="1"/>
  <c r="O191" i="1"/>
  <c r="P191" i="1" s="1"/>
  <c r="N191" i="1"/>
  <c r="AA190" i="1"/>
  <c r="Z190" i="1"/>
  <c r="AB190" i="1" s="1"/>
  <c r="AC190" i="1" s="1"/>
  <c r="Y190" i="1"/>
  <c r="AD190" i="1" s="1"/>
  <c r="W190" i="1"/>
  <c r="V190" i="1"/>
  <c r="X190" i="1" s="1"/>
  <c r="T190" i="1"/>
  <c r="U190" i="1" s="1"/>
  <c r="S190" i="1"/>
  <c r="R190" i="1"/>
  <c r="O190" i="1"/>
  <c r="Q190" i="1" s="1"/>
  <c r="N190" i="1"/>
  <c r="AD189" i="1"/>
  <c r="AC189" i="1"/>
  <c r="AA189" i="1"/>
  <c r="Y189" i="1"/>
  <c r="Z189" i="1" s="1"/>
  <c r="AB189" i="1" s="1"/>
  <c r="W189" i="1"/>
  <c r="V189" i="1"/>
  <c r="X189" i="1" s="1"/>
  <c r="T189" i="1"/>
  <c r="S189" i="1"/>
  <c r="U189" i="1" s="1"/>
  <c r="R189" i="1"/>
  <c r="Q189" i="1"/>
  <c r="O189" i="1"/>
  <c r="P189" i="1" s="1"/>
  <c r="N189" i="1"/>
  <c r="AA188" i="1"/>
  <c r="Z188" i="1"/>
  <c r="AB188" i="1" s="1"/>
  <c r="AC188" i="1" s="1"/>
  <c r="Y188" i="1"/>
  <c r="AD188" i="1" s="1"/>
  <c r="X188" i="1"/>
  <c r="W188" i="1"/>
  <c r="V188" i="1"/>
  <c r="T188" i="1"/>
  <c r="S188" i="1"/>
  <c r="U188" i="1" s="1"/>
  <c r="R188" i="1"/>
  <c r="O188" i="1"/>
  <c r="Q188" i="1" s="1"/>
  <c r="N188" i="1"/>
  <c r="AC187" i="1"/>
  <c r="AA187" i="1"/>
  <c r="Y187" i="1"/>
  <c r="Z187" i="1" s="1"/>
  <c r="AB187" i="1" s="1"/>
  <c r="W187" i="1"/>
  <c r="X187" i="1" s="1"/>
  <c r="V187" i="1"/>
  <c r="T187" i="1"/>
  <c r="S187" i="1"/>
  <c r="U187" i="1" s="1"/>
  <c r="R187" i="1"/>
  <c r="O187" i="1"/>
  <c r="P187" i="1" s="1"/>
  <c r="N187" i="1"/>
  <c r="AD186" i="1"/>
  <c r="AA186" i="1"/>
  <c r="Y186" i="1"/>
  <c r="Z186" i="1" s="1"/>
  <c r="AB186" i="1" s="1"/>
  <c r="AC186" i="1" s="1"/>
  <c r="W186" i="1"/>
  <c r="V186" i="1"/>
  <c r="X186" i="1" s="1"/>
  <c r="T186" i="1"/>
  <c r="U186" i="1" s="1"/>
  <c r="S186" i="1"/>
  <c r="R186" i="1"/>
  <c r="P186" i="1"/>
  <c r="O186" i="1"/>
  <c r="Q186" i="1" s="1"/>
  <c r="N186" i="1"/>
  <c r="AA185" i="1"/>
  <c r="Y185" i="1"/>
  <c r="W185" i="1"/>
  <c r="V185" i="1"/>
  <c r="X185" i="1" s="1"/>
  <c r="U185" i="1"/>
  <c r="T185" i="1"/>
  <c r="S185" i="1"/>
  <c r="R185" i="1"/>
  <c r="Q185" i="1"/>
  <c r="O185" i="1"/>
  <c r="P185" i="1" s="1"/>
  <c r="N185" i="1"/>
  <c r="AD184" i="1"/>
  <c r="AB184" i="1"/>
  <c r="AC184" i="1" s="1"/>
  <c r="AA184" i="1"/>
  <c r="Z184" i="1"/>
  <c r="Y184" i="1"/>
  <c r="W184" i="1"/>
  <c r="V184" i="1"/>
  <c r="X184" i="1" s="1"/>
  <c r="T184" i="1"/>
  <c r="U184" i="1" s="1"/>
  <c r="S184" i="1"/>
  <c r="R184" i="1"/>
  <c r="P184" i="1"/>
  <c r="O184" i="1"/>
  <c r="Q184" i="1" s="1"/>
  <c r="N184" i="1"/>
  <c r="AA183" i="1"/>
  <c r="Z183" i="1"/>
  <c r="AB183" i="1" s="1"/>
  <c r="AC183" i="1" s="1"/>
  <c r="Y183" i="1"/>
  <c r="AD183" i="1" s="1"/>
  <c r="W183" i="1"/>
  <c r="X183" i="1" s="1"/>
  <c r="V183" i="1"/>
  <c r="U183" i="1"/>
  <c r="T183" i="1"/>
  <c r="S183" i="1"/>
  <c r="R183" i="1"/>
  <c r="O183" i="1"/>
  <c r="N183" i="1"/>
  <c r="AD182" i="1"/>
  <c r="AB182" i="1"/>
  <c r="AC182" i="1" s="1"/>
  <c r="AA182" i="1"/>
  <c r="Z182" i="1"/>
  <c r="Y182" i="1"/>
  <c r="X182" i="1"/>
  <c r="W182" i="1"/>
  <c r="V182" i="1"/>
  <c r="T182" i="1"/>
  <c r="S182" i="1"/>
  <c r="U182" i="1" s="1"/>
  <c r="R182" i="1"/>
  <c r="Q182" i="1"/>
  <c r="P182" i="1"/>
  <c r="O182" i="1"/>
  <c r="N182" i="1"/>
  <c r="AA181" i="1"/>
  <c r="Y181" i="1"/>
  <c r="X181" i="1"/>
  <c r="W181" i="1"/>
  <c r="V181" i="1"/>
  <c r="T181" i="1"/>
  <c r="S181" i="1"/>
  <c r="U181" i="1" s="1"/>
  <c r="R181" i="1"/>
  <c r="Q181" i="1"/>
  <c r="O181" i="1"/>
  <c r="P181" i="1" s="1"/>
  <c r="N181" i="1"/>
  <c r="AD180" i="1"/>
  <c r="AA180" i="1"/>
  <c r="Z180" i="1"/>
  <c r="AB180" i="1" s="1"/>
  <c r="AC180" i="1" s="1"/>
  <c r="Y180" i="1"/>
  <c r="X180" i="1"/>
  <c r="W180" i="1"/>
  <c r="V180" i="1"/>
  <c r="T180" i="1"/>
  <c r="S180" i="1"/>
  <c r="U180" i="1" s="1"/>
  <c r="R180" i="1"/>
  <c r="Q180" i="1"/>
  <c r="P180" i="1"/>
  <c r="O180" i="1"/>
  <c r="N180" i="1"/>
  <c r="AA179" i="1"/>
  <c r="Y179" i="1"/>
  <c r="AD179" i="1" s="1"/>
  <c r="W179" i="1"/>
  <c r="V179" i="1"/>
  <c r="X179" i="1" s="1"/>
  <c r="T179" i="1"/>
  <c r="S179" i="1"/>
  <c r="U179" i="1" s="1"/>
  <c r="R179" i="1"/>
  <c r="Q179" i="1"/>
  <c r="O179" i="1"/>
  <c r="P179" i="1" s="1"/>
  <c r="N179" i="1"/>
  <c r="AA178" i="1"/>
  <c r="Z178" i="1"/>
  <c r="AB178" i="1" s="1"/>
  <c r="AC178" i="1" s="1"/>
  <c r="Y178" i="1"/>
  <c r="AD178" i="1" s="1"/>
  <c r="X178" i="1"/>
  <c r="W178" i="1"/>
  <c r="V178" i="1"/>
  <c r="T178" i="1"/>
  <c r="U178" i="1" s="1"/>
  <c r="S178" i="1"/>
  <c r="R178" i="1"/>
  <c r="P178" i="1"/>
  <c r="O178" i="1"/>
  <c r="Q178" i="1" s="1"/>
  <c r="N178" i="1"/>
  <c r="AD177" i="1"/>
  <c r="AA177" i="1"/>
  <c r="Y177" i="1"/>
  <c r="Z177" i="1" s="1"/>
  <c r="AB177" i="1" s="1"/>
  <c r="AC177" i="1" s="1"/>
  <c r="W177" i="1"/>
  <c r="V177" i="1"/>
  <c r="X177" i="1" s="1"/>
  <c r="U177" i="1"/>
  <c r="T177" i="1"/>
  <c r="S177" i="1"/>
  <c r="R177" i="1"/>
  <c r="O177" i="1"/>
  <c r="P177" i="1" s="1"/>
  <c r="N177" i="1"/>
  <c r="AA176" i="1"/>
  <c r="Y176" i="1"/>
  <c r="W176" i="1"/>
  <c r="V176" i="1"/>
  <c r="X176" i="1" s="1"/>
  <c r="T176" i="1"/>
  <c r="U176" i="1" s="1"/>
  <c r="S176" i="1"/>
  <c r="R176" i="1"/>
  <c r="O176" i="1"/>
  <c r="Q176" i="1" s="1"/>
  <c r="N176" i="1"/>
  <c r="AB175" i="1"/>
  <c r="AC175" i="1" s="1"/>
  <c r="AA175" i="1"/>
  <c r="Y175" i="1"/>
  <c r="Z175" i="1" s="1"/>
  <c r="W175" i="1"/>
  <c r="X175" i="1" s="1"/>
  <c r="V175" i="1"/>
  <c r="T175" i="1"/>
  <c r="S175" i="1"/>
  <c r="U175" i="1" s="1"/>
  <c r="R175" i="1"/>
  <c r="P175" i="1"/>
  <c r="O175" i="1"/>
  <c r="Q175" i="1" s="1"/>
  <c r="N175" i="1"/>
  <c r="AD174" i="1"/>
  <c r="AA174" i="1"/>
  <c r="Y174" i="1"/>
  <c r="Z174" i="1" s="1"/>
  <c r="AB174" i="1" s="1"/>
  <c r="AC174" i="1" s="1"/>
  <c r="W174" i="1"/>
  <c r="X174" i="1" s="1"/>
  <c r="V174" i="1"/>
  <c r="U174" i="1"/>
  <c r="T174" i="1"/>
  <c r="S174" i="1"/>
  <c r="R174" i="1"/>
  <c r="P174" i="1"/>
  <c r="O174" i="1"/>
  <c r="Q174" i="1" s="1"/>
  <c r="N174" i="1"/>
  <c r="AA173" i="1"/>
  <c r="Z173" i="1"/>
  <c r="AB173" i="1" s="1"/>
  <c r="AC173" i="1" s="1"/>
  <c r="Y173" i="1"/>
  <c r="AD173" i="1" s="1"/>
  <c r="W173" i="1"/>
  <c r="X173" i="1" s="1"/>
  <c r="V173" i="1"/>
  <c r="U173" i="1"/>
  <c r="T173" i="1"/>
  <c r="S173" i="1"/>
  <c r="R173" i="1"/>
  <c r="Q173" i="1"/>
  <c r="P173" i="1"/>
  <c r="O173" i="1"/>
  <c r="N173" i="1"/>
  <c r="AD172" i="1"/>
  <c r="AB172" i="1"/>
  <c r="AC172" i="1" s="1"/>
  <c r="AA172" i="1"/>
  <c r="Z172" i="1"/>
  <c r="Y172" i="1"/>
  <c r="W172" i="1"/>
  <c r="V172" i="1"/>
  <c r="X172" i="1" s="1"/>
  <c r="T172" i="1"/>
  <c r="S172" i="1"/>
  <c r="U172" i="1" s="1"/>
  <c r="R172" i="1"/>
  <c r="P172" i="1"/>
  <c r="O172" i="1"/>
  <c r="Q172" i="1" s="1"/>
  <c r="N172" i="1"/>
  <c r="AA171" i="1"/>
  <c r="Z171" i="1"/>
  <c r="AB171" i="1" s="1"/>
  <c r="AC171" i="1" s="1"/>
  <c r="Y171" i="1"/>
  <c r="AD171" i="1" s="1"/>
  <c r="X171" i="1"/>
  <c r="W171" i="1"/>
  <c r="V171" i="1"/>
  <c r="U171" i="1"/>
  <c r="T171" i="1"/>
  <c r="S171" i="1"/>
  <c r="R171" i="1"/>
  <c r="O171" i="1"/>
  <c r="N171" i="1"/>
  <c r="AD170" i="1"/>
  <c r="AA170" i="1"/>
  <c r="Z170" i="1"/>
  <c r="AB170" i="1" s="1"/>
  <c r="AC170" i="1" s="1"/>
  <c r="Y170" i="1"/>
  <c r="X170" i="1"/>
  <c r="W170" i="1"/>
  <c r="V170" i="1"/>
  <c r="T170" i="1"/>
  <c r="S170" i="1"/>
  <c r="U170" i="1" s="1"/>
  <c r="R170" i="1"/>
  <c r="Q170" i="1"/>
  <c r="P170" i="1"/>
  <c r="O170" i="1"/>
  <c r="N170" i="1"/>
  <c r="AA169" i="1"/>
  <c r="Y169" i="1"/>
  <c r="W169" i="1"/>
  <c r="X169" i="1" s="1"/>
  <c r="V169" i="1"/>
  <c r="U169" i="1"/>
  <c r="T169" i="1"/>
  <c r="S169" i="1"/>
  <c r="R169" i="1"/>
  <c r="Q169" i="1"/>
  <c r="O169" i="1"/>
  <c r="P169" i="1" s="1"/>
  <c r="N169" i="1"/>
  <c r="AD168" i="1"/>
  <c r="AB168" i="1"/>
  <c r="AC168" i="1" s="1"/>
  <c r="AA168" i="1"/>
  <c r="Z168" i="1"/>
  <c r="Y168" i="1"/>
  <c r="X168" i="1"/>
  <c r="W168" i="1"/>
  <c r="V168" i="1"/>
  <c r="T168" i="1"/>
  <c r="S168" i="1"/>
  <c r="U168" i="1" s="1"/>
  <c r="R168" i="1"/>
  <c r="O168" i="1"/>
  <c r="Q168" i="1" s="1"/>
  <c r="N168" i="1"/>
  <c r="AA167" i="1"/>
  <c r="Y167" i="1"/>
  <c r="AD167" i="1" s="1"/>
  <c r="W167" i="1"/>
  <c r="V167" i="1"/>
  <c r="X167" i="1" s="1"/>
  <c r="T167" i="1"/>
  <c r="S167" i="1"/>
  <c r="U167" i="1" s="1"/>
  <c r="R167" i="1"/>
  <c r="Q167" i="1"/>
  <c r="O167" i="1"/>
  <c r="P167" i="1" s="1"/>
  <c r="N167" i="1"/>
  <c r="AA166" i="1"/>
  <c r="Z166" i="1"/>
  <c r="AB166" i="1" s="1"/>
  <c r="AC166" i="1" s="1"/>
  <c r="Y166" i="1"/>
  <c r="AD166" i="1" s="1"/>
  <c r="X166" i="1"/>
  <c r="W166" i="1"/>
  <c r="V166" i="1"/>
  <c r="T166" i="1"/>
  <c r="U166" i="1" s="1"/>
  <c r="S166" i="1"/>
  <c r="R166" i="1"/>
  <c r="O166" i="1"/>
  <c r="N166" i="1"/>
  <c r="AD165" i="1"/>
  <c r="AC165" i="1"/>
  <c r="AA165" i="1"/>
  <c r="Y165" i="1"/>
  <c r="Z165" i="1" s="1"/>
  <c r="AB165" i="1" s="1"/>
  <c r="W165" i="1"/>
  <c r="V165" i="1"/>
  <c r="X165" i="1" s="1"/>
  <c r="U165" i="1"/>
  <c r="T165" i="1"/>
  <c r="S165" i="1"/>
  <c r="R165" i="1"/>
  <c r="Q165" i="1"/>
  <c r="O165" i="1"/>
  <c r="P165" i="1" s="1"/>
  <c r="N165" i="1"/>
  <c r="AA164" i="1"/>
  <c r="Y164" i="1"/>
  <c r="AD164" i="1" s="1"/>
  <c r="W164" i="1"/>
  <c r="V164" i="1"/>
  <c r="X164" i="1" s="1"/>
  <c r="T164" i="1"/>
  <c r="U164" i="1" s="1"/>
  <c r="S164" i="1"/>
  <c r="R164" i="1"/>
  <c r="O164" i="1"/>
  <c r="Q164" i="1" s="1"/>
  <c r="N164" i="1"/>
  <c r="AD163" i="1"/>
  <c r="AC163" i="1"/>
  <c r="AB163" i="1"/>
  <c r="AA163" i="1"/>
  <c r="Y163" i="1"/>
  <c r="Z163" i="1" s="1"/>
  <c r="W163" i="1"/>
  <c r="V163" i="1"/>
  <c r="X163" i="1" s="1"/>
  <c r="T163" i="1"/>
  <c r="S163" i="1"/>
  <c r="U163" i="1" s="1"/>
  <c r="R163" i="1"/>
  <c r="Q163" i="1"/>
  <c r="O163" i="1"/>
  <c r="P163" i="1" s="1"/>
  <c r="N163" i="1"/>
  <c r="AD162" i="1"/>
  <c r="AB162" i="1"/>
  <c r="AC162" i="1" s="1"/>
  <c r="AA162" i="1"/>
  <c r="Y162" i="1"/>
  <c r="Z162" i="1" s="1"/>
  <c r="X162" i="1"/>
  <c r="W162" i="1"/>
  <c r="V162" i="1"/>
  <c r="T162" i="1"/>
  <c r="U162" i="1" s="1"/>
  <c r="S162" i="1"/>
  <c r="R162" i="1"/>
  <c r="P162" i="1"/>
  <c r="O162" i="1"/>
  <c r="Q162" i="1" s="1"/>
  <c r="N162" i="1"/>
  <c r="AA161" i="1"/>
  <c r="Y161" i="1"/>
  <c r="AD161" i="1" s="1"/>
  <c r="W161" i="1"/>
  <c r="X161" i="1" s="1"/>
  <c r="V161" i="1"/>
  <c r="U161" i="1"/>
  <c r="T161" i="1"/>
  <c r="S161" i="1"/>
  <c r="R161" i="1"/>
  <c r="Q161" i="1"/>
  <c r="P161" i="1"/>
  <c r="O161" i="1"/>
  <c r="N161" i="1"/>
  <c r="AD160" i="1"/>
  <c r="AA160" i="1"/>
  <c r="Z160" i="1"/>
  <c r="AB160" i="1" s="1"/>
  <c r="AC160" i="1" s="1"/>
  <c r="Y160" i="1"/>
  <c r="W160" i="1"/>
  <c r="V160" i="1"/>
  <c r="X160" i="1" s="1"/>
  <c r="T160" i="1"/>
  <c r="U160" i="1" s="1"/>
  <c r="S160" i="1"/>
  <c r="R160" i="1"/>
  <c r="P160" i="1"/>
  <c r="O160" i="1"/>
  <c r="Q160" i="1" s="1"/>
  <c r="N160" i="1"/>
  <c r="AA159" i="1"/>
  <c r="Z159" i="1"/>
  <c r="AB159" i="1" s="1"/>
  <c r="AC159" i="1" s="1"/>
  <c r="Y159" i="1"/>
  <c r="AD159" i="1" s="1"/>
  <c r="W159" i="1"/>
  <c r="X159" i="1" s="1"/>
  <c r="V159" i="1"/>
  <c r="U159" i="1"/>
  <c r="T159" i="1"/>
  <c r="S159" i="1"/>
  <c r="R159" i="1"/>
  <c r="O159" i="1"/>
  <c r="N159" i="1"/>
  <c r="AD158" i="1"/>
  <c r="AC158" i="1"/>
  <c r="AA158" i="1"/>
  <c r="Z158" i="1"/>
  <c r="AB158" i="1" s="1"/>
  <c r="Y158" i="1"/>
  <c r="X158" i="1"/>
  <c r="W158" i="1"/>
  <c r="V158" i="1"/>
  <c r="T158" i="1"/>
  <c r="S158" i="1"/>
  <c r="R158" i="1"/>
  <c r="Q158" i="1"/>
  <c r="P158" i="1"/>
  <c r="O158" i="1"/>
  <c r="N158" i="1"/>
  <c r="AA157" i="1"/>
  <c r="Y157" i="1"/>
  <c r="W157" i="1"/>
  <c r="V157" i="1"/>
  <c r="X157" i="1" s="1"/>
  <c r="T157" i="1"/>
  <c r="S157" i="1"/>
  <c r="U157" i="1" s="1"/>
  <c r="R157" i="1"/>
  <c r="Q157" i="1"/>
  <c r="O157" i="1"/>
  <c r="P157" i="1" s="1"/>
  <c r="N157" i="1"/>
  <c r="AD156" i="1"/>
  <c r="AB156" i="1"/>
  <c r="AC156" i="1" s="1"/>
  <c r="AA156" i="1"/>
  <c r="Z156" i="1"/>
  <c r="Y156" i="1"/>
  <c r="W156" i="1"/>
  <c r="V156" i="1"/>
  <c r="X156" i="1" s="1"/>
  <c r="T156" i="1"/>
  <c r="S156" i="1"/>
  <c r="U156" i="1" s="1"/>
  <c r="R156" i="1"/>
  <c r="O156" i="1"/>
  <c r="N156" i="1"/>
  <c r="AA155" i="1"/>
  <c r="Y155" i="1"/>
  <c r="AD155" i="1" s="1"/>
  <c r="W155" i="1"/>
  <c r="X155" i="1" s="1"/>
  <c r="V155" i="1"/>
  <c r="T155" i="1"/>
  <c r="U155" i="1" s="1"/>
  <c r="S155" i="1"/>
  <c r="R155" i="1"/>
  <c r="Q155" i="1"/>
  <c r="O155" i="1"/>
  <c r="P155" i="1" s="1"/>
  <c r="N155" i="1"/>
  <c r="AA154" i="1"/>
  <c r="Z154" i="1"/>
  <c r="AB154" i="1" s="1"/>
  <c r="AC154" i="1" s="1"/>
  <c r="Y154" i="1"/>
  <c r="AD154" i="1" s="1"/>
  <c r="X154" i="1"/>
  <c r="W154" i="1"/>
  <c r="V154" i="1"/>
  <c r="T154" i="1"/>
  <c r="U154" i="1" s="1"/>
  <c r="S154" i="1"/>
  <c r="R154" i="1"/>
  <c r="Q154" i="1"/>
  <c r="O154" i="1"/>
  <c r="P154" i="1" s="1"/>
  <c r="N154" i="1"/>
  <c r="AD153" i="1"/>
  <c r="AA153" i="1"/>
  <c r="Y153" i="1"/>
  <c r="Z153" i="1" s="1"/>
  <c r="AB153" i="1" s="1"/>
  <c r="AC153" i="1" s="1"/>
  <c r="W153" i="1"/>
  <c r="V153" i="1"/>
  <c r="X153" i="1" s="1"/>
  <c r="U153" i="1"/>
  <c r="T153" i="1"/>
  <c r="S153" i="1"/>
  <c r="R153" i="1"/>
  <c r="O153" i="1"/>
  <c r="P153" i="1" s="1"/>
  <c r="N153" i="1"/>
  <c r="AD152" i="1"/>
  <c r="AA152" i="1"/>
  <c r="Z152" i="1"/>
  <c r="AB152" i="1" s="1"/>
  <c r="AC152" i="1" s="1"/>
  <c r="Y152" i="1"/>
  <c r="W152" i="1"/>
  <c r="X152" i="1" s="1"/>
  <c r="V152" i="1"/>
  <c r="T152" i="1"/>
  <c r="U152" i="1" s="1"/>
  <c r="S152" i="1"/>
  <c r="R152" i="1"/>
  <c r="O152" i="1"/>
  <c r="N152" i="1"/>
  <c r="AD151" i="1"/>
  <c r="AB151" i="1"/>
  <c r="AC151" i="1" s="1"/>
  <c r="AA151" i="1"/>
  <c r="Y151" i="1"/>
  <c r="Z151" i="1" s="1"/>
  <c r="W151" i="1"/>
  <c r="X151" i="1" s="1"/>
  <c r="V151" i="1"/>
  <c r="T151" i="1"/>
  <c r="S151" i="1"/>
  <c r="R151" i="1"/>
  <c r="Q151" i="1"/>
  <c r="P151" i="1"/>
  <c r="O151" i="1"/>
  <c r="N151" i="1"/>
  <c r="AA150" i="1"/>
  <c r="Y150" i="1"/>
  <c r="W150" i="1"/>
  <c r="V150" i="1"/>
  <c r="X150" i="1" s="1"/>
  <c r="T150" i="1"/>
  <c r="U150" i="1" s="1"/>
  <c r="S150" i="1"/>
  <c r="R150" i="1"/>
  <c r="P150" i="1"/>
  <c r="O150" i="1"/>
  <c r="Q150" i="1" s="1"/>
  <c r="N150" i="1"/>
  <c r="AD149" i="1"/>
  <c r="AC149" i="1"/>
  <c r="AA149" i="1"/>
  <c r="Y149" i="1"/>
  <c r="Z149" i="1" s="1"/>
  <c r="AB149" i="1" s="1"/>
  <c r="W149" i="1"/>
  <c r="X149" i="1" s="1"/>
  <c r="V149" i="1"/>
  <c r="U149" i="1"/>
  <c r="T149" i="1"/>
  <c r="S149" i="1"/>
  <c r="R149" i="1"/>
  <c r="Q149" i="1"/>
  <c r="P149" i="1"/>
  <c r="O149" i="1"/>
  <c r="N149" i="1"/>
  <c r="AD148" i="1"/>
  <c r="AB148" i="1"/>
  <c r="AC148" i="1" s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AA147" i="1"/>
  <c r="Y147" i="1"/>
  <c r="W147" i="1"/>
  <c r="V147" i="1"/>
  <c r="X147" i="1" s="1"/>
  <c r="T147" i="1"/>
  <c r="S147" i="1"/>
  <c r="U147" i="1" s="1"/>
  <c r="R147" i="1"/>
  <c r="Q147" i="1"/>
  <c r="P147" i="1"/>
  <c r="O147" i="1"/>
  <c r="N147" i="1"/>
  <c r="AD146" i="1"/>
  <c r="AA146" i="1"/>
  <c r="Y146" i="1"/>
  <c r="Z146" i="1" s="1"/>
  <c r="AB146" i="1" s="1"/>
  <c r="AC146" i="1" s="1"/>
  <c r="X146" i="1"/>
  <c r="W146" i="1"/>
  <c r="V146" i="1"/>
  <c r="U146" i="1"/>
  <c r="T146" i="1"/>
  <c r="S146" i="1"/>
  <c r="R146" i="1"/>
  <c r="P146" i="1"/>
  <c r="O146" i="1"/>
  <c r="Q146" i="1" s="1"/>
  <c r="N146" i="1"/>
  <c r="AD145" i="1"/>
  <c r="AC145" i="1"/>
  <c r="AA145" i="1"/>
  <c r="Z145" i="1"/>
  <c r="AB145" i="1" s="1"/>
  <c r="Y145" i="1"/>
  <c r="W145" i="1"/>
  <c r="X145" i="1" s="1"/>
  <c r="V145" i="1"/>
  <c r="U145" i="1"/>
  <c r="T145" i="1"/>
  <c r="S145" i="1"/>
  <c r="R145" i="1"/>
  <c r="Q145" i="1"/>
  <c r="O145" i="1"/>
  <c r="P145" i="1" s="1"/>
  <c r="N145" i="1"/>
  <c r="AB144" i="1"/>
  <c r="AC144" i="1" s="1"/>
  <c r="AA144" i="1"/>
  <c r="Z144" i="1"/>
  <c r="Y144" i="1"/>
  <c r="AD144" i="1" s="1"/>
  <c r="W144" i="1"/>
  <c r="V144" i="1"/>
  <c r="X144" i="1" s="1"/>
  <c r="T144" i="1"/>
  <c r="S144" i="1"/>
  <c r="U144" i="1" s="1"/>
  <c r="R144" i="1"/>
  <c r="Q144" i="1"/>
  <c r="P144" i="1"/>
  <c r="O144" i="1"/>
  <c r="N144" i="1"/>
  <c r="AA143" i="1"/>
  <c r="Y143" i="1"/>
  <c r="AD143" i="1" s="1"/>
  <c r="X143" i="1"/>
  <c r="W143" i="1"/>
  <c r="V143" i="1"/>
  <c r="U143" i="1"/>
  <c r="T143" i="1"/>
  <c r="S143" i="1"/>
  <c r="R143" i="1"/>
  <c r="O143" i="1"/>
  <c r="N143" i="1"/>
  <c r="AD142" i="1"/>
  <c r="AA142" i="1"/>
  <c r="Z142" i="1"/>
  <c r="AB142" i="1" s="1"/>
  <c r="AC142" i="1" s="1"/>
  <c r="Y142" i="1"/>
  <c r="X142" i="1"/>
  <c r="W142" i="1"/>
  <c r="V142" i="1"/>
  <c r="T142" i="1"/>
  <c r="U142" i="1" s="1"/>
  <c r="S142" i="1"/>
  <c r="R142" i="1"/>
  <c r="Q142" i="1"/>
  <c r="O142" i="1"/>
  <c r="P142" i="1" s="1"/>
  <c r="N142" i="1"/>
  <c r="AA141" i="1"/>
  <c r="Y141" i="1"/>
  <c r="W141" i="1"/>
  <c r="V141" i="1"/>
  <c r="X141" i="1" s="1"/>
  <c r="T141" i="1"/>
  <c r="S141" i="1"/>
  <c r="U141" i="1" s="1"/>
  <c r="R141" i="1"/>
  <c r="Q141" i="1"/>
  <c r="P141" i="1"/>
  <c r="O141" i="1"/>
  <c r="N141" i="1"/>
  <c r="AD140" i="1"/>
  <c r="AA140" i="1"/>
  <c r="Y140" i="1"/>
  <c r="Z140" i="1" s="1"/>
  <c r="AB140" i="1" s="1"/>
  <c r="AC140" i="1" s="1"/>
  <c r="X140" i="1"/>
  <c r="W140" i="1"/>
  <c r="V140" i="1"/>
  <c r="T140" i="1"/>
  <c r="S140" i="1"/>
  <c r="U140" i="1" s="1"/>
  <c r="R140" i="1"/>
  <c r="O140" i="1"/>
  <c r="Q140" i="1" s="1"/>
  <c r="N140" i="1"/>
  <c r="AD139" i="1"/>
  <c r="AC139" i="1"/>
  <c r="AA139" i="1"/>
  <c r="Z139" i="1"/>
  <c r="AB139" i="1" s="1"/>
  <c r="Y139" i="1"/>
  <c r="W139" i="1"/>
  <c r="X139" i="1" s="1"/>
  <c r="V139" i="1"/>
  <c r="T139" i="1"/>
  <c r="U139" i="1" s="1"/>
  <c r="S139" i="1"/>
  <c r="R139" i="1"/>
  <c r="Q139" i="1"/>
  <c r="O139" i="1"/>
  <c r="P139" i="1" s="1"/>
  <c r="N139" i="1"/>
  <c r="AA138" i="1"/>
  <c r="Y138" i="1"/>
  <c r="AD138" i="1" s="1"/>
  <c r="W138" i="1"/>
  <c r="V138" i="1"/>
  <c r="X138" i="1" s="1"/>
  <c r="T138" i="1"/>
  <c r="S138" i="1"/>
  <c r="U138" i="1" s="1"/>
  <c r="R138" i="1"/>
  <c r="Q138" i="1"/>
  <c r="P138" i="1"/>
  <c r="O138" i="1"/>
  <c r="N138" i="1"/>
  <c r="AD137" i="1"/>
  <c r="AA137" i="1"/>
  <c r="Y137" i="1"/>
  <c r="Z137" i="1" s="1"/>
  <c r="AB137" i="1" s="1"/>
  <c r="AC137" i="1" s="1"/>
  <c r="W137" i="1"/>
  <c r="V137" i="1"/>
  <c r="X137" i="1" s="1"/>
  <c r="U137" i="1"/>
  <c r="T137" i="1"/>
  <c r="S137" i="1"/>
  <c r="R137" i="1"/>
  <c r="O137" i="1"/>
  <c r="N137" i="1"/>
  <c r="AA136" i="1"/>
  <c r="Z136" i="1"/>
  <c r="AB136" i="1" s="1"/>
  <c r="AC136" i="1" s="1"/>
  <c r="Y136" i="1"/>
  <c r="AD136" i="1" s="1"/>
  <c r="W136" i="1"/>
  <c r="X136" i="1" s="1"/>
  <c r="V136" i="1"/>
  <c r="T136" i="1"/>
  <c r="U136" i="1" s="1"/>
  <c r="S136" i="1"/>
  <c r="R136" i="1"/>
  <c r="O136" i="1"/>
  <c r="Q136" i="1" s="1"/>
  <c r="N136" i="1"/>
  <c r="AA135" i="1"/>
  <c r="Y135" i="1"/>
  <c r="W135" i="1"/>
  <c r="V135" i="1"/>
  <c r="X135" i="1" s="1"/>
  <c r="T135" i="1"/>
  <c r="S135" i="1"/>
  <c r="U135" i="1" s="1"/>
  <c r="R135" i="1"/>
  <c r="Q135" i="1"/>
  <c r="P135" i="1"/>
  <c r="O135" i="1"/>
  <c r="N135" i="1"/>
  <c r="AD134" i="1"/>
  <c r="AA134" i="1"/>
  <c r="Y134" i="1"/>
  <c r="Z134" i="1" s="1"/>
  <c r="AB134" i="1" s="1"/>
  <c r="AC134" i="1" s="1"/>
  <c r="X134" i="1"/>
  <c r="W134" i="1"/>
  <c r="V134" i="1"/>
  <c r="U134" i="1"/>
  <c r="T134" i="1"/>
  <c r="S134" i="1"/>
  <c r="R134" i="1"/>
  <c r="P134" i="1"/>
  <c r="O134" i="1"/>
  <c r="Q134" i="1" s="1"/>
  <c r="N134" i="1"/>
  <c r="AD133" i="1"/>
  <c r="AA133" i="1"/>
  <c r="Z133" i="1"/>
  <c r="AB133" i="1" s="1"/>
  <c r="AC133" i="1" s="1"/>
  <c r="Y133" i="1"/>
  <c r="W133" i="1"/>
  <c r="X133" i="1" s="1"/>
  <c r="V133" i="1"/>
  <c r="U133" i="1"/>
  <c r="T133" i="1"/>
  <c r="S133" i="1"/>
  <c r="R133" i="1"/>
  <c r="Q133" i="1"/>
  <c r="O133" i="1"/>
  <c r="P133" i="1" s="1"/>
  <c r="N133" i="1"/>
  <c r="AB132" i="1"/>
  <c r="AC132" i="1" s="1"/>
  <c r="AA132" i="1"/>
  <c r="Z132" i="1"/>
  <c r="Y132" i="1"/>
  <c r="AD132" i="1" s="1"/>
  <c r="W132" i="1"/>
  <c r="V132" i="1"/>
  <c r="X132" i="1" s="1"/>
  <c r="T132" i="1"/>
  <c r="S132" i="1"/>
  <c r="U132" i="1" s="1"/>
  <c r="R132" i="1"/>
  <c r="Q132" i="1"/>
  <c r="P132" i="1"/>
  <c r="O132" i="1"/>
  <c r="N132" i="1"/>
  <c r="AA131" i="1"/>
  <c r="Y131" i="1"/>
  <c r="AD131" i="1" s="1"/>
  <c r="X131" i="1"/>
  <c r="W131" i="1"/>
  <c r="V131" i="1"/>
  <c r="U131" i="1"/>
  <c r="T131" i="1"/>
  <c r="S131" i="1"/>
  <c r="R131" i="1"/>
  <c r="O131" i="1"/>
  <c r="N131" i="1"/>
  <c r="AD130" i="1"/>
  <c r="AA130" i="1"/>
  <c r="Z130" i="1"/>
  <c r="AB130" i="1" s="1"/>
  <c r="AC130" i="1" s="1"/>
  <c r="Y130" i="1"/>
  <c r="X130" i="1"/>
  <c r="W130" i="1"/>
  <c r="V130" i="1"/>
  <c r="T130" i="1"/>
  <c r="U130" i="1" s="1"/>
  <c r="S130" i="1"/>
  <c r="R130" i="1"/>
  <c r="Q130" i="1"/>
  <c r="O130" i="1"/>
  <c r="P130" i="1" s="1"/>
  <c r="N130" i="1"/>
  <c r="AA129" i="1"/>
  <c r="Y129" i="1"/>
  <c r="W129" i="1"/>
  <c r="V129" i="1"/>
  <c r="X129" i="1" s="1"/>
  <c r="T129" i="1"/>
  <c r="S129" i="1"/>
  <c r="U129" i="1" s="1"/>
  <c r="R129" i="1"/>
  <c r="Q129" i="1"/>
  <c r="P129" i="1"/>
  <c r="O129" i="1"/>
  <c r="N129" i="1"/>
  <c r="AD128" i="1"/>
  <c r="AA128" i="1"/>
  <c r="Y128" i="1"/>
  <c r="Z128" i="1" s="1"/>
  <c r="AB128" i="1" s="1"/>
  <c r="AC128" i="1" s="1"/>
  <c r="X128" i="1"/>
  <c r="W128" i="1"/>
  <c r="V128" i="1"/>
  <c r="T128" i="1"/>
  <c r="S128" i="1"/>
  <c r="U128" i="1" s="1"/>
  <c r="R128" i="1"/>
  <c r="O128" i="1"/>
  <c r="Q128" i="1" s="1"/>
  <c r="N128" i="1"/>
  <c r="AD127" i="1"/>
  <c r="AC127" i="1"/>
  <c r="AA127" i="1"/>
  <c r="Z127" i="1"/>
  <c r="AB127" i="1" s="1"/>
  <c r="Y127" i="1"/>
  <c r="W127" i="1"/>
  <c r="X127" i="1" s="1"/>
  <c r="V127" i="1"/>
  <c r="T127" i="1"/>
  <c r="U127" i="1" s="1"/>
  <c r="S127" i="1"/>
  <c r="R127" i="1"/>
  <c r="Q127" i="1"/>
  <c r="O127" i="1"/>
  <c r="P127" i="1" s="1"/>
  <c r="N127" i="1"/>
  <c r="AA126" i="1"/>
  <c r="Y126" i="1"/>
  <c r="AD126" i="1" s="1"/>
  <c r="W126" i="1"/>
  <c r="V126" i="1"/>
  <c r="X126" i="1" s="1"/>
  <c r="T126" i="1"/>
  <c r="S126" i="1"/>
  <c r="U126" i="1" s="1"/>
  <c r="R126" i="1"/>
  <c r="Q126" i="1"/>
  <c r="P126" i="1"/>
  <c r="O126" i="1"/>
  <c r="N126" i="1"/>
  <c r="AD125" i="1"/>
  <c r="AA125" i="1"/>
  <c r="Y125" i="1"/>
  <c r="Z125" i="1" s="1"/>
  <c r="AB125" i="1" s="1"/>
  <c r="AC125" i="1" s="1"/>
  <c r="W125" i="1"/>
  <c r="V125" i="1"/>
  <c r="X125" i="1" s="1"/>
  <c r="U125" i="1"/>
  <c r="T125" i="1"/>
  <c r="S125" i="1"/>
  <c r="R125" i="1"/>
  <c r="O125" i="1"/>
  <c r="N125" i="1"/>
  <c r="AD124" i="1"/>
  <c r="AA124" i="1"/>
  <c r="Z124" i="1"/>
  <c r="AB124" i="1" s="1"/>
  <c r="AC124" i="1" s="1"/>
  <c r="Y124" i="1"/>
  <c r="W124" i="1"/>
  <c r="X124" i="1" s="1"/>
  <c r="V124" i="1"/>
  <c r="T124" i="1"/>
  <c r="U124" i="1" s="1"/>
  <c r="S124" i="1"/>
  <c r="R124" i="1"/>
  <c r="O124" i="1"/>
  <c r="Q124" i="1" s="1"/>
  <c r="N124" i="1"/>
  <c r="AA123" i="1"/>
  <c r="Y123" i="1"/>
  <c r="W123" i="1"/>
  <c r="V123" i="1"/>
  <c r="X123" i="1" s="1"/>
  <c r="T123" i="1"/>
  <c r="S123" i="1"/>
  <c r="U123" i="1" s="1"/>
  <c r="R123" i="1"/>
  <c r="Q123" i="1"/>
  <c r="P123" i="1"/>
  <c r="O123" i="1"/>
  <c r="N123" i="1"/>
  <c r="AD122" i="1"/>
  <c r="AA122" i="1"/>
  <c r="Y122" i="1"/>
  <c r="Z122" i="1" s="1"/>
  <c r="AB122" i="1" s="1"/>
  <c r="AC122" i="1" s="1"/>
  <c r="X122" i="1"/>
  <c r="W122" i="1"/>
  <c r="V122" i="1"/>
  <c r="U122" i="1"/>
  <c r="T122" i="1"/>
  <c r="S122" i="1"/>
  <c r="R122" i="1"/>
  <c r="P122" i="1"/>
  <c r="O122" i="1"/>
  <c r="Q122" i="1" s="1"/>
  <c r="N122" i="1"/>
  <c r="AD121" i="1"/>
  <c r="AA121" i="1"/>
  <c r="Z121" i="1"/>
  <c r="AB121" i="1" s="1"/>
  <c r="AC121" i="1" s="1"/>
  <c r="Y121" i="1"/>
  <c r="W121" i="1"/>
  <c r="X121" i="1" s="1"/>
  <c r="V121" i="1"/>
  <c r="U121" i="1"/>
  <c r="T121" i="1"/>
  <c r="S121" i="1"/>
  <c r="R121" i="1"/>
  <c r="Q121" i="1"/>
  <c r="O121" i="1"/>
  <c r="P121" i="1" s="1"/>
  <c r="N121" i="1"/>
  <c r="AB120" i="1"/>
  <c r="AC120" i="1" s="1"/>
  <c r="AA120" i="1"/>
  <c r="Z120" i="1"/>
  <c r="Y120" i="1"/>
  <c r="AD120" i="1" s="1"/>
  <c r="W120" i="1"/>
  <c r="V120" i="1"/>
  <c r="X120" i="1" s="1"/>
  <c r="T120" i="1"/>
  <c r="S120" i="1"/>
  <c r="U120" i="1" s="1"/>
  <c r="R120" i="1"/>
  <c r="Q120" i="1"/>
  <c r="P120" i="1"/>
  <c r="O120" i="1"/>
  <c r="N120" i="1"/>
  <c r="AA119" i="1"/>
  <c r="Y119" i="1"/>
  <c r="AD119" i="1" s="1"/>
  <c r="X119" i="1"/>
  <c r="W119" i="1"/>
  <c r="V119" i="1"/>
  <c r="U119" i="1"/>
  <c r="T119" i="1"/>
  <c r="S119" i="1"/>
  <c r="R119" i="1"/>
  <c r="O119" i="1"/>
  <c r="N119" i="1"/>
  <c r="AD118" i="1"/>
  <c r="AA118" i="1"/>
  <c r="Z118" i="1"/>
  <c r="AB118" i="1" s="1"/>
  <c r="AC118" i="1" s="1"/>
  <c r="Y118" i="1"/>
  <c r="X118" i="1"/>
  <c r="W118" i="1"/>
  <c r="V118" i="1"/>
  <c r="T118" i="1"/>
  <c r="U118" i="1" s="1"/>
  <c r="S118" i="1"/>
  <c r="R118" i="1"/>
  <c r="Q118" i="1"/>
  <c r="O118" i="1"/>
  <c r="P118" i="1" s="1"/>
  <c r="N118" i="1"/>
  <c r="AA117" i="1"/>
  <c r="Y117" i="1"/>
  <c r="W117" i="1"/>
  <c r="V117" i="1"/>
  <c r="X117" i="1" s="1"/>
  <c r="T117" i="1"/>
  <c r="S117" i="1"/>
  <c r="U117" i="1" s="1"/>
  <c r="R117" i="1"/>
  <c r="Q117" i="1"/>
  <c r="P117" i="1"/>
  <c r="O117" i="1"/>
  <c r="N117" i="1"/>
  <c r="AD116" i="1"/>
  <c r="AA116" i="1"/>
  <c r="Y116" i="1"/>
  <c r="Z116" i="1" s="1"/>
  <c r="AB116" i="1" s="1"/>
  <c r="AC116" i="1" s="1"/>
  <c r="X116" i="1"/>
  <c r="W116" i="1"/>
  <c r="V116" i="1"/>
  <c r="T116" i="1"/>
  <c r="S116" i="1"/>
  <c r="U116" i="1" s="1"/>
  <c r="R116" i="1"/>
  <c r="O116" i="1"/>
  <c r="Q116" i="1" s="1"/>
  <c r="N116" i="1"/>
  <c r="AD115" i="1"/>
  <c r="AC115" i="1"/>
  <c r="AA115" i="1"/>
  <c r="Z115" i="1"/>
  <c r="AB115" i="1" s="1"/>
  <c r="Y115" i="1"/>
  <c r="W115" i="1"/>
  <c r="X115" i="1" s="1"/>
  <c r="V115" i="1"/>
  <c r="T115" i="1"/>
  <c r="U115" i="1" s="1"/>
  <c r="S115" i="1"/>
  <c r="R115" i="1"/>
  <c r="Q115" i="1"/>
  <c r="O115" i="1"/>
  <c r="P115" i="1" s="1"/>
  <c r="N115" i="1"/>
  <c r="AA114" i="1"/>
  <c r="Y114" i="1"/>
  <c r="AD114" i="1" s="1"/>
  <c r="W114" i="1"/>
  <c r="V114" i="1"/>
  <c r="X114" i="1" s="1"/>
  <c r="T114" i="1"/>
  <c r="S114" i="1"/>
  <c r="U114" i="1" s="1"/>
  <c r="R114" i="1"/>
  <c r="Q114" i="1"/>
  <c r="P114" i="1"/>
  <c r="O114" i="1"/>
  <c r="N114" i="1"/>
  <c r="AD113" i="1"/>
  <c r="AA113" i="1"/>
  <c r="Y113" i="1"/>
  <c r="Z113" i="1" s="1"/>
  <c r="AB113" i="1" s="1"/>
  <c r="AC113" i="1" s="1"/>
  <c r="W113" i="1"/>
  <c r="V113" i="1"/>
  <c r="X113" i="1" s="1"/>
  <c r="U113" i="1"/>
  <c r="T113" i="1"/>
  <c r="S113" i="1"/>
  <c r="R113" i="1"/>
  <c r="O113" i="1"/>
  <c r="N113" i="1"/>
  <c r="AD112" i="1"/>
  <c r="AA112" i="1"/>
  <c r="Z112" i="1"/>
  <c r="AB112" i="1" s="1"/>
  <c r="AC112" i="1" s="1"/>
  <c r="Y112" i="1"/>
  <c r="W112" i="1"/>
  <c r="X112" i="1" s="1"/>
  <c r="V112" i="1"/>
  <c r="T112" i="1"/>
  <c r="U112" i="1" s="1"/>
  <c r="S112" i="1"/>
  <c r="R112" i="1"/>
  <c r="O112" i="1"/>
  <c r="Q112" i="1" s="1"/>
  <c r="N112" i="1"/>
  <c r="AA111" i="1"/>
  <c r="Y111" i="1"/>
  <c r="W111" i="1"/>
  <c r="V111" i="1"/>
  <c r="X111" i="1" s="1"/>
  <c r="T111" i="1"/>
  <c r="S111" i="1"/>
  <c r="U111" i="1" s="1"/>
  <c r="R111" i="1"/>
  <c r="Q111" i="1"/>
  <c r="P111" i="1"/>
  <c r="O111" i="1"/>
  <c r="N111" i="1"/>
  <c r="AD110" i="1"/>
  <c r="AA110" i="1"/>
  <c r="Y110" i="1"/>
  <c r="Z110" i="1" s="1"/>
  <c r="AB110" i="1" s="1"/>
  <c r="AC110" i="1" s="1"/>
  <c r="X110" i="1"/>
  <c r="W110" i="1"/>
  <c r="V110" i="1"/>
  <c r="U110" i="1"/>
  <c r="T110" i="1"/>
  <c r="S110" i="1"/>
  <c r="R110" i="1"/>
  <c r="P110" i="1"/>
  <c r="O110" i="1"/>
  <c r="Q110" i="1" s="1"/>
  <c r="N110" i="1"/>
  <c r="AD109" i="1"/>
  <c r="AA109" i="1"/>
  <c r="Z109" i="1"/>
  <c r="AB109" i="1" s="1"/>
  <c r="AC109" i="1" s="1"/>
  <c r="Y109" i="1"/>
  <c r="W109" i="1"/>
  <c r="X109" i="1" s="1"/>
  <c r="V109" i="1"/>
  <c r="U109" i="1"/>
  <c r="T109" i="1"/>
  <c r="S109" i="1"/>
  <c r="R109" i="1"/>
  <c r="Q109" i="1"/>
  <c r="O109" i="1"/>
  <c r="P109" i="1" s="1"/>
  <c r="N109" i="1"/>
  <c r="AB108" i="1"/>
  <c r="AC108" i="1" s="1"/>
  <c r="AA108" i="1"/>
  <c r="Z108" i="1"/>
  <c r="Y108" i="1"/>
  <c r="AD108" i="1" s="1"/>
  <c r="W108" i="1"/>
  <c r="V108" i="1"/>
  <c r="X108" i="1" s="1"/>
  <c r="T108" i="1"/>
  <c r="S108" i="1"/>
  <c r="U108" i="1" s="1"/>
  <c r="R108" i="1"/>
  <c r="Q108" i="1"/>
  <c r="P108" i="1"/>
  <c r="O108" i="1"/>
  <c r="N108" i="1"/>
  <c r="AA107" i="1"/>
  <c r="Y107" i="1"/>
  <c r="AD107" i="1" s="1"/>
  <c r="X107" i="1"/>
  <c r="W107" i="1"/>
  <c r="V107" i="1"/>
  <c r="U107" i="1"/>
  <c r="T107" i="1"/>
  <c r="S107" i="1"/>
  <c r="R107" i="1"/>
  <c r="O107" i="1"/>
  <c r="N107" i="1"/>
  <c r="AD106" i="1"/>
  <c r="AA106" i="1"/>
  <c r="Z106" i="1"/>
  <c r="AB106" i="1" s="1"/>
  <c r="AC106" i="1" s="1"/>
  <c r="Y106" i="1"/>
  <c r="X106" i="1"/>
  <c r="W106" i="1"/>
  <c r="V106" i="1"/>
  <c r="T106" i="1"/>
  <c r="U106" i="1" s="1"/>
  <c r="S106" i="1"/>
  <c r="R106" i="1"/>
  <c r="Q106" i="1"/>
  <c r="O106" i="1"/>
  <c r="P106" i="1" s="1"/>
  <c r="N106" i="1"/>
  <c r="AA105" i="1"/>
  <c r="Y105" i="1"/>
  <c r="W105" i="1"/>
  <c r="V105" i="1"/>
  <c r="X105" i="1" s="1"/>
  <c r="T105" i="1"/>
  <c r="S105" i="1"/>
  <c r="U105" i="1" s="1"/>
  <c r="R105" i="1"/>
  <c r="Q105" i="1"/>
  <c r="P105" i="1"/>
  <c r="O105" i="1"/>
  <c r="N105" i="1"/>
  <c r="AD104" i="1"/>
  <c r="AA104" i="1"/>
  <c r="Y104" i="1"/>
  <c r="Z104" i="1" s="1"/>
  <c r="AB104" i="1" s="1"/>
  <c r="AC104" i="1" s="1"/>
  <c r="X104" i="1"/>
  <c r="W104" i="1"/>
  <c r="V104" i="1"/>
  <c r="T104" i="1"/>
  <c r="S104" i="1"/>
  <c r="U104" i="1" s="1"/>
  <c r="R104" i="1"/>
  <c r="O104" i="1"/>
  <c r="Q104" i="1" s="1"/>
  <c r="N104" i="1"/>
  <c r="AD103" i="1"/>
  <c r="AC103" i="1"/>
  <c r="AA103" i="1"/>
  <c r="Z103" i="1"/>
  <c r="AB103" i="1" s="1"/>
  <c r="Y103" i="1"/>
  <c r="W103" i="1"/>
  <c r="X103" i="1" s="1"/>
  <c r="V103" i="1"/>
  <c r="T103" i="1"/>
  <c r="U103" i="1" s="1"/>
  <c r="S103" i="1"/>
  <c r="R103" i="1"/>
  <c r="Q103" i="1"/>
  <c r="O103" i="1"/>
  <c r="P103" i="1" s="1"/>
  <c r="N103" i="1"/>
  <c r="AA102" i="1"/>
  <c r="Y102" i="1"/>
  <c r="AD102" i="1" s="1"/>
  <c r="W102" i="1"/>
  <c r="V102" i="1"/>
  <c r="X102" i="1" s="1"/>
  <c r="T102" i="1"/>
  <c r="S102" i="1"/>
  <c r="U102" i="1" s="1"/>
  <c r="R102" i="1"/>
  <c r="Q102" i="1"/>
  <c r="P102" i="1"/>
  <c r="O102" i="1"/>
  <c r="N102" i="1"/>
  <c r="AD101" i="1"/>
  <c r="AA101" i="1"/>
  <c r="Y101" i="1"/>
  <c r="Z101" i="1" s="1"/>
  <c r="AB101" i="1" s="1"/>
  <c r="AC101" i="1" s="1"/>
  <c r="W101" i="1"/>
  <c r="V101" i="1"/>
  <c r="X101" i="1" s="1"/>
  <c r="U101" i="1"/>
  <c r="T101" i="1"/>
  <c r="S101" i="1"/>
  <c r="R101" i="1"/>
  <c r="O101" i="1"/>
  <c r="N101" i="1"/>
  <c r="AD100" i="1"/>
  <c r="AA100" i="1"/>
  <c r="Z100" i="1"/>
  <c r="AB100" i="1" s="1"/>
  <c r="AC100" i="1" s="1"/>
  <c r="Y100" i="1"/>
  <c r="W100" i="1"/>
  <c r="X100" i="1" s="1"/>
  <c r="V100" i="1"/>
  <c r="T100" i="1"/>
  <c r="U100" i="1" s="1"/>
  <c r="S100" i="1"/>
  <c r="R100" i="1"/>
  <c r="O100" i="1"/>
  <c r="Q100" i="1" s="1"/>
  <c r="N100" i="1"/>
  <c r="AA99" i="1"/>
  <c r="Y99" i="1"/>
  <c r="W99" i="1"/>
  <c r="V99" i="1"/>
  <c r="X99" i="1" s="1"/>
  <c r="T99" i="1"/>
  <c r="S99" i="1"/>
  <c r="U99" i="1" s="1"/>
  <c r="R99" i="1"/>
  <c r="Q99" i="1"/>
  <c r="P99" i="1"/>
  <c r="O99" i="1"/>
  <c r="N99" i="1"/>
  <c r="AD98" i="1"/>
  <c r="AA98" i="1"/>
  <c r="Y98" i="1"/>
  <c r="Z98" i="1" s="1"/>
  <c r="AB98" i="1" s="1"/>
  <c r="AC98" i="1" s="1"/>
  <c r="X98" i="1"/>
  <c r="W98" i="1"/>
  <c r="V98" i="1"/>
  <c r="U98" i="1"/>
  <c r="T98" i="1"/>
  <c r="S98" i="1"/>
  <c r="R98" i="1"/>
  <c r="P98" i="1"/>
  <c r="O98" i="1"/>
  <c r="Q98" i="1" s="1"/>
  <c r="N98" i="1"/>
  <c r="AD97" i="1"/>
  <c r="AA97" i="1"/>
  <c r="Z97" i="1"/>
  <c r="AB97" i="1" s="1"/>
  <c r="AC97" i="1" s="1"/>
  <c r="Y97" i="1"/>
  <c r="W97" i="1"/>
  <c r="X97" i="1" s="1"/>
  <c r="V97" i="1"/>
  <c r="U97" i="1"/>
  <c r="T97" i="1"/>
  <c r="S97" i="1"/>
  <c r="R97" i="1"/>
  <c r="Q97" i="1"/>
  <c r="O97" i="1"/>
  <c r="P97" i="1" s="1"/>
  <c r="N97" i="1"/>
  <c r="AB96" i="1"/>
  <c r="AC96" i="1" s="1"/>
  <c r="AA96" i="1"/>
  <c r="Z96" i="1"/>
  <c r="Y96" i="1"/>
  <c r="AD96" i="1" s="1"/>
  <c r="W96" i="1"/>
  <c r="V96" i="1"/>
  <c r="X96" i="1" s="1"/>
  <c r="T96" i="1"/>
  <c r="S96" i="1"/>
  <c r="U96" i="1" s="1"/>
  <c r="R96" i="1"/>
  <c r="Q96" i="1"/>
  <c r="P96" i="1"/>
  <c r="O96" i="1"/>
  <c r="N96" i="1"/>
  <c r="AA95" i="1"/>
  <c r="Y95" i="1"/>
  <c r="AD95" i="1" s="1"/>
  <c r="X95" i="1"/>
  <c r="W95" i="1"/>
  <c r="V95" i="1"/>
  <c r="U95" i="1"/>
  <c r="T95" i="1"/>
  <c r="S95" i="1"/>
  <c r="R95" i="1"/>
  <c r="O95" i="1"/>
  <c r="N95" i="1"/>
  <c r="AD94" i="1"/>
  <c r="AA94" i="1"/>
  <c r="Z94" i="1"/>
  <c r="AB94" i="1" s="1"/>
  <c r="AC94" i="1" s="1"/>
  <c r="Y94" i="1"/>
  <c r="X94" i="1"/>
  <c r="W94" i="1"/>
  <c r="V94" i="1"/>
  <c r="T94" i="1"/>
  <c r="U94" i="1" s="1"/>
  <c r="S94" i="1"/>
  <c r="R94" i="1"/>
  <c r="Q94" i="1"/>
  <c r="O94" i="1"/>
  <c r="P94" i="1" s="1"/>
  <c r="N94" i="1"/>
  <c r="AA93" i="1"/>
  <c r="Y93" i="1"/>
  <c r="W93" i="1"/>
  <c r="V93" i="1"/>
  <c r="X93" i="1" s="1"/>
  <c r="T93" i="1"/>
  <c r="S93" i="1"/>
  <c r="U93" i="1" s="1"/>
  <c r="R93" i="1"/>
  <c r="Q93" i="1"/>
  <c r="P93" i="1"/>
  <c r="O93" i="1"/>
  <c r="N93" i="1"/>
  <c r="AD92" i="1"/>
  <c r="AA92" i="1"/>
  <c r="Y92" i="1"/>
  <c r="Z92" i="1" s="1"/>
  <c r="AB92" i="1" s="1"/>
  <c r="AC92" i="1" s="1"/>
  <c r="X92" i="1"/>
  <c r="W92" i="1"/>
  <c r="V92" i="1"/>
  <c r="T92" i="1"/>
  <c r="S92" i="1"/>
  <c r="U92" i="1" s="1"/>
  <c r="R92" i="1"/>
  <c r="O92" i="1"/>
  <c r="Q92" i="1" s="1"/>
  <c r="N92" i="1"/>
  <c r="AD91" i="1"/>
  <c r="AC91" i="1"/>
  <c r="AA91" i="1"/>
  <c r="Z91" i="1"/>
  <c r="AB91" i="1" s="1"/>
  <c r="Y91" i="1"/>
  <c r="W91" i="1"/>
  <c r="X91" i="1" s="1"/>
  <c r="V91" i="1"/>
  <c r="T91" i="1"/>
  <c r="U91" i="1" s="1"/>
  <c r="S91" i="1"/>
  <c r="R91" i="1"/>
  <c r="Q91" i="1"/>
  <c r="O91" i="1"/>
  <c r="P91" i="1" s="1"/>
  <c r="N91" i="1"/>
  <c r="AA90" i="1"/>
  <c r="Y90" i="1"/>
  <c r="AD90" i="1" s="1"/>
  <c r="W90" i="1"/>
  <c r="V90" i="1"/>
  <c r="X90" i="1" s="1"/>
  <c r="T90" i="1"/>
  <c r="S90" i="1"/>
  <c r="U90" i="1" s="1"/>
  <c r="R90" i="1"/>
  <c r="Q90" i="1"/>
  <c r="P90" i="1"/>
  <c r="O90" i="1"/>
  <c r="N90" i="1"/>
  <c r="AD89" i="1"/>
  <c r="AA89" i="1"/>
  <c r="Y89" i="1"/>
  <c r="Z89" i="1" s="1"/>
  <c r="AB89" i="1" s="1"/>
  <c r="AC89" i="1" s="1"/>
  <c r="W89" i="1"/>
  <c r="V89" i="1"/>
  <c r="X89" i="1" s="1"/>
  <c r="U89" i="1"/>
  <c r="T89" i="1"/>
  <c r="S89" i="1"/>
  <c r="R89" i="1"/>
  <c r="O89" i="1"/>
  <c r="N89" i="1"/>
  <c r="AD88" i="1"/>
  <c r="AA88" i="1"/>
  <c r="Z88" i="1"/>
  <c r="AB88" i="1" s="1"/>
  <c r="AC88" i="1" s="1"/>
  <c r="Y88" i="1"/>
  <c r="W88" i="1"/>
  <c r="X88" i="1" s="1"/>
  <c r="V88" i="1"/>
  <c r="T88" i="1"/>
  <c r="U88" i="1" s="1"/>
  <c r="S88" i="1"/>
  <c r="R88" i="1"/>
  <c r="O88" i="1"/>
  <c r="Q88" i="1" s="1"/>
  <c r="N88" i="1"/>
  <c r="AA87" i="1"/>
  <c r="Y87" i="1"/>
  <c r="W87" i="1"/>
  <c r="V87" i="1"/>
  <c r="X87" i="1" s="1"/>
  <c r="T87" i="1"/>
  <c r="S87" i="1"/>
  <c r="U87" i="1" s="1"/>
  <c r="R87" i="1"/>
  <c r="Q87" i="1"/>
  <c r="P87" i="1"/>
  <c r="O87" i="1"/>
  <c r="N87" i="1"/>
  <c r="AD86" i="1"/>
  <c r="AA86" i="1"/>
  <c r="Y86" i="1"/>
  <c r="Z86" i="1" s="1"/>
  <c r="AB86" i="1" s="1"/>
  <c r="AC86" i="1" s="1"/>
  <c r="X86" i="1"/>
  <c r="W86" i="1"/>
  <c r="V86" i="1"/>
  <c r="U86" i="1"/>
  <c r="T86" i="1"/>
  <c r="S86" i="1"/>
  <c r="R86" i="1"/>
  <c r="P86" i="1"/>
  <c r="O86" i="1"/>
  <c r="Q86" i="1" s="1"/>
  <c r="N86" i="1"/>
  <c r="AD85" i="1"/>
  <c r="AC85" i="1"/>
  <c r="AA85" i="1"/>
  <c r="Z85" i="1"/>
  <c r="AB85" i="1" s="1"/>
  <c r="Y85" i="1"/>
  <c r="W85" i="1"/>
  <c r="X85" i="1" s="1"/>
  <c r="V85" i="1"/>
  <c r="U85" i="1"/>
  <c r="T85" i="1"/>
  <c r="S85" i="1"/>
  <c r="R85" i="1"/>
  <c r="Q85" i="1"/>
  <c r="O85" i="1"/>
  <c r="P85" i="1" s="1"/>
  <c r="N85" i="1"/>
  <c r="AB84" i="1"/>
  <c r="AC84" i="1" s="1"/>
  <c r="AA84" i="1"/>
  <c r="Z84" i="1"/>
  <c r="Y84" i="1"/>
  <c r="AD84" i="1" s="1"/>
  <c r="W84" i="1"/>
  <c r="V84" i="1"/>
  <c r="X84" i="1" s="1"/>
  <c r="T84" i="1"/>
  <c r="S84" i="1"/>
  <c r="U84" i="1" s="1"/>
  <c r="R84" i="1"/>
  <c r="Q84" i="1"/>
  <c r="P84" i="1"/>
  <c r="O84" i="1"/>
  <c r="N84" i="1"/>
  <c r="AA83" i="1"/>
  <c r="Y83" i="1"/>
  <c r="AD83" i="1" s="1"/>
  <c r="X83" i="1"/>
  <c r="W83" i="1"/>
  <c r="V83" i="1"/>
  <c r="U83" i="1"/>
  <c r="T83" i="1"/>
  <c r="S83" i="1"/>
  <c r="R83" i="1"/>
  <c r="O83" i="1"/>
  <c r="N83" i="1"/>
  <c r="AD82" i="1"/>
  <c r="AA82" i="1"/>
  <c r="Z82" i="1"/>
  <c r="AB82" i="1" s="1"/>
  <c r="AC82" i="1" s="1"/>
  <c r="Y82" i="1"/>
  <c r="X82" i="1"/>
  <c r="W82" i="1"/>
  <c r="V82" i="1"/>
  <c r="T82" i="1"/>
  <c r="U82" i="1" s="1"/>
  <c r="S82" i="1"/>
  <c r="R82" i="1"/>
  <c r="Q82" i="1"/>
  <c r="O82" i="1"/>
  <c r="P82" i="1" s="1"/>
  <c r="N82" i="1"/>
  <c r="AA81" i="1"/>
  <c r="Y81" i="1"/>
  <c r="W81" i="1"/>
  <c r="V81" i="1"/>
  <c r="X81" i="1" s="1"/>
  <c r="T81" i="1"/>
  <c r="S81" i="1"/>
  <c r="U81" i="1" s="1"/>
  <c r="R81" i="1"/>
  <c r="Q81" i="1"/>
  <c r="P81" i="1"/>
  <c r="O81" i="1"/>
  <c r="N81" i="1"/>
  <c r="AD80" i="1"/>
  <c r="AA80" i="1"/>
  <c r="Y80" i="1"/>
  <c r="Z80" i="1" s="1"/>
  <c r="AB80" i="1" s="1"/>
  <c r="AC80" i="1" s="1"/>
  <c r="X80" i="1"/>
  <c r="W80" i="1"/>
  <c r="V80" i="1"/>
  <c r="T80" i="1"/>
  <c r="S80" i="1"/>
  <c r="U80" i="1" s="1"/>
  <c r="R80" i="1"/>
  <c r="O80" i="1"/>
  <c r="N80" i="1"/>
  <c r="AD79" i="1"/>
  <c r="AA79" i="1"/>
  <c r="Z79" i="1"/>
  <c r="AB79" i="1" s="1"/>
  <c r="AC79" i="1" s="1"/>
  <c r="Y79" i="1"/>
  <c r="W79" i="1"/>
  <c r="X79" i="1" s="1"/>
  <c r="V79" i="1"/>
  <c r="T79" i="1"/>
  <c r="U79" i="1" s="1"/>
  <c r="S79" i="1"/>
  <c r="R79" i="1"/>
  <c r="Q79" i="1"/>
  <c r="O79" i="1"/>
  <c r="P79" i="1" s="1"/>
  <c r="N79" i="1"/>
  <c r="AA78" i="1"/>
  <c r="Y78" i="1"/>
  <c r="W78" i="1"/>
  <c r="V78" i="1"/>
  <c r="X78" i="1" s="1"/>
  <c r="T78" i="1"/>
  <c r="S78" i="1"/>
  <c r="U78" i="1" s="1"/>
  <c r="R78" i="1"/>
  <c r="Q78" i="1"/>
  <c r="P78" i="1"/>
  <c r="O78" i="1"/>
  <c r="N78" i="1"/>
  <c r="AD77" i="1"/>
  <c r="AA77" i="1"/>
  <c r="Y77" i="1"/>
  <c r="Z77" i="1" s="1"/>
  <c r="AB77" i="1" s="1"/>
  <c r="AC77" i="1" s="1"/>
  <c r="W77" i="1"/>
  <c r="V77" i="1"/>
  <c r="X77" i="1" s="1"/>
  <c r="U77" i="1"/>
  <c r="T77" i="1"/>
  <c r="S77" i="1"/>
  <c r="R77" i="1"/>
  <c r="O77" i="1"/>
  <c r="N77" i="1"/>
  <c r="AD76" i="1"/>
  <c r="AA76" i="1"/>
  <c r="Z76" i="1"/>
  <c r="AB76" i="1" s="1"/>
  <c r="AC76" i="1" s="1"/>
  <c r="Y76" i="1"/>
  <c r="W76" i="1"/>
  <c r="X76" i="1" s="1"/>
  <c r="V76" i="1"/>
  <c r="T76" i="1"/>
  <c r="U76" i="1" s="1"/>
  <c r="S76" i="1"/>
  <c r="R76" i="1"/>
  <c r="O76" i="1"/>
  <c r="Q76" i="1" s="1"/>
  <c r="N76" i="1"/>
  <c r="AA75" i="1"/>
  <c r="Y75" i="1"/>
  <c r="W75" i="1"/>
  <c r="V75" i="1"/>
  <c r="X75" i="1" s="1"/>
  <c r="T75" i="1"/>
  <c r="S75" i="1"/>
  <c r="U75" i="1" s="1"/>
  <c r="R75" i="1"/>
  <c r="Q75" i="1"/>
  <c r="P75" i="1"/>
  <c r="O75" i="1"/>
  <c r="N75" i="1"/>
  <c r="AD74" i="1"/>
  <c r="AA74" i="1"/>
  <c r="Y74" i="1"/>
  <c r="Z74" i="1" s="1"/>
  <c r="AB74" i="1" s="1"/>
  <c r="AC74" i="1" s="1"/>
  <c r="X74" i="1"/>
  <c r="W74" i="1"/>
  <c r="V74" i="1"/>
  <c r="U74" i="1"/>
  <c r="T74" i="1"/>
  <c r="S74" i="1"/>
  <c r="R74" i="1"/>
  <c r="P74" i="1"/>
  <c r="O74" i="1"/>
  <c r="Q74" i="1" s="1"/>
  <c r="N74" i="1"/>
  <c r="AD73" i="1"/>
  <c r="AA73" i="1"/>
  <c r="Z73" i="1"/>
  <c r="AB73" i="1" s="1"/>
  <c r="AC73" i="1" s="1"/>
  <c r="Y73" i="1"/>
  <c r="W73" i="1"/>
  <c r="X73" i="1" s="1"/>
  <c r="V73" i="1"/>
  <c r="U73" i="1"/>
  <c r="T73" i="1"/>
  <c r="S73" i="1"/>
  <c r="R73" i="1"/>
  <c r="Q73" i="1"/>
  <c r="O73" i="1"/>
  <c r="P73" i="1" s="1"/>
  <c r="N73" i="1"/>
  <c r="AB72" i="1"/>
  <c r="AC72" i="1" s="1"/>
  <c r="AA72" i="1"/>
  <c r="Z72" i="1"/>
  <c r="Y72" i="1"/>
  <c r="AD72" i="1" s="1"/>
  <c r="W72" i="1"/>
  <c r="V72" i="1"/>
  <c r="X72" i="1" s="1"/>
  <c r="T72" i="1"/>
  <c r="S72" i="1"/>
  <c r="U72" i="1" s="1"/>
  <c r="R72" i="1"/>
  <c r="Q72" i="1"/>
  <c r="P72" i="1"/>
  <c r="O72" i="1"/>
  <c r="N72" i="1"/>
  <c r="AA71" i="1"/>
  <c r="Y71" i="1"/>
  <c r="AD71" i="1" s="1"/>
  <c r="X71" i="1"/>
  <c r="W71" i="1"/>
  <c r="V71" i="1"/>
  <c r="U71" i="1"/>
  <c r="T71" i="1"/>
  <c r="S71" i="1"/>
  <c r="R71" i="1"/>
  <c r="O71" i="1"/>
  <c r="N71" i="1"/>
  <c r="AD70" i="1"/>
  <c r="AC70" i="1"/>
  <c r="AA70" i="1"/>
  <c r="Z70" i="1"/>
  <c r="AB70" i="1" s="1"/>
  <c r="Y70" i="1"/>
  <c r="X70" i="1"/>
  <c r="W70" i="1"/>
  <c r="V70" i="1"/>
  <c r="T70" i="1"/>
  <c r="U70" i="1" s="1"/>
  <c r="S70" i="1"/>
  <c r="R70" i="1"/>
  <c r="Q70" i="1"/>
  <c r="O70" i="1"/>
  <c r="P70" i="1" s="1"/>
  <c r="N70" i="1"/>
  <c r="AA69" i="1"/>
  <c r="Y69" i="1"/>
  <c r="W69" i="1"/>
  <c r="V69" i="1"/>
  <c r="X69" i="1" s="1"/>
  <c r="T69" i="1"/>
  <c r="S69" i="1"/>
  <c r="U69" i="1" s="1"/>
  <c r="R69" i="1"/>
  <c r="Q69" i="1"/>
  <c r="P69" i="1"/>
  <c r="O69" i="1"/>
  <c r="N69" i="1"/>
  <c r="AD68" i="1"/>
  <c r="AA68" i="1"/>
  <c r="Y68" i="1"/>
  <c r="Z68" i="1" s="1"/>
  <c r="AB68" i="1" s="1"/>
  <c r="AC68" i="1" s="1"/>
  <c r="X68" i="1"/>
  <c r="W68" i="1"/>
  <c r="V68" i="1"/>
  <c r="T68" i="1"/>
  <c r="S68" i="1"/>
  <c r="U68" i="1" s="1"/>
  <c r="R68" i="1"/>
  <c r="O68" i="1"/>
  <c r="N68" i="1"/>
  <c r="AD67" i="1"/>
  <c r="AC67" i="1"/>
  <c r="AA67" i="1"/>
  <c r="Z67" i="1"/>
  <c r="AB67" i="1" s="1"/>
  <c r="Y67" i="1"/>
  <c r="W67" i="1"/>
  <c r="X67" i="1" s="1"/>
  <c r="V67" i="1"/>
  <c r="T67" i="1"/>
  <c r="U67" i="1" s="1"/>
  <c r="S67" i="1"/>
  <c r="R67" i="1"/>
  <c r="Q67" i="1"/>
  <c r="O67" i="1"/>
  <c r="P67" i="1" s="1"/>
  <c r="N67" i="1"/>
  <c r="AA66" i="1"/>
  <c r="Y66" i="1"/>
  <c r="W66" i="1"/>
  <c r="V66" i="1"/>
  <c r="X66" i="1" s="1"/>
  <c r="T66" i="1"/>
  <c r="S66" i="1"/>
  <c r="U66" i="1" s="1"/>
  <c r="R66" i="1"/>
  <c r="Q66" i="1"/>
  <c r="P66" i="1"/>
  <c r="O66" i="1"/>
  <c r="N66" i="1"/>
  <c r="AD65" i="1"/>
  <c r="AA65" i="1"/>
  <c r="Y65" i="1"/>
  <c r="Z65" i="1" s="1"/>
  <c r="AB65" i="1" s="1"/>
  <c r="AC65" i="1" s="1"/>
  <c r="W65" i="1"/>
  <c r="V65" i="1"/>
  <c r="X65" i="1" s="1"/>
  <c r="U65" i="1"/>
  <c r="T65" i="1"/>
  <c r="S65" i="1"/>
  <c r="R65" i="1"/>
  <c r="O65" i="1"/>
  <c r="N65" i="1"/>
  <c r="AD64" i="1"/>
  <c r="AA64" i="1"/>
  <c r="Z64" i="1"/>
  <c r="AB64" i="1" s="1"/>
  <c r="AC64" i="1" s="1"/>
  <c r="Y64" i="1"/>
  <c r="W64" i="1"/>
  <c r="X64" i="1" s="1"/>
  <c r="V64" i="1"/>
  <c r="T64" i="1"/>
  <c r="U64" i="1" s="1"/>
  <c r="S64" i="1"/>
  <c r="R64" i="1"/>
  <c r="O64" i="1"/>
  <c r="Q64" i="1" s="1"/>
  <c r="N64" i="1"/>
  <c r="AA63" i="1"/>
  <c r="Y63" i="1"/>
  <c r="W63" i="1"/>
  <c r="V63" i="1"/>
  <c r="X63" i="1" s="1"/>
  <c r="T63" i="1"/>
  <c r="S63" i="1"/>
  <c r="U63" i="1" s="1"/>
  <c r="R63" i="1"/>
  <c r="Q63" i="1"/>
  <c r="P63" i="1"/>
  <c r="O63" i="1"/>
  <c r="N63" i="1"/>
  <c r="AD62" i="1"/>
  <c r="AA62" i="1"/>
  <c r="Y62" i="1"/>
  <c r="Z62" i="1" s="1"/>
  <c r="AB62" i="1" s="1"/>
  <c r="AC62" i="1" s="1"/>
  <c r="X62" i="1"/>
  <c r="W62" i="1"/>
  <c r="V62" i="1"/>
  <c r="U62" i="1"/>
  <c r="T62" i="1"/>
  <c r="S62" i="1"/>
  <c r="R62" i="1"/>
  <c r="P62" i="1"/>
  <c r="O62" i="1"/>
  <c r="Q62" i="1" s="1"/>
  <c r="N62" i="1"/>
  <c r="AD61" i="1"/>
  <c r="AC61" i="1"/>
  <c r="AA61" i="1"/>
  <c r="Z61" i="1"/>
  <c r="AB61" i="1" s="1"/>
  <c r="Y61" i="1"/>
  <c r="W61" i="1"/>
  <c r="X61" i="1" s="1"/>
  <c r="V61" i="1"/>
  <c r="U61" i="1"/>
  <c r="T61" i="1"/>
  <c r="S61" i="1"/>
  <c r="R61" i="1"/>
  <c r="O61" i="1"/>
  <c r="P61" i="1" s="1"/>
  <c r="N61" i="1"/>
  <c r="AB60" i="1"/>
  <c r="AC60" i="1" s="1"/>
  <c r="AA60" i="1"/>
  <c r="Z60" i="1"/>
  <c r="Y60" i="1"/>
  <c r="AD60" i="1" s="1"/>
  <c r="W60" i="1"/>
  <c r="V60" i="1"/>
  <c r="X60" i="1" s="1"/>
  <c r="T60" i="1"/>
  <c r="S60" i="1"/>
  <c r="U60" i="1" s="1"/>
  <c r="R60" i="1"/>
  <c r="Q60" i="1"/>
  <c r="P60" i="1"/>
  <c r="O60" i="1"/>
  <c r="N60" i="1"/>
  <c r="AA59" i="1"/>
  <c r="Y59" i="1"/>
  <c r="W59" i="1"/>
  <c r="V59" i="1"/>
  <c r="X59" i="1" s="1"/>
  <c r="U59" i="1"/>
  <c r="T59" i="1"/>
  <c r="S59" i="1"/>
  <c r="R59" i="1"/>
  <c r="P59" i="1"/>
  <c r="O59" i="1"/>
  <c r="Q59" i="1" s="1"/>
  <c r="N59" i="1"/>
  <c r="AD58" i="1"/>
  <c r="AA58" i="1"/>
  <c r="Z58" i="1"/>
  <c r="AB58" i="1" s="1"/>
  <c r="AC58" i="1" s="1"/>
  <c r="Y58" i="1"/>
  <c r="X58" i="1"/>
  <c r="W58" i="1"/>
  <c r="V58" i="1"/>
  <c r="T58" i="1"/>
  <c r="U58" i="1" s="1"/>
  <c r="S58" i="1"/>
  <c r="R58" i="1"/>
  <c r="O58" i="1"/>
  <c r="P58" i="1" s="1"/>
  <c r="N58" i="1"/>
  <c r="AA57" i="1"/>
  <c r="Y57" i="1"/>
  <c r="AD57" i="1" s="1"/>
  <c r="W57" i="1"/>
  <c r="V57" i="1"/>
  <c r="X57" i="1" s="1"/>
  <c r="T57" i="1"/>
  <c r="S57" i="1"/>
  <c r="R57" i="1"/>
  <c r="Q57" i="1"/>
  <c r="P57" i="1"/>
  <c r="O57" i="1"/>
  <c r="N57" i="1"/>
  <c r="AD56" i="1"/>
  <c r="AB56" i="1"/>
  <c r="AC56" i="1" s="1"/>
  <c r="AA56" i="1"/>
  <c r="Y56" i="1"/>
  <c r="Z56" i="1" s="1"/>
  <c r="X56" i="1"/>
  <c r="W56" i="1"/>
  <c r="V56" i="1"/>
  <c r="T56" i="1"/>
  <c r="S56" i="1"/>
  <c r="U56" i="1" s="1"/>
  <c r="R56" i="1"/>
  <c r="O56" i="1"/>
  <c r="Q56" i="1" s="1"/>
  <c r="N56" i="1"/>
  <c r="AD55" i="1"/>
  <c r="AC55" i="1"/>
  <c r="AA55" i="1"/>
  <c r="Z55" i="1"/>
  <c r="AB55" i="1" s="1"/>
  <c r="Y55" i="1"/>
  <c r="W55" i="1"/>
  <c r="X55" i="1" s="1"/>
  <c r="V55" i="1"/>
  <c r="U55" i="1"/>
  <c r="T55" i="1"/>
  <c r="S55" i="1"/>
  <c r="R55" i="1"/>
  <c r="O55" i="1"/>
  <c r="P55" i="1" s="1"/>
  <c r="N55" i="1"/>
  <c r="AB54" i="1"/>
  <c r="AC54" i="1" s="1"/>
  <c r="AA54" i="1"/>
  <c r="Z54" i="1"/>
  <c r="Y54" i="1"/>
  <c r="AD54" i="1" s="1"/>
  <c r="W54" i="1"/>
  <c r="V54" i="1"/>
  <c r="T54" i="1"/>
  <c r="S54" i="1"/>
  <c r="R54" i="1"/>
  <c r="Q54" i="1"/>
  <c r="P54" i="1"/>
  <c r="O54" i="1"/>
  <c r="N54" i="1"/>
  <c r="AD53" i="1"/>
  <c r="AB53" i="1"/>
  <c r="AC53" i="1" s="1"/>
  <c r="AA53" i="1"/>
  <c r="Y53" i="1"/>
  <c r="Z53" i="1" s="1"/>
  <c r="W53" i="1"/>
  <c r="V53" i="1"/>
  <c r="X53" i="1" s="1"/>
  <c r="T53" i="1"/>
  <c r="S53" i="1"/>
  <c r="U53" i="1" s="1"/>
  <c r="R53" i="1"/>
  <c r="O53" i="1"/>
  <c r="Q53" i="1" s="1"/>
  <c r="N53" i="1"/>
  <c r="AD52" i="1"/>
  <c r="AA52" i="1"/>
  <c r="Z52" i="1"/>
  <c r="AB52" i="1" s="1"/>
  <c r="AC52" i="1" s="1"/>
  <c r="Y52" i="1"/>
  <c r="X52" i="1"/>
  <c r="W52" i="1"/>
  <c r="V52" i="1"/>
  <c r="U52" i="1"/>
  <c r="T52" i="1"/>
  <c r="S52" i="1"/>
  <c r="R52" i="1"/>
  <c r="O52" i="1"/>
  <c r="N52" i="1"/>
  <c r="AA51" i="1"/>
  <c r="Z51" i="1"/>
  <c r="AB51" i="1" s="1"/>
  <c r="AC51" i="1" s="1"/>
  <c r="Y51" i="1"/>
  <c r="AD51" i="1" s="1"/>
  <c r="W51" i="1"/>
  <c r="V51" i="1"/>
  <c r="X51" i="1" s="1"/>
  <c r="T51" i="1"/>
  <c r="S51" i="1"/>
  <c r="U51" i="1" s="1"/>
  <c r="R51" i="1"/>
  <c r="Q51" i="1"/>
  <c r="P51" i="1"/>
  <c r="O51" i="1"/>
  <c r="N51" i="1"/>
  <c r="AB50" i="1"/>
  <c r="AC50" i="1" s="1"/>
  <c r="AA50" i="1"/>
  <c r="Y50" i="1"/>
  <c r="Z50" i="1" s="1"/>
  <c r="X50" i="1"/>
  <c r="W50" i="1"/>
  <c r="V50" i="1"/>
  <c r="U50" i="1"/>
  <c r="T50" i="1"/>
  <c r="S50" i="1"/>
  <c r="R50" i="1"/>
  <c r="P50" i="1"/>
  <c r="O50" i="1"/>
  <c r="Q50" i="1" s="1"/>
  <c r="N50" i="1"/>
  <c r="AD49" i="1"/>
  <c r="AC49" i="1"/>
  <c r="AA49" i="1"/>
  <c r="Z49" i="1"/>
  <c r="AB49" i="1" s="1"/>
  <c r="Y49" i="1"/>
  <c r="X49" i="1"/>
  <c r="W49" i="1"/>
  <c r="V49" i="1"/>
  <c r="U49" i="1"/>
  <c r="T49" i="1"/>
  <c r="S49" i="1"/>
  <c r="R49" i="1"/>
  <c r="O49" i="1"/>
  <c r="P49" i="1" s="1"/>
  <c r="N49" i="1"/>
  <c r="AB48" i="1"/>
  <c r="AC48" i="1" s="1"/>
  <c r="AA48" i="1"/>
  <c r="Z48" i="1"/>
  <c r="Y48" i="1"/>
  <c r="AD48" i="1" s="1"/>
  <c r="W48" i="1"/>
  <c r="V48" i="1"/>
  <c r="X48" i="1" s="1"/>
  <c r="T48" i="1"/>
  <c r="S48" i="1"/>
  <c r="U48" i="1" s="1"/>
  <c r="R48" i="1"/>
  <c r="Q48" i="1"/>
  <c r="P48" i="1"/>
  <c r="O48" i="1"/>
  <c r="N48" i="1"/>
  <c r="AB47" i="1"/>
  <c r="AC47" i="1" s="1"/>
  <c r="AA47" i="1"/>
  <c r="Z47" i="1"/>
  <c r="Y47" i="1"/>
  <c r="AD47" i="1" s="1"/>
  <c r="W47" i="1"/>
  <c r="V47" i="1"/>
  <c r="X47" i="1" s="1"/>
  <c r="T47" i="1"/>
  <c r="S47" i="1"/>
  <c r="U47" i="1" s="1"/>
  <c r="R47" i="1"/>
  <c r="O47" i="1"/>
  <c r="Q47" i="1" s="1"/>
  <c r="N47" i="1"/>
  <c r="AD46" i="1"/>
  <c r="AC46" i="1"/>
  <c r="AA46" i="1"/>
  <c r="Z46" i="1"/>
  <c r="AB46" i="1" s="1"/>
  <c r="Y46" i="1"/>
  <c r="X46" i="1"/>
  <c r="W46" i="1"/>
  <c r="V46" i="1"/>
  <c r="T46" i="1"/>
  <c r="S46" i="1"/>
  <c r="U46" i="1" s="1"/>
  <c r="R46" i="1"/>
  <c r="Q46" i="1"/>
  <c r="O46" i="1"/>
  <c r="P46" i="1" s="1"/>
  <c r="N46" i="1"/>
  <c r="AA45" i="1"/>
  <c r="Y45" i="1"/>
  <c r="AD45" i="1" s="1"/>
  <c r="X45" i="1"/>
  <c r="W45" i="1"/>
  <c r="V45" i="1"/>
  <c r="T45" i="1"/>
  <c r="S45" i="1"/>
  <c r="R45" i="1"/>
  <c r="Q45" i="1"/>
  <c r="P45" i="1"/>
  <c r="O45" i="1"/>
  <c r="N45" i="1"/>
  <c r="AD44" i="1"/>
  <c r="AB44" i="1"/>
  <c r="AC44" i="1" s="1"/>
  <c r="AA44" i="1"/>
  <c r="Y44" i="1"/>
  <c r="Z44" i="1" s="1"/>
  <c r="X44" i="1"/>
  <c r="W44" i="1"/>
  <c r="V44" i="1"/>
  <c r="T44" i="1"/>
  <c r="S44" i="1"/>
  <c r="U44" i="1" s="1"/>
  <c r="R44" i="1"/>
  <c r="Q44" i="1"/>
  <c r="O44" i="1"/>
  <c r="P44" i="1" s="1"/>
  <c r="N44" i="1"/>
  <c r="AD43" i="1"/>
  <c r="AC43" i="1"/>
  <c r="AA43" i="1"/>
  <c r="Z43" i="1"/>
  <c r="AB43" i="1" s="1"/>
  <c r="Y43" i="1"/>
  <c r="W43" i="1"/>
  <c r="X43" i="1" s="1"/>
  <c r="V43" i="1"/>
  <c r="U43" i="1"/>
  <c r="T43" i="1"/>
  <c r="S43" i="1"/>
  <c r="R43" i="1"/>
  <c r="O43" i="1"/>
  <c r="P43" i="1" s="1"/>
  <c r="N43" i="1"/>
  <c r="AB42" i="1"/>
  <c r="AC42" i="1" s="1"/>
  <c r="AA42" i="1"/>
  <c r="Z42" i="1"/>
  <c r="Y42" i="1"/>
  <c r="AD42" i="1" s="1"/>
  <c r="W42" i="1"/>
  <c r="V42" i="1"/>
  <c r="T42" i="1"/>
  <c r="S42" i="1"/>
  <c r="U42" i="1" s="1"/>
  <c r="R42" i="1"/>
  <c r="Q42" i="1"/>
  <c r="P42" i="1"/>
  <c r="O42" i="1"/>
  <c r="N42" i="1"/>
  <c r="AA41" i="1"/>
  <c r="Y41" i="1"/>
  <c r="Z41" i="1" s="1"/>
  <c r="AB41" i="1" s="1"/>
  <c r="AC41" i="1" s="1"/>
  <c r="W41" i="1"/>
  <c r="V41" i="1"/>
  <c r="X41" i="1" s="1"/>
  <c r="U41" i="1"/>
  <c r="T41" i="1"/>
  <c r="S41" i="1"/>
  <c r="R41" i="1"/>
  <c r="O41" i="1"/>
  <c r="Q41" i="1" s="1"/>
  <c r="N41" i="1"/>
  <c r="AA40" i="1"/>
  <c r="Z40" i="1"/>
  <c r="AB40" i="1" s="1"/>
  <c r="AC40" i="1" s="1"/>
  <c r="Y40" i="1"/>
  <c r="AD40" i="1" s="1"/>
  <c r="W40" i="1"/>
  <c r="X40" i="1" s="1"/>
  <c r="V40" i="1"/>
  <c r="T40" i="1"/>
  <c r="U40" i="1" s="1"/>
  <c r="S40" i="1"/>
  <c r="R40" i="1"/>
  <c r="O40" i="1"/>
  <c r="N40" i="1"/>
  <c r="AA39" i="1"/>
  <c r="Z39" i="1"/>
  <c r="AB39" i="1" s="1"/>
  <c r="AC39" i="1" s="1"/>
  <c r="Y39" i="1"/>
  <c r="AD39" i="1" s="1"/>
  <c r="W39" i="1"/>
  <c r="V39" i="1"/>
  <c r="X39" i="1" s="1"/>
  <c r="T39" i="1"/>
  <c r="S39" i="1"/>
  <c r="U39" i="1" s="1"/>
  <c r="R39" i="1"/>
  <c r="Q39" i="1"/>
  <c r="P39" i="1"/>
  <c r="O39" i="1"/>
  <c r="N39" i="1"/>
  <c r="AD38" i="1"/>
  <c r="AB38" i="1"/>
  <c r="AC38" i="1" s="1"/>
  <c r="AA38" i="1"/>
  <c r="Y38" i="1"/>
  <c r="Z38" i="1" s="1"/>
  <c r="X38" i="1"/>
  <c r="W38" i="1"/>
  <c r="V38" i="1"/>
  <c r="T38" i="1"/>
  <c r="S38" i="1"/>
  <c r="U38" i="1" s="1"/>
  <c r="R38" i="1"/>
  <c r="O38" i="1"/>
  <c r="Q38" i="1" s="1"/>
  <c r="N38" i="1"/>
  <c r="AD37" i="1"/>
  <c r="AB37" i="1"/>
  <c r="AC37" i="1" s="1"/>
  <c r="AA37" i="1"/>
  <c r="Z37" i="1"/>
  <c r="Y37" i="1"/>
  <c r="X37" i="1"/>
  <c r="W37" i="1"/>
  <c r="V37" i="1"/>
  <c r="T37" i="1"/>
  <c r="U37" i="1" s="1"/>
  <c r="S37" i="1"/>
  <c r="R37" i="1"/>
  <c r="Q37" i="1"/>
  <c r="P37" i="1"/>
  <c r="O37" i="1"/>
  <c r="N37" i="1"/>
  <c r="AA36" i="1"/>
  <c r="Z36" i="1"/>
  <c r="AB36" i="1" s="1"/>
  <c r="AC36" i="1" s="1"/>
  <c r="Y36" i="1"/>
  <c r="AD36" i="1" s="1"/>
  <c r="W36" i="1"/>
  <c r="V36" i="1"/>
  <c r="X36" i="1" s="1"/>
  <c r="T36" i="1"/>
  <c r="S36" i="1"/>
  <c r="U36" i="1" s="1"/>
  <c r="R36" i="1"/>
  <c r="Q36" i="1"/>
  <c r="O36" i="1"/>
  <c r="P36" i="1" s="1"/>
  <c r="N36" i="1"/>
  <c r="AD35" i="1"/>
  <c r="AA35" i="1"/>
  <c r="Z35" i="1"/>
  <c r="AB35" i="1" s="1"/>
  <c r="AC35" i="1" s="1"/>
  <c r="Y35" i="1"/>
  <c r="X35" i="1"/>
  <c r="W35" i="1"/>
  <c r="V35" i="1"/>
  <c r="U35" i="1"/>
  <c r="T35" i="1"/>
  <c r="S35" i="1"/>
  <c r="R35" i="1"/>
  <c r="P35" i="1"/>
  <c r="O35" i="1"/>
  <c r="Q35" i="1" s="1"/>
  <c r="N35" i="1"/>
  <c r="AD34" i="1"/>
  <c r="AA34" i="1"/>
  <c r="Z34" i="1"/>
  <c r="AB34" i="1" s="1"/>
  <c r="AC34" i="1" s="1"/>
  <c r="Y34" i="1"/>
  <c r="X34" i="1"/>
  <c r="W34" i="1"/>
  <c r="V34" i="1"/>
  <c r="T34" i="1"/>
  <c r="S34" i="1"/>
  <c r="U34" i="1" s="1"/>
  <c r="R34" i="1"/>
  <c r="Q34" i="1"/>
  <c r="O34" i="1"/>
  <c r="P34" i="1" s="1"/>
  <c r="N34" i="1"/>
  <c r="AA33" i="1"/>
  <c r="Y33" i="1"/>
  <c r="AD33" i="1" s="1"/>
  <c r="W33" i="1"/>
  <c r="V33" i="1"/>
  <c r="X33" i="1" s="1"/>
  <c r="T33" i="1"/>
  <c r="S33" i="1"/>
  <c r="U33" i="1" s="1"/>
  <c r="R33" i="1"/>
  <c r="Q33" i="1"/>
  <c r="O33" i="1"/>
  <c r="P33" i="1" s="1"/>
  <c r="N33" i="1"/>
  <c r="AD32" i="1"/>
  <c r="AA32" i="1"/>
  <c r="Y32" i="1"/>
  <c r="Z32" i="1" s="1"/>
  <c r="AB32" i="1" s="1"/>
  <c r="AC32" i="1" s="1"/>
  <c r="X32" i="1"/>
  <c r="W32" i="1"/>
  <c r="V32" i="1"/>
  <c r="T32" i="1"/>
  <c r="S32" i="1"/>
  <c r="U32" i="1" s="1"/>
  <c r="R32" i="1"/>
  <c r="O32" i="1"/>
  <c r="Q32" i="1" s="1"/>
  <c r="N32" i="1"/>
  <c r="AD31" i="1"/>
  <c r="AA31" i="1"/>
  <c r="Y31" i="1"/>
  <c r="Z31" i="1" s="1"/>
  <c r="AB31" i="1" s="1"/>
  <c r="AC31" i="1" s="1"/>
  <c r="W31" i="1"/>
  <c r="V31" i="1"/>
  <c r="X31" i="1" s="1"/>
  <c r="T31" i="1"/>
  <c r="U31" i="1" s="1"/>
  <c r="S31" i="1"/>
  <c r="R31" i="1"/>
  <c r="Q31" i="1"/>
  <c r="O31" i="1"/>
  <c r="P31" i="1" s="1"/>
  <c r="N31" i="1"/>
  <c r="AA30" i="1"/>
  <c r="Y30" i="1"/>
  <c r="AD30" i="1" s="1"/>
  <c r="W30" i="1"/>
  <c r="V30" i="1"/>
  <c r="X30" i="1" s="1"/>
  <c r="T30" i="1"/>
  <c r="U30" i="1" s="1"/>
  <c r="S30" i="1"/>
  <c r="R30" i="1"/>
  <c r="P30" i="1"/>
  <c r="O30" i="1"/>
  <c r="Q30" i="1" s="1"/>
  <c r="N30" i="1"/>
  <c r="AD29" i="1"/>
  <c r="AA29" i="1"/>
  <c r="Y29" i="1"/>
  <c r="Z29" i="1" s="1"/>
  <c r="AB29" i="1" s="1"/>
  <c r="AC29" i="1" s="1"/>
  <c r="W29" i="1"/>
  <c r="V29" i="1"/>
  <c r="X29" i="1" s="1"/>
  <c r="U29" i="1"/>
  <c r="T29" i="1"/>
  <c r="S29" i="1"/>
  <c r="R29" i="1"/>
  <c r="O29" i="1"/>
  <c r="Q29" i="1" s="1"/>
  <c r="N29" i="1"/>
  <c r="AA28" i="1"/>
  <c r="Z28" i="1"/>
  <c r="AB28" i="1" s="1"/>
  <c r="AC28" i="1" s="1"/>
  <c r="Y28" i="1"/>
  <c r="AD28" i="1" s="1"/>
  <c r="W28" i="1"/>
  <c r="X28" i="1" s="1"/>
  <c r="V28" i="1"/>
  <c r="T28" i="1"/>
  <c r="U28" i="1" s="1"/>
  <c r="S28" i="1"/>
  <c r="R28" i="1"/>
  <c r="P28" i="1"/>
  <c r="O28" i="1"/>
  <c r="Q28" i="1" s="1"/>
  <c r="N28" i="1"/>
  <c r="AA27" i="1"/>
  <c r="Y27" i="1"/>
  <c r="Z27" i="1" s="1"/>
  <c r="AB27" i="1" s="1"/>
  <c r="AC27" i="1" s="1"/>
  <c r="W27" i="1"/>
  <c r="X27" i="1" s="1"/>
  <c r="V27" i="1"/>
  <c r="T27" i="1"/>
  <c r="S27" i="1"/>
  <c r="U27" i="1" s="1"/>
  <c r="R27" i="1"/>
  <c r="Q27" i="1"/>
  <c r="P27" i="1"/>
  <c r="O27" i="1"/>
  <c r="N27" i="1"/>
  <c r="AD26" i="1"/>
  <c r="AB26" i="1"/>
  <c r="AC26" i="1" s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AA25" i="1"/>
  <c r="Z25" i="1"/>
  <c r="AB25" i="1" s="1"/>
  <c r="AC25" i="1" s="1"/>
  <c r="Y25" i="1"/>
  <c r="AD25" i="1" s="1"/>
  <c r="W25" i="1"/>
  <c r="X25" i="1" s="1"/>
  <c r="V25" i="1"/>
  <c r="U25" i="1"/>
  <c r="T25" i="1"/>
  <c r="S25" i="1"/>
  <c r="R25" i="1"/>
  <c r="Q25" i="1"/>
  <c r="O25" i="1"/>
  <c r="P25" i="1" s="1"/>
  <c r="N25" i="1"/>
  <c r="AD24" i="1"/>
  <c r="AB24" i="1"/>
  <c r="AC24" i="1" s="1"/>
  <c r="AA24" i="1"/>
  <c r="Z24" i="1"/>
  <c r="Y24" i="1"/>
  <c r="W24" i="1"/>
  <c r="V24" i="1"/>
  <c r="X24" i="1" s="1"/>
  <c r="T24" i="1"/>
  <c r="S24" i="1"/>
  <c r="U24" i="1" s="1"/>
  <c r="R24" i="1"/>
  <c r="Q24" i="1"/>
  <c r="P24" i="1"/>
  <c r="O24" i="1"/>
  <c r="N24" i="1"/>
  <c r="AA23" i="1"/>
  <c r="Y23" i="1"/>
  <c r="AD23" i="1" s="1"/>
  <c r="X23" i="1"/>
  <c r="W23" i="1"/>
  <c r="V23" i="1"/>
  <c r="U23" i="1"/>
  <c r="T23" i="1"/>
  <c r="S23" i="1"/>
  <c r="R23" i="1"/>
  <c r="O23" i="1"/>
  <c r="Q23" i="1" s="1"/>
  <c r="N23" i="1"/>
  <c r="AD22" i="1"/>
  <c r="AA22" i="1"/>
  <c r="Z22" i="1"/>
  <c r="AB22" i="1" s="1"/>
  <c r="AC22" i="1" s="1"/>
  <c r="Y22" i="1"/>
  <c r="X22" i="1"/>
  <c r="W22" i="1"/>
  <c r="V22" i="1"/>
  <c r="T22" i="1"/>
  <c r="S22" i="1"/>
  <c r="U22" i="1" s="1"/>
  <c r="R22" i="1"/>
  <c r="Q22" i="1"/>
  <c r="O22" i="1"/>
  <c r="P22" i="1" s="1"/>
  <c r="N22" i="1"/>
  <c r="AA21" i="1"/>
  <c r="Y21" i="1"/>
  <c r="AD21" i="1" s="1"/>
  <c r="W21" i="1"/>
  <c r="V21" i="1"/>
  <c r="X21" i="1" s="1"/>
  <c r="T21" i="1"/>
  <c r="S21" i="1"/>
  <c r="U21" i="1" s="1"/>
  <c r="R21" i="1"/>
  <c r="Q21" i="1"/>
  <c r="O21" i="1"/>
  <c r="P21" i="1" s="1"/>
  <c r="N21" i="1"/>
  <c r="AD20" i="1"/>
  <c r="AA20" i="1"/>
  <c r="Y20" i="1"/>
  <c r="Z20" i="1" s="1"/>
  <c r="AB20" i="1" s="1"/>
  <c r="AC20" i="1" s="1"/>
  <c r="X20" i="1"/>
  <c r="W20" i="1"/>
  <c r="V20" i="1"/>
  <c r="T20" i="1"/>
  <c r="S20" i="1"/>
  <c r="U20" i="1" s="1"/>
  <c r="R20" i="1"/>
  <c r="O20" i="1"/>
  <c r="Q20" i="1" s="1"/>
  <c r="N20" i="1"/>
  <c r="AD19" i="1"/>
  <c r="AA19" i="1"/>
  <c r="Y19" i="1"/>
  <c r="Z19" i="1" s="1"/>
  <c r="AB19" i="1" s="1"/>
  <c r="AC19" i="1" s="1"/>
  <c r="W19" i="1"/>
  <c r="V19" i="1"/>
  <c r="X19" i="1" s="1"/>
  <c r="T19" i="1"/>
  <c r="U19" i="1" s="1"/>
  <c r="S19" i="1"/>
  <c r="R19" i="1"/>
  <c r="Q19" i="1"/>
  <c r="O19" i="1"/>
  <c r="P19" i="1" s="1"/>
  <c r="N19" i="1"/>
  <c r="AA18" i="1"/>
  <c r="Y18" i="1"/>
  <c r="AD18" i="1" s="1"/>
  <c r="W18" i="1"/>
  <c r="V18" i="1"/>
  <c r="X18" i="1" s="1"/>
  <c r="T18" i="1"/>
  <c r="U18" i="1" s="1"/>
  <c r="S18" i="1"/>
  <c r="R18" i="1"/>
  <c r="P18" i="1"/>
  <c r="O18" i="1"/>
  <c r="Q18" i="1" s="1"/>
  <c r="N18" i="1"/>
  <c r="AD17" i="1"/>
  <c r="AA17" i="1"/>
  <c r="Y17" i="1"/>
  <c r="Z17" i="1" s="1"/>
  <c r="AB17" i="1" s="1"/>
  <c r="AC17" i="1" s="1"/>
  <c r="W17" i="1"/>
  <c r="V17" i="1"/>
  <c r="X17" i="1" s="1"/>
  <c r="U17" i="1"/>
  <c r="T17" i="1"/>
  <c r="S17" i="1"/>
  <c r="R17" i="1"/>
  <c r="O17" i="1"/>
  <c r="Q17" i="1" s="1"/>
  <c r="N17" i="1"/>
  <c r="AA16" i="1"/>
  <c r="Z16" i="1"/>
  <c r="AB16" i="1" s="1"/>
  <c r="AC16" i="1" s="1"/>
  <c r="Y16" i="1"/>
  <c r="AD16" i="1" s="1"/>
  <c r="W16" i="1"/>
  <c r="X16" i="1" s="1"/>
  <c r="V16" i="1"/>
  <c r="T16" i="1"/>
  <c r="U16" i="1" s="1"/>
  <c r="S16" i="1"/>
  <c r="R16" i="1"/>
  <c r="O16" i="1"/>
  <c r="Q16" i="1" s="1"/>
  <c r="N16" i="1"/>
  <c r="AA15" i="1"/>
  <c r="Y15" i="1"/>
  <c r="Z15" i="1" s="1"/>
  <c r="AB15" i="1" s="1"/>
  <c r="AC15" i="1" s="1"/>
  <c r="W15" i="1"/>
  <c r="X15" i="1" s="1"/>
  <c r="V15" i="1"/>
  <c r="T15" i="1"/>
  <c r="S15" i="1"/>
  <c r="U15" i="1" s="1"/>
  <c r="R15" i="1"/>
  <c r="Q15" i="1"/>
  <c r="P15" i="1"/>
  <c r="O15" i="1"/>
  <c r="N15" i="1"/>
  <c r="AD14" i="1"/>
  <c r="AA14" i="1"/>
  <c r="Y14" i="1"/>
  <c r="Z14" i="1" s="1"/>
  <c r="AB14" i="1" s="1"/>
  <c r="AC14" i="1" s="1"/>
  <c r="X14" i="1"/>
  <c r="W14" i="1"/>
  <c r="V14" i="1"/>
  <c r="U14" i="1"/>
  <c r="T14" i="1"/>
  <c r="S14" i="1"/>
  <c r="R14" i="1"/>
  <c r="Q14" i="1"/>
  <c r="P14" i="1"/>
  <c r="O14" i="1"/>
  <c r="N14" i="1"/>
  <c r="AA13" i="1"/>
  <c r="Z13" i="1"/>
  <c r="AB13" i="1" s="1"/>
  <c r="AC13" i="1" s="1"/>
  <c r="Y13" i="1"/>
  <c r="AD13" i="1" s="1"/>
  <c r="W13" i="1"/>
  <c r="X13" i="1" s="1"/>
  <c r="V13" i="1"/>
  <c r="U13" i="1"/>
  <c r="T13" i="1"/>
  <c r="S13" i="1"/>
  <c r="R13" i="1"/>
  <c r="Q13" i="1"/>
  <c r="O13" i="1"/>
  <c r="P13" i="1" s="1"/>
  <c r="N13" i="1"/>
  <c r="AD12" i="1"/>
  <c r="AB12" i="1"/>
  <c r="AC12" i="1" s="1"/>
  <c r="AA12" i="1"/>
  <c r="Z12" i="1"/>
  <c r="Y12" i="1"/>
  <c r="W12" i="1"/>
  <c r="V12" i="1"/>
  <c r="X12" i="1" s="1"/>
  <c r="T12" i="1"/>
  <c r="S12" i="1"/>
  <c r="U12" i="1" s="1"/>
  <c r="R12" i="1"/>
  <c r="Q12" i="1"/>
  <c r="P12" i="1"/>
  <c r="O12" i="1"/>
  <c r="N12" i="1"/>
  <c r="AA11" i="1"/>
  <c r="Y11" i="1"/>
  <c r="AD11" i="1" s="1"/>
  <c r="X11" i="1"/>
  <c r="W11" i="1"/>
  <c r="V11" i="1"/>
  <c r="U11" i="1"/>
  <c r="T11" i="1"/>
  <c r="S11" i="1"/>
  <c r="R11" i="1"/>
  <c r="O11" i="1"/>
  <c r="Q11" i="1" s="1"/>
  <c r="N11" i="1"/>
  <c r="AD10" i="1"/>
  <c r="AA10" i="1"/>
  <c r="Z10" i="1"/>
  <c r="AB10" i="1" s="1"/>
  <c r="AC10" i="1" s="1"/>
  <c r="Y10" i="1"/>
  <c r="X10" i="1"/>
  <c r="W10" i="1"/>
  <c r="V10" i="1"/>
  <c r="T10" i="1"/>
  <c r="S10" i="1"/>
  <c r="U10" i="1" s="1"/>
  <c r="R10" i="1"/>
  <c r="Q10" i="1"/>
  <c r="O10" i="1"/>
  <c r="P10" i="1" s="1"/>
  <c r="N10" i="1"/>
  <c r="AA9" i="1"/>
  <c r="Y9" i="1"/>
  <c r="AD9" i="1" s="1"/>
  <c r="W9" i="1"/>
  <c r="V9" i="1"/>
  <c r="X9" i="1" s="1"/>
  <c r="T9" i="1"/>
  <c r="S9" i="1"/>
  <c r="U9" i="1" s="1"/>
  <c r="R9" i="1"/>
  <c r="Q9" i="1"/>
  <c r="O9" i="1"/>
  <c r="P9" i="1" s="1"/>
  <c r="N9" i="1"/>
  <c r="AD8" i="1"/>
  <c r="AA8" i="1"/>
  <c r="Y8" i="1"/>
  <c r="Z8" i="1" s="1"/>
  <c r="AB8" i="1" s="1"/>
  <c r="AC8" i="1" s="1"/>
  <c r="X8" i="1"/>
  <c r="W8" i="1"/>
  <c r="V8" i="1"/>
  <c r="T8" i="1"/>
  <c r="S8" i="1"/>
  <c r="U8" i="1" s="1"/>
  <c r="R8" i="1"/>
  <c r="O8" i="1"/>
  <c r="Q8" i="1" s="1"/>
  <c r="N8" i="1"/>
  <c r="AD7" i="1"/>
  <c r="AA7" i="1"/>
  <c r="Y7" i="1"/>
  <c r="Z7" i="1" s="1"/>
  <c r="AB7" i="1" s="1"/>
  <c r="AC7" i="1" s="1"/>
  <c r="W7" i="1"/>
  <c r="V7" i="1"/>
  <c r="X7" i="1" s="1"/>
  <c r="T7" i="1"/>
  <c r="U7" i="1" s="1"/>
  <c r="S7" i="1"/>
  <c r="R7" i="1"/>
  <c r="Q7" i="1"/>
  <c r="O7" i="1"/>
  <c r="P7" i="1" s="1"/>
  <c r="N7" i="1"/>
  <c r="AA6" i="1"/>
  <c r="Y6" i="1"/>
  <c r="AD6" i="1" s="1"/>
  <c r="W6" i="1"/>
  <c r="V6" i="1"/>
  <c r="X6" i="1" s="1"/>
  <c r="T6" i="1"/>
  <c r="U6" i="1" s="1"/>
  <c r="S6" i="1"/>
  <c r="R6" i="1"/>
  <c r="P6" i="1"/>
  <c r="O6" i="1"/>
  <c r="Q6" i="1" s="1"/>
  <c r="N6" i="1"/>
  <c r="AD5" i="1"/>
  <c r="AA5" i="1"/>
  <c r="Y5" i="1"/>
  <c r="Z5" i="1" s="1"/>
  <c r="AB5" i="1" s="1"/>
  <c r="AC5" i="1" s="1"/>
  <c r="W5" i="1"/>
  <c r="V5" i="1"/>
  <c r="X5" i="1" s="1"/>
  <c r="U5" i="1"/>
  <c r="T5" i="1"/>
  <c r="S5" i="1"/>
  <c r="R5" i="1"/>
  <c r="O5" i="1"/>
  <c r="Q5" i="1" s="1"/>
  <c r="N5" i="1"/>
  <c r="AA4" i="1"/>
  <c r="Z4" i="1"/>
  <c r="AB4" i="1" s="1"/>
  <c r="AC4" i="1" s="1"/>
  <c r="Y4" i="1"/>
  <c r="AD4" i="1" s="1"/>
  <c r="W4" i="1"/>
  <c r="X4" i="1" s="1"/>
  <c r="V4" i="1"/>
  <c r="T4" i="1"/>
  <c r="U4" i="1" s="1"/>
  <c r="S4" i="1"/>
  <c r="R4" i="1"/>
  <c r="O4" i="1"/>
  <c r="Q4" i="1" s="1"/>
  <c r="N4" i="1"/>
  <c r="AA3" i="1"/>
  <c r="Y3" i="1"/>
  <c r="Z3" i="1" s="1"/>
  <c r="AB3" i="1" s="1"/>
  <c r="AC3" i="1" s="1"/>
  <c r="W3" i="1"/>
  <c r="X3" i="1" s="1"/>
  <c r="V3" i="1"/>
  <c r="T3" i="1"/>
  <c r="S3" i="1"/>
  <c r="U3" i="1" s="1"/>
  <c r="R3" i="1"/>
  <c r="Q3" i="1"/>
  <c r="P3" i="1"/>
  <c r="O3" i="1"/>
  <c r="N3" i="1"/>
  <c r="AD2" i="1"/>
  <c r="AA2" i="1"/>
  <c r="Y2" i="1"/>
  <c r="Z2" i="1" s="1"/>
  <c r="AB2" i="1" s="1"/>
  <c r="AC2" i="1" s="1"/>
  <c r="X2" i="1"/>
  <c r="W2" i="1"/>
  <c r="V2" i="1"/>
  <c r="U2" i="1"/>
  <c r="T2" i="1"/>
  <c r="S2" i="1"/>
  <c r="R2" i="1"/>
  <c r="Q2" i="1"/>
  <c r="P2" i="1"/>
  <c r="O2" i="1"/>
  <c r="N2" i="1"/>
  <c r="Q65" i="1" l="1"/>
  <c r="P65" i="1"/>
  <c r="Q68" i="1"/>
  <c r="P68" i="1"/>
  <c r="P32" i="1"/>
  <c r="Z87" i="1"/>
  <c r="AB87" i="1" s="1"/>
  <c r="AC87" i="1" s="1"/>
  <c r="AD87" i="1"/>
  <c r="AD147" i="1"/>
  <c r="Z147" i="1"/>
  <c r="AB147" i="1" s="1"/>
  <c r="AC147" i="1" s="1"/>
  <c r="Q71" i="1"/>
  <c r="P71" i="1"/>
  <c r="AD176" i="1"/>
  <c r="Z176" i="1"/>
  <c r="AB176" i="1" s="1"/>
  <c r="AC176" i="1" s="1"/>
  <c r="Z6" i="1"/>
  <c r="AB6" i="1" s="1"/>
  <c r="AC6" i="1" s="1"/>
  <c r="P8" i="1"/>
  <c r="Z18" i="1"/>
  <c r="AB18" i="1" s="1"/>
  <c r="AC18" i="1" s="1"/>
  <c r="P20" i="1"/>
  <c r="Z30" i="1"/>
  <c r="AB30" i="1" s="1"/>
  <c r="AC30" i="1" s="1"/>
  <c r="Q55" i="1"/>
  <c r="Z57" i="1"/>
  <c r="AB57" i="1" s="1"/>
  <c r="AC57" i="1" s="1"/>
  <c r="AD3" i="1"/>
  <c r="Z11" i="1"/>
  <c r="AB11" i="1" s="1"/>
  <c r="AC11" i="1" s="1"/>
  <c r="AD15" i="1"/>
  <c r="Z23" i="1"/>
  <c r="AB23" i="1" s="1"/>
  <c r="AC23" i="1" s="1"/>
  <c r="AD27" i="1"/>
  <c r="P38" i="1"/>
  <c r="X42" i="1"/>
  <c r="Z45" i="1"/>
  <c r="AB45" i="1" s="1"/>
  <c r="AC45" i="1" s="1"/>
  <c r="Q49" i="1"/>
  <c r="U54" i="1"/>
  <c r="Q77" i="1"/>
  <c r="P77" i="1"/>
  <c r="Q80" i="1"/>
  <c r="P80" i="1"/>
  <c r="Q83" i="1"/>
  <c r="P83" i="1"/>
  <c r="Z99" i="1"/>
  <c r="AB99" i="1" s="1"/>
  <c r="AC99" i="1" s="1"/>
  <c r="AD99" i="1"/>
  <c r="Z111" i="1"/>
  <c r="AB111" i="1" s="1"/>
  <c r="AC111" i="1" s="1"/>
  <c r="AD111" i="1"/>
  <c r="Z123" i="1"/>
  <c r="AB123" i="1" s="1"/>
  <c r="AC123" i="1" s="1"/>
  <c r="AD123" i="1"/>
  <c r="Z135" i="1"/>
  <c r="AB135" i="1" s="1"/>
  <c r="AC135" i="1" s="1"/>
  <c r="AD135" i="1"/>
  <c r="Q143" i="1"/>
  <c r="P143" i="1"/>
  <c r="Z9" i="1"/>
  <c r="AB9" i="1" s="1"/>
  <c r="AC9" i="1" s="1"/>
  <c r="P11" i="1"/>
  <c r="Z21" i="1"/>
  <c r="AB21" i="1" s="1"/>
  <c r="AC21" i="1" s="1"/>
  <c r="P23" i="1"/>
  <c r="Z33" i="1"/>
  <c r="AB33" i="1" s="1"/>
  <c r="AC33" i="1" s="1"/>
  <c r="AD50" i="1"/>
  <c r="X54" i="1"/>
  <c r="P56" i="1"/>
  <c r="Q89" i="1"/>
  <c r="P89" i="1"/>
  <c r="Q101" i="1"/>
  <c r="P101" i="1"/>
  <c r="Q113" i="1"/>
  <c r="P113" i="1"/>
  <c r="Q125" i="1"/>
  <c r="P125" i="1"/>
  <c r="Q95" i="1"/>
  <c r="P95" i="1"/>
  <c r="Q137" i="1"/>
  <c r="P137" i="1"/>
  <c r="P4" i="1"/>
  <c r="P16" i="1"/>
  <c r="AD59" i="1"/>
  <c r="Z59" i="1"/>
  <c r="AB59" i="1" s="1"/>
  <c r="AC59" i="1" s="1"/>
  <c r="Z150" i="1"/>
  <c r="AB150" i="1" s="1"/>
  <c r="AC150" i="1" s="1"/>
  <c r="AD150" i="1"/>
  <c r="Q156" i="1"/>
  <c r="P156" i="1"/>
  <c r="Q166" i="1"/>
  <c r="P166" i="1"/>
  <c r="Q219" i="1"/>
  <c r="P219" i="1"/>
  <c r="Q131" i="1"/>
  <c r="P131" i="1"/>
  <c r="Q40" i="1"/>
  <c r="P40" i="1"/>
  <c r="AD41" i="1"/>
  <c r="Q58" i="1"/>
  <c r="Q107" i="1"/>
  <c r="P107" i="1"/>
  <c r="AD66" i="1"/>
  <c r="Z66" i="1"/>
  <c r="AB66" i="1" s="1"/>
  <c r="AC66" i="1" s="1"/>
  <c r="AD69" i="1"/>
  <c r="Z69" i="1"/>
  <c r="AB69" i="1" s="1"/>
  <c r="AC69" i="1" s="1"/>
  <c r="P201" i="1"/>
  <c r="Q201" i="1"/>
  <c r="Q314" i="1"/>
  <c r="P314" i="1"/>
  <c r="P41" i="1"/>
  <c r="U45" i="1"/>
  <c r="Q52" i="1"/>
  <c r="P52" i="1"/>
  <c r="U57" i="1"/>
  <c r="Z63" i="1"/>
  <c r="AB63" i="1" s="1"/>
  <c r="AC63" i="1" s="1"/>
  <c r="AD63" i="1"/>
  <c r="AD78" i="1"/>
  <c r="Z78" i="1"/>
  <c r="AB78" i="1" s="1"/>
  <c r="AC78" i="1" s="1"/>
  <c r="AD81" i="1"/>
  <c r="Z81" i="1"/>
  <c r="AB81" i="1" s="1"/>
  <c r="AC81" i="1" s="1"/>
  <c r="P5" i="1"/>
  <c r="P17" i="1"/>
  <c r="P29" i="1"/>
  <c r="P47" i="1"/>
  <c r="P53" i="1"/>
  <c r="AD141" i="1"/>
  <c r="Z141" i="1"/>
  <c r="AB141" i="1" s="1"/>
  <c r="AC141" i="1" s="1"/>
  <c r="Q119" i="1"/>
  <c r="P119" i="1"/>
  <c r="Q43" i="1"/>
  <c r="Q61" i="1"/>
  <c r="Z75" i="1"/>
  <c r="AB75" i="1" s="1"/>
  <c r="AC75" i="1" s="1"/>
  <c r="AD75" i="1"/>
  <c r="AD93" i="1"/>
  <c r="Z93" i="1"/>
  <c r="AB93" i="1" s="1"/>
  <c r="AC93" i="1" s="1"/>
  <c r="AD105" i="1"/>
  <c r="Z105" i="1"/>
  <c r="AB105" i="1" s="1"/>
  <c r="AC105" i="1" s="1"/>
  <c r="AD117" i="1"/>
  <c r="Z117" i="1"/>
  <c r="AB117" i="1" s="1"/>
  <c r="AC117" i="1" s="1"/>
  <c r="AD129" i="1"/>
  <c r="Z129" i="1"/>
  <c r="AB129" i="1" s="1"/>
  <c r="AC129" i="1" s="1"/>
  <c r="Q195" i="1"/>
  <c r="P195" i="1"/>
  <c r="Z288" i="1"/>
  <c r="AB288" i="1" s="1"/>
  <c r="AC288" i="1" s="1"/>
  <c r="AD288" i="1"/>
  <c r="Q171" i="1"/>
  <c r="P171" i="1"/>
  <c r="AD221" i="1"/>
  <c r="Z221" i="1"/>
  <c r="AB221" i="1" s="1"/>
  <c r="AC221" i="1" s="1"/>
  <c r="Q226" i="1"/>
  <c r="P226" i="1"/>
  <c r="Q251" i="1"/>
  <c r="P251" i="1"/>
  <c r="Z90" i="1"/>
  <c r="AB90" i="1" s="1"/>
  <c r="AC90" i="1" s="1"/>
  <c r="P92" i="1"/>
  <c r="Z102" i="1"/>
  <c r="AB102" i="1" s="1"/>
  <c r="AC102" i="1" s="1"/>
  <c r="P104" i="1"/>
  <c r="Z114" i="1"/>
  <c r="AB114" i="1" s="1"/>
  <c r="AC114" i="1" s="1"/>
  <c r="P116" i="1"/>
  <c r="Z126" i="1"/>
  <c r="AB126" i="1" s="1"/>
  <c r="AC126" i="1" s="1"/>
  <c r="P128" i="1"/>
  <c r="Z138" i="1"/>
  <c r="AB138" i="1" s="1"/>
  <c r="AC138" i="1" s="1"/>
  <c r="P140" i="1"/>
  <c r="AD197" i="1"/>
  <c r="Z197" i="1"/>
  <c r="AB197" i="1" s="1"/>
  <c r="AC197" i="1" s="1"/>
  <c r="Q225" i="1"/>
  <c r="Q235" i="1"/>
  <c r="P235" i="1"/>
  <c r="Q317" i="1"/>
  <c r="P317" i="1"/>
  <c r="Q334" i="1"/>
  <c r="P334" i="1"/>
  <c r="Z71" i="1"/>
  <c r="AB71" i="1" s="1"/>
  <c r="AC71" i="1" s="1"/>
  <c r="Z83" i="1"/>
  <c r="AB83" i="1" s="1"/>
  <c r="AC83" i="1" s="1"/>
  <c r="Z95" i="1"/>
  <c r="AB95" i="1" s="1"/>
  <c r="AC95" i="1" s="1"/>
  <c r="Z107" i="1"/>
  <c r="AB107" i="1" s="1"/>
  <c r="AC107" i="1" s="1"/>
  <c r="Z119" i="1"/>
  <c r="AB119" i="1" s="1"/>
  <c r="AC119" i="1" s="1"/>
  <c r="Z131" i="1"/>
  <c r="AB131" i="1" s="1"/>
  <c r="AC131" i="1" s="1"/>
  <c r="Z143" i="1"/>
  <c r="AB143" i="1" s="1"/>
  <c r="AC143" i="1" s="1"/>
  <c r="AD185" i="1"/>
  <c r="Z185" i="1"/>
  <c r="AB185" i="1" s="1"/>
  <c r="AC185" i="1" s="1"/>
  <c r="X191" i="1"/>
  <c r="Q211" i="1"/>
  <c r="P211" i="1"/>
  <c r="U212" i="1"/>
  <c r="U247" i="1"/>
  <c r="AD260" i="1"/>
  <c r="Z260" i="1"/>
  <c r="AB260" i="1" s="1"/>
  <c r="AC260" i="1" s="1"/>
  <c r="Q269" i="1"/>
  <c r="P269" i="1"/>
  <c r="Q152" i="1"/>
  <c r="P152" i="1"/>
  <c r="Q183" i="1"/>
  <c r="P183" i="1"/>
  <c r="AD205" i="1"/>
  <c r="Z205" i="1"/>
  <c r="AB205" i="1" s="1"/>
  <c r="AC205" i="1" s="1"/>
  <c r="Q329" i="1"/>
  <c r="P329" i="1"/>
  <c r="P64" i="1"/>
  <c r="P76" i="1"/>
  <c r="P88" i="1"/>
  <c r="P100" i="1"/>
  <c r="P112" i="1"/>
  <c r="P124" i="1"/>
  <c r="P136" i="1"/>
  <c r="Q153" i="1"/>
  <c r="P168" i="1"/>
  <c r="AD169" i="1"/>
  <c r="Z169" i="1"/>
  <c r="AB169" i="1" s="1"/>
  <c r="AC169" i="1" s="1"/>
  <c r="AD187" i="1"/>
  <c r="P197" i="1"/>
  <c r="P202" i="1"/>
  <c r="Q223" i="1"/>
  <c r="P223" i="1"/>
  <c r="AD236" i="1"/>
  <c r="Z236" i="1"/>
  <c r="AB236" i="1" s="1"/>
  <c r="AC236" i="1" s="1"/>
  <c r="AD308" i="1"/>
  <c r="Z308" i="1"/>
  <c r="AB308" i="1" s="1"/>
  <c r="AC308" i="1" s="1"/>
  <c r="U151" i="1"/>
  <c r="U158" i="1"/>
  <c r="Q159" i="1"/>
  <c r="P159" i="1"/>
  <c r="Z161" i="1"/>
  <c r="AB161" i="1" s="1"/>
  <c r="AC161" i="1" s="1"/>
  <c r="AD175" i="1"/>
  <c r="X209" i="1"/>
  <c r="X248" i="1"/>
  <c r="X249" i="1"/>
  <c r="Q326" i="1"/>
  <c r="P326" i="1"/>
  <c r="Q199" i="1"/>
  <c r="P199" i="1"/>
  <c r="AD245" i="1"/>
  <c r="Z245" i="1"/>
  <c r="AB245" i="1" s="1"/>
  <c r="AC245" i="1" s="1"/>
  <c r="AD279" i="1"/>
  <c r="Z279" i="1"/>
  <c r="AB279" i="1" s="1"/>
  <c r="AC279" i="1" s="1"/>
  <c r="Z300" i="1"/>
  <c r="AB300" i="1" s="1"/>
  <c r="AC300" i="1" s="1"/>
  <c r="AD300" i="1"/>
  <c r="Q177" i="1"/>
  <c r="Q187" i="1"/>
  <c r="P190" i="1"/>
  <c r="AD209" i="1"/>
  <c r="Z209" i="1"/>
  <c r="AB209" i="1" s="1"/>
  <c r="AC209" i="1" s="1"/>
  <c r="Q238" i="1"/>
  <c r="P238" i="1"/>
  <c r="AD248" i="1"/>
  <c r="Z248" i="1"/>
  <c r="AB248" i="1" s="1"/>
  <c r="AC248" i="1" s="1"/>
  <c r="Z276" i="1"/>
  <c r="AB276" i="1" s="1"/>
  <c r="AC276" i="1" s="1"/>
  <c r="AD276" i="1"/>
  <c r="AD193" i="1"/>
  <c r="Z193" i="1"/>
  <c r="AB193" i="1" s="1"/>
  <c r="AC193" i="1" s="1"/>
  <c r="AD224" i="1"/>
  <c r="Z224" i="1"/>
  <c r="AB224" i="1" s="1"/>
  <c r="AC224" i="1" s="1"/>
  <c r="AD235" i="1"/>
  <c r="Q237" i="1"/>
  <c r="AD320" i="1"/>
  <c r="Z320" i="1"/>
  <c r="AB320" i="1" s="1"/>
  <c r="AC320" i="1" s="1"/>
  <c r="AD157" i="1"/>
  <c r="Z157" i="1"/>
  <c r="AB157" i="1" s="1"/>
  <c r="AC157" i="1" s="1"/>
  <c r="AD181" i="1"/>
  <c r="Z181" i="1"/>
  <c r="AB181" i="1" s="1"/>
  <c r="AC181" i="1" s="1"/>
  <c r="Q207" i="1"/>
  <c r="P207" i="1"/>
  <c r="AD217" i="1"/>
  <c r="Z217" i="1"/>
  <c r="AB217" i="1" s="1"/>
  <c r="AC217" i="1" s="1"/>
  <c r="AD233" i="1"/>
  <c r="Z233" i="1"/>
  <c r="AB233" i="1" s="1"/>
  <c r="AC233" i="1" s="1"/>
  <c r="Z264" i="1"/>
  <c r="AB264" i="1" s="1"/>
  <c r="AC264" i="1" s="1"/>
  <c r="AD264" i="1"/>
  <c r="AD272" i="1"/>
  <c r="Z272" i="1"/>
  <c r="AB272" i="1" s="1"/>
  <c r="AC272" i="1" s="1"/>
  <c r="Z164" i="1"/>
  <c r="AB164" i="1" s="1"/>
  <c r="AC164" i="1" s="1"/>
  <c r="Z195" i="1"/>
  <c r="AB195" i="1" s="1"/>
  <c r="AC195" i="1" s="1"/>
  <c r="X197" i="1"/>
  <c r="U206" i="1"/>
  <c r="Q213" i="1"/>
  <c r="U237" i="1"/>
  <c r="Z263" i="1"/>
  <c r="AB263" i="1" s="1"/>
  <c r="AC263" i="1" s="1"/>
  <c r="AD263" i="1"/>
  <c r="AD291" i="1"/>
  <c r="Z291" i="1"/>
  <c r="AB291" i="1" s="1"/>
  <c r="AC291" i="1" s="1"/>
  <c r="Q322" i="1"/>
  <c r="P322" i="1"/>
  <c r="Q358" i="1"/>
  <c r="P358" i="1"/>
  <c r="X282" i="1"/>
  <c r="U325" i="1"/>
  <c r="AD359" i="1"/>
  <c r="Z359" i="1"/>
  <c r="AB359" i="1" s="1"/>
  <c r="AC359" i="1" s="1"/>
  <c r="Q272" i="1"/>
  <c r="P272" i="1"/>
  <c r="Q278" i="1"/>
  <c r="P278" i="1"/>
  <c r="AD296" i="1"/>
  <c r="Z296" i="1"/>
  <c r="AB296" i="1" s="1"/>
  <c r="AC296" i="1" s="1"/>
  <c r="Q302" i="1"/>
  <c r="P302" i="1"/>
  <c r="Q310" i="1"/>
  <c r="P310" i="1"/>
  <c r="U333" i="1"/>
  <c r="X334" i="1"/>
  <c r="X342" i="1"/>
  <c r="AD376" i="1"/>
  <c r="Z376" i="1"/>
  <c r="AB376" i="1" s="1"/>
  <c r="AC376" i="1" s="1"/>
  <c r="U397" i="1"/>
  <c r="Q426" i="1"/>
  <c r="P426" i="1"/>
  <c r="AD284" i="1"/>
  <c r="Z284" i="1"/>
  <c r="AB284" i="1" s="1"/>
  <c r="AC284" i="1" s="1"/>
  <c r="Q290" i="1"/>
  <c r="P290" i="1"/>
  <c r="Q298" i="1"/>
  <c r="P298" i="1"/>
  <c r="Z336" i="1"/>
  <c r="AB336" i="1" s="1"/>
  <c r="AC336" i="1" s="1"/>
  <c r="AD336" i="1"/>
  <c r="Z229" i="1"/>
  <c r="AB229" i="1" s="1"/>
  <c r="AC229" i="1" s="1"/>
  <c r="P231" i="1"/>
  <c r="Z241" i="1"/>
  <c r="AB241" i="1" s="1"/>
  <c r="AC241" i="1" s="1"/>
  <c r="P243" i="1"/>
  <c r="Z246" i="1"/>
  <c r="AB246" i="1" s="1"/>
  <c r="AC246" i="1" s="1"/>
  <c r="P252" i="1"/>
  <c r="AD252" i="1"/>
  <c r="Z253" i="1"/>
  <c r="AB253" i="1" s="1"/>
  <c r="AC253" i="1" s="1"/>
  <c r="P262" i="1"/>
  <c r="U273" i="1"/>
  <c r="P293" i="1"/>
  <c r="Z327" i="1"/>
  <c r="AB327" i="1" s="1"/>
  <c r="AC327" i="1" s="1"/>
  <c r="AD344" i="1"/>
  <c r="Z344" i="1"/>
  <c r="AB344" i="1" s="1"/>
  <c r="AC344" i="1" s="1"/>
  <c r="AD352" i="1"/>
  <c r="Z352" i="1"/>
  <c r="AB352" i="1" s="1"/>
  <c r="AC352" i="1" s="1"/>
  <c r="Q375" i="1"/>
  <c r="P375" i="1"/>
  <c r="P164" i="1"/>
  <c r="P176" i="1"/>
  <c r="P188" i="1"/>
  <c r="P200" i="1"/>
  <c r="P212" i="1"/>
  <c r="P224" i="1"/>
  <c r="P236" i="1"/>
  <c r="Q286" i="1"/>
  <c r="P286" i="1"/>
  <c r="Z324" i="1"/>
  <c r="AB324" i="1" s="1"/>
  <c r="AC324" i="1" s="1"/>
  <c r="AD324" i="1"/>
  <c r="Q346" i="1"/>
  <c r="P346" i="1"/>
  <c r="P361" i="1"/>
  <c r="Q369" i="1"/>
  <c r="P369" i="1"/>
  <c r="Q374" i="1"/>
  <c r="P374" i="1"/>
  <c r="Z155" i="1"/>
  <c r="AB155" i="1" s="1"/>
  <c r="AC155" i="1" s="1"/>
  <c r="Z167" i="1"/>
  <c r="AB167" i="1" s="1"/>
  <c r="AC167" i="1" s="1"/>
  <c r="Z179" i="1"/>
  <c r="AB179" i="1" s="1"/>
  <c r="AC179" i="1" s="1"/>
  <c r="Z191" i="1"/>
  <c r="AB191" i="1" s="1"/>
  <c r="AC191" i="1" s="1"/>
  <c r="Z203" i="1"/>
  <c r="AB203" i="1" s="1"/>
  <c r="AC203" i="1" s="1"/>
  <c r="Z215" i="1"/>
  <c r="AB215" i="1" s="1"/>
  <c r="AC215" i="1" s="1"/>
  <c r="P217" i="1"/>
  <c r="Z227" i="1"/>
  <c r="AB227" i="1" s="1"/>
  <c r="AC227" i="1" s="1"/>
  <c r="P229" i="1"/>
  <c r="Z239" i="1"/>
  <c r="AB239" i="1" s="1"/>
  <c r="AC239" i="1" s="1"/>
  <c r="P241" i="1"/>
  <c r="P257" i="1"/>
  <c r="Z258" i="1"/>
  <c r="AB258" i="1" s="1"/>
  <c r="AC258" i="1" s="1"/>
  <c r="Q266" i="1"/>
  <c r="P266" i="1"/>
  <c r="X270" i="1"/>
  <c r="P281" i="1"/>
  <c r="U289" i="1"/>
  <c r="Z315" i="1"/>
  <c r="AB315" i="1" s="1"/>
  <c r="AC315" i="1" s="1"/>
  <c r="X318" i="1"/>
  <c r="P354" i="1"/>
  <c r="U401" i="1"/>
  <c r="Q265" i="1"/>
  <c r="P265" i="1"/>
  <c r="Z312" i="1"/>
  <c r="AB312" i="1" s="1"/>
  <c r="AC312" i="1" s="1"/>
  <c r="AD312" i="1"/>
  <c r="AD332" i="1"/>
  <c r="Z332" i="1"/>
  <c r="AB332" i="1" s="1"/>
  <c r="AC332" i="1" s="1"/>
  <c r="P373" i="1"/>
  <c r="AD249" i="1"/>
  <c r="AD270" i="1"/>
  <c r="Z270" i="1"/>
  <c r="AB270" i="1" s="1"/>
  <c r="AC270" i="1" s="1"/>
  <c r="Z303" i="1"/>
  <c r="AB303" i="1" s="1"/>
  <c r="AC303" i="1" s="1"/>
  <c r="X306" i="1"/>
  <c r="U264" i="1"/>
  <c r="X294" i="1"/>
  <c r="U337" i="1"/>
  <c r="U345" i="1"/>
  <c r="U353" i="1"/>
  <c r="U372" i="1"/>
  <c r="AD348" i="1"/>
  <c r="X363" i="1"/>
  <c r="AD364" i="1"/>
  <c r="AD378" i="1"/>
  <c r="Z378" i="1"/>
  <c r="AB378" i="1" s="1"/>
  <c r="AC378" i="1" s="1"/>
  <c r="X382" i="1"/>
  <c r="Q387" i="1"/>
  <c r="P387" i="1"/>
  <c r="AD392" i="1"/>
  <c r="Z392" i="1"/>
  <c r="AB392" i="1" s="1"/>
  <c r="AC392" i="1" s="1"/>
  <c r="X402" i="1"/>
  <c r="Q386" i="1"/>
  <c r="P386" i="1"/>
  <c r="AD412" i="1"/>
  <c r="Z412" i="1"/>
  <c r="AB412" i="1" s="1"/>
  <c r="AC412" i="1" s="1"/>
  <c r="Q571" i="1"/>
  <c r="P571" i="1"/>
  <c r="Z282" i="1"/>
  <c r="AB282" i="1" s="1"/>
  <c r="AC282" i="1" s="1"/>
  <c r="P284" i="1"/>
  <c r="Z294" i="1"/>
  <c r="AB294" i="1" s="1"/>
  <c r="AC294" i="1" s="1"/>
  <c r="P296" i="1"/>
  <c r="Z306" i="1"/>
  <c r="AB306" i="1" s="1"/>
  <c r="AC306" i="1" s="1"/>
  <c r="P308" i="1"/>
  <c r="Z318" i="1"/>
  <c r="AB318" i="1" s="1"/>
  <c r="AC318" i="1" s="1"/>
  <c r="P320" i="1"/>
  <c r="Z330" i="1"/>
  <c r="AB330" i="1" s="1"/>
  <c r="AC330" i="1" s="1"/>
  <c r="P332" i="1"/>
  <c r="Z342" i="1"/>
  <c r="AB342" i="1" s="1"/>
  <c r="AC342" i="1" s="1"/>
  <c r="P344" i="1"/>
  <c r="Z367" i="1"/>
  <c r="AB367" i="1" s="1"/>
  <c r="AC367" i="1" s="1"/>
  <c r="Z380" i="1"/>
  <c r="AB380" i="1" s="1"/>
  <c r="AC380" i="1" s="1"/>
  <c r="P389" i="1"/>
  <c r="Z396" i="1"/>
  <c r="AB396" i="1" s="1"/>
  <c r="AC396" i="1" s="1"/>
  <c r="AD396" i="1"/>
  <c r="Z399" i="1"/>
  <c r="AB399" i="1" s="1"/>
  <c r="AC399" i="1" s="1"/>
  <c r="AD475" i="1"/>
  <c r="Z475" i="1"/>
  <c r="AB475" i="1" s="1"/>
  <c r="AC475" i="1" s="1"/>
  <c r="Q534" i="1"/>
  <c r="P534" i="1"/>
  <c r="P277" i="1"/>
  <c r="P289" i="1"/>
  <c r="P301" i="1"/>
  <c r="P313" i="1"/>
  <c r="P325" i="1"/>
  <c r="P337" i="1"/>
  <c r="P349" i="1"/>
  <c r="P356" i="1"/>
  <c r="Q359" i="1"/>
  <c r="P362" i="1"/>
  <c r="P365" i="1"/>
  <c r="P377" i="1"/>
  <c r="AD400" i="1"/>
  <c r="Z400" i="1"/>
  <c r="AB400" i="1" s="1"/>
  <c r="AC400" i="1" s="1"/>
  <c r="AD404" i="1"/>
  <c r="Z404" i="1"/>
  <c r="AB404" i="1" s="1"/>
  <c r="AC404" i="1" s="1"/>
  <c r="Q414" i="1"/>
  <c r="P414" i="1"/>
  <c r="Z433" i="1"/>
  <c r="AB433" i="1" s="1"/>
  <c r="AC433" i="1" s="1"/>
  <c r="AD433" i="1"/>
  <c r="Q522" i="1"/>
  <c r="P522" i="1"/>
  <c r="Q390" i="1"/>
  <c r="P390" i="1"/>
  <c r="Q394" i="1"/>
  <c r="P394" i="1"/>
  <c r="Q436" i="1"/>
  <c r="P436" i="1"/>
  <c r="Q457" i="1"/>
  <c r="P457" i="1"/>
  <c r="Z261" i="1"/>
  <c r="AB261" i="1" s="1"/>
  <c r="AC261" i="1" s="1"/>
  <c r="P263" i="1"/>
  <c r="Z273" i="1"/>
  <c r="AB273" i="1" s="1"/>
  <c r="AC273" i="1" s="1"/>
  <c r="P275" i="1"/>
  <c r="Z285" i="1"/>
  <c r="AB285" i="1" s="1"/>
  <c r="AC285" i="1" s="1"/>
  <c r="P287" i="1"/>
  <c r="Z297" i="1"/>
  <c r="AB297" i="1" s="1"/>
  <c r="AC297" i="1" s="1"/>
  <c r="P299" i="1"/>
  <c r="Z309" i="1"/>
  <c r="AB309" i="1" s="1"/>
  <c r="AC309" i="1" s="1"/>
  <c r="P311" i="1"/>
  <c r="Z321" i="1"/>
  <c r="AB321" i="1" s="1"/>
  <c r="AC321" i="1" s="1"/>
  <c r="P323" i="1"/>
  <c r="Z333" i="1"/>
  <c r="AB333" i="1" s="1"/>
  <c r="AC333" i="1" s="1"/>
  <c r="P335" i="1"/>
  <c r="Z345" i="1"/>
  <c r="AB345" i="1" s="1"/>
  <c r="AC345" i="1" s="1"/>
  <c r="P347" i="1"/>
  <c r="AD357" i="1"/>
  <c r="Z357" i="1"/>
  <c r="AB357" i="1" s="1"/>
  <c r="AC357" i="1" s="1"/>
  <c r="Q366" i="1"/>
  <c r="P366" i="1"/>
  <c r="Q378" i="1"/>
  <c r="P378" i="1"/>
  <c r="Q380" i="1"/>
  <c r="X386" i="1"/>
  <c r="U389" i="1"/>
  <c r="Q480" i="1"/>
  <c r="P480" i="1"/>
  <c r="Q481" i="1"/>
  <c r="P481" i="1"/>
  <c r="X355" i="1"/>
  <c r="U365" i="1"/>
  <c r="X370" i="1"/>
  <c r="U377" i="1"/>
  <c r="U379" i="1"/>
  <c r="U413" i="1"/>
  <c r="X422" i="1"/>
  <c r="Q398" i="1"/>
  <c r="P398" i="1"/>
  <c r="AD443" i="1"/>
  <c r="Z443" i="1"/>
  <c r="AB443" i="1" s="1"/>
  <c r="AC443" i="1" s="1"/>
  <c r="P338" i="1"/>
  <c r="AD353" i="1"/>
  <c r="P357" i="1"/>
  <c r="P368" i="1"/>
  <c r="AD372" i="1"/>
  <c r="X376" i="1"/>
  <c r="P382" i="1"/>
  <c r="P401" i="1"/>
  <c r="Q402" i="1"/>
  <c r="P402" i="1"/>
  <c r="AD424" i="1"/>
  <c r="Z424" i="1"/>
  <c r="AB424" i="1" s="1"/>
  <c r="AC424" i="1" s="1"/>
  <c r="AD385" i="1"/>
  <c r="Z385" i="1"/>
  <c r="AB385" i="1" s="1"/>
  <c r="AC385" i="1" s="1"/>
  <c r="AD388" i="1"/>
  <c r="Z388" i="1"/>
  <c r="AB388" i="1" s="1"/>
  <c r="AC388" i="1" s="1"/>
  <c r="AD408" i="1"/>
  <c r="Q413" i="1"/>
  <c r="AD420" i="1"/>
  <c r="Q425" i="1"/>
  <c r="AD431" i="1"/>
  <c r="Z457" i="1"/>
  <c r="AB457" i="1" s="1"/>
  <c r="AC457" i="1" s="1"/>
  <c r="AD457" i="1"/>
  <c r="AD520" i="1"/>
  <c r="Z520" i="1"/>
  <c r="AB520" i="1" s="1"/>
  <c r="AC520" i="1" s="1"/>
  <c r="AD532" i="1"/>
  <c r="Z532" i="1"/>
  <c r="AB532" i="1" s="1"/>
  <c r="AC532" i="1" s="1"/>
  <c r="Z397" i="1"/>
  <c r="AB397" i="1" s="1"/>
  <c r="AC397" i="1" s="1"/>
  <c r="P399" i="1"/>
  <c r="Z409" i="1"/>
  <c r="AB409" i="1" s="1"/>
  <c r="AC409" i="1" s="1"/>
  <c r="P411" i="1"/>
  <c r="Z421" i="1"/>
  <c r="AB421" i="1" s="1"/>
  <c r="AC421" i="1" s="1"/>
  <c r="P423" i="1"/>
  <c r="P428" i="1"/>
  <c r="Q435" i="1"/>
  <c r="P438" i="1"/>
  <c r="P441" i="1"/>
  <c r="P454" i="1"/>
  <c r="AD456" i="1"/>
  <c r="Z469" i="1"/>
  <c r="AB469" i="1" s="1"/>
  <c r="AC469" i="1" s="1"/>
  <c r="AD469" i="1"/>
  <c r="P477" i="1"/>
  <c r="Q498" i="1"/>
  <c r="P498" i="1"/>
  <c r="Q724" i="1"/>
  <c r="P724" i="1"/>
  <c r="Z390" i="1"/>
  <c r="AB390" i="1" s="1"/>
  <c r="AC390" i="1" s="1"/>
  <c r="Z402" i="1"/>
  <c r="AB402" i="1" s="1"/>
  <c r="AC402" i="1" s="1"/>
  <c r="Z414" i="1"/>
  <c r="AB414" i="1" s="1"/>
  <c r="AC414" i="1" s="1"/>
  <c r="Z426" i="1"/>
  <c r="AB426" i="1" s="1"/>
  <c r="AC426" i="1" s="1"/>
  <c r="Z436" i="1"/>
  <c r="AB436" i="1" s="1"/>
  <c r="AC436" i="1" s="1"/>
  <c r="P451" i="1"/>
  <c r="AD451" i="1"/>
  <c r="Z452" i="1"/>
  <c r="AB452" i="1" s="1"/>
  <c r="AC452" i="1" s="1"/>
  <c r="Q455" i="1"/>
  <c r="Q456" i="1"/>
  <c r="P456" i="1"/>
  <c r="Z461" i="1"/>
  <c r="AB461" i="1" s="1"/>
  <c r="AC461" i="1" s="1"/>
  <c r="AD484" i="1"/>
  <c r="Z484" i="1"/>
  <c r="AB484" i="1" s="1"/>
  <c r="AC484" i="1" s="1"/>
  <c r="X488" i="1"/>
  <c r="X494" i="1"/>
  <c r="Q510" i="1"/>
  <c r="P510" i="1"/>
  <c r="AD538" i="1"/>
  <c r="Z538" i="1"/>
  <c r="AB538" i="1" s="1"/>
  <c r="AC538" i="1" s="1"/>
  <c r="AD487" i="1"/>
  <c r="Z487" i="1"/>
  <c r="AB487" i="1" s="1"/>
  <c r="AC487" i="1" s="1"/>
  <c r="Z369" i="1"/>
  <c r="AB369" i="1" s="1"/>
  <c r="AC369" i="1" s="1"/>
  <c r="Z381" i="1"/>
  <c r="AB381" i="1" s="1"/>
  <c r="AC381" i="1" s="1"/>
  <c r="Z393" i="1"/>
  <c r="AB393" i="1" s="1"/>
  <c r="AC393" i="1" s="1"/>
  <c r="Z405" i="1"/>
  <c r="AB405" i="1" s="1"/>
  <c r="AC405" i="1" s="1"/>
  <c r="Z417" i="1"/>
  <c r="AB417" i="1" s="1"/>
  <c r="AC417" i="1" s="1"/>
  <c r="X431" i="1"/>
  <c r="AD442" i="1"/>
  <c r="X464" i="1"/>
  <c r="Q467" i="1"/>
  <c r="Q468" i="1"/>
  <c r="P468" i="1"/>
  <c r="P474" i="1"/>
  <c r="U479" i="1"/>
  <c r="U482" i="1"/>
  <c r="U497" i="1"/>
  <c r="X455" i="1"/>
  <c r="X506" i="1"/>
  <c r="U509" i="1"/>
  <c r="U541" i="1"/>
  <c r="Q486" i="1"/>
  <c r="P486" i="1"/>
  <c r="P410" i="1"/>
  <c r="P422" i="1"/>
  <c r="P443" i="1"/>
  <c r="Z444" i="1"/>
  <c r="AB444" i="1" s="1"/>
  <c r="AC444" i="1" s="1"/>
  <c r="Q471" i="1"/>
  <c r="Z472" i="1"/>
  <c r="AB472" i="1" s="1"/>
  <c r="AC472" i="1" s="1"/>
  <c r="Q555" i="1"/>
  <c r="P555" i="1"/>
  <c r="AD430" i="1"/>
  <c r="U446" i="1"/>
  <c r="Q447" i="1"/>
  <c r="U458" i="1"/>
  <c r="Q459" i="1"/>
  <c r="X466" i="1"/>
  <c r="X467" i="1"/>
  <c r="U469" i="1"/>
  <c r="U470" i="1"/>
  <c r="AD496" i="1"/>
  <c r="Z496" i="1"/>
  <c r="AB496" i="1" s="1"/>
  <c r="AC496" i="1" s="1"/>
  <c r="Z481" i="1"/>
  <c r="AB481" i="1" s="1"/>
  <c r="AC481" i="1" s="1"/>
  <c r="AD481" i="1"/>
  <c r="Q492" i="1"/>
  <c r="P492" i="1"/>
  <c r="U443" i="1"/>
  <c r="Q444" i="1"/>
  <c r="X452" i="1"/>
  <c r="AD454" i="1"/>
  <c r="Q489" i="1"/>
  <c r="P489" i="1"/>
  <c r="P493" i="1"/>
  <c r="AD508" i="1"/>
  <c r="Z508" i="1"/>
  <c r="AB508" i="1" s="1"/>
  <c r="AC508" i="1" s="1"/>
  <c r="AD549" i="1"/>
  <c r="Z549" i="1"/>
  <c r="AB549" i="1" s="1"/>
  <c r="AC549" i="1" s="1"/>
  <c r="AD526" i="1"/>
  <c r="U551" i="1"/>
  <c r="U582" i="1"/>
  <c r="AD612" i="1"/>
  <c r="Z612" i="1"/>
  <c r="AB612" i="1" s="1"/>
  <c r="AC612" i="1" s="1"/>
  <c r="AD636" i="1"/>
  <c r="Z636" i="1"/>
  <c r="AB636" i="1" s="1"/>
  <c r="AC636" i="1" s="1"/>
  <c r="Q543" i="1"/>
  <c r="P543" i="1"/>
  <c r="AD547" i="1"/>
  <c r="Q614" i="1"/>
  <c r="P614" i="1"/>
  <c r="AD493" i="1"/>
  <c r="AD505" i="1"/>
  <c r="AD517" i="1"/>
  <c r="AD529" i="1"/>
  <c r="Z535" i="1"/>
  <c r="AB535" i="1" s="1"/>
  <c r="AC535" i="1" s="1"/>
  <c r="U542" i="1"/>
  <c r="P547" i="1"/>
  <c r="U555" i="1"/>
  <c r="Q638" i="1"/>
  <c r="P638" i="1"/>
  <c r="Z499" i="1"/>
  <c r="AB499" i="1" s="1"/>
  <c r="AC499" i="1" s="1"/>
  <c r="P501" i="1"/>
  <c r="Z511" i="1"/>
  <c r="AB511" i="1" s="1"/>
  <c r="AC511" i="1" s="1"/>
  <c r="P513" i="1"/>
  <c r="Z523" i="1"/>
  <c r="AB523" i="1" s="1"/>
  <c r="AC523" i="1" s="1"/>
  <c r="P525" i="1"/>
  <c r="Z536" i="1"/>
  <c r="AB536" i="1" s="1"/>
  <c r="AC536" i="1" s="1"/>
  <c r="Z545" i="1"/>
  <c r="AB545" i="1" s="1"/>
  <c r="AC545" i="1" s="1"/>
  <c r="AD550" i="1"/>
  <c r="Z550" i="1"/>
  <c r="AB550" i="1" s="1"/>
  <c r="AC550" i="1" s="1"/>
  <c r="Z552" i="1"/>
  <c r="AB552" i="1" s="1"/>
  <c r="AC552" i="1" s="1"/>
  <c r="Z561" i="1"/>
  <c r="AB561" i="1" s="1"/>
  <c r="AC561" i="1" s="1"/>
  <c r="AD581" i="1"/>
  <c r="Z581" i="1"/>
  <c r="AB581" i="1" s="1"/>
  <c r="AC581" i="1" s="1"/>
  <c r="AD624" i="1"/>
  <c r="Z624" i="1"/>
  <c r="AB624" i="1" s="1"/>
  <c r="AC624" i="1" s="1"/>
  <c r="Z565" i="1"/>
  <c r="AB565" i="1" s="1"/>
  <c r="AC565" i="1" s="1"/>
  <c r="AD565" i="1"/>
  <c r="AD674" i="1"/>
  <c r="Z674" i="1"/>
  <c r="AB674" i="1" s="1"/>
  <c r="AC674" i="1" s="1"/>
  <c r="Z706" i="1"/>
  <c r="AB706" i="1" s="1"/>
  <c r="AC706" i="1" s="1"/>
  <c r="AD706" i="1"/>
  <c r="Q559" i="1"/>
  <c r="P559" i="1"/>
  <c r="AD573" i="1"/>
  <c r="Z573" i="1"/>
  <c r="AB573" i="1" s="1"/>
  <c r="AC573" i="1" s="1"/>
  <c r="Q626" i="1"/>
  <c r="P626" i="1"/>
  <c r="AD650" i="1"/>
  <c r="Z650" i="1"/>
  <c r="AB650" i="1" s="1"/>
  <c r="AC650" i="1" s="1"/>
  <c r="Q760" i="1"/>
  <c r="P760" i="1"/>
  <c r="P504" i="1"/>
  <c r="P516" i="1"/>
  <c r="P528" i="1"/>
  <c r="Q540" i="1"/>
  <c r="U558" i="1"/>
  <c r="AD569" i="1"/>
  <c r="Z569" i="1"/>
  <c r="AB569" i="1" s="1"/>
  <c r="AC569" i="1" s="1"/>
  <c r="P578" i="1"/>
  <c r="Q583" i="1"/>
  <c r="P583" i="1"/>
  <c r="AD588" i="1"/>
  <c r="Z588" i="1"/>
  <c r="AB588" i="1" s="1"/>
  <c r="AC588" i="1" s="1"/>
  <c r="U535" i="1"/>
  <c r="U539" i="1"/>
  <c r="AD541" i="1"/>
  <c r="X548" i="1"/>
  <c r="AD554" i="1"/>
  <c r="Z554" i="1"/>
  <c r="AB554" i="1" s="1"/>
  <c r="AC554" i="1" s="1"/>
  <c r="AD572" i="1"/>
  <c r="AD600" i="1"/>
  <c r="Z600" i="1"/>
  <c r="AB600" i="1" s="1"/>
  <c r="AC600" i="1" s="1"/>
  <c r="AD553" i="1"/>
  <c r="Q563" i="1"/>
  <c r="P563" i="1"/>
  <c r="Q567" i="1"/>
  <c r="P567" i="1"/>
  <c r="Q575" i="1"/>
  <c r="P575" i="1"/>
  <c r="Q590" i="1"/>
  <c r="P590" i="1"/>
  <c r="AD641" i="1"/>
  <c r="Z641" i="1"/>
  <c r="AB641" i="1" s="1"/>
  <c r="AC641" i="1" s="1"/>
  <c r="X539" i="1"/>
  <c r="AD557" i="1"/>
  <c r="Z557" i="1"/>
  <c r="AB557" i="1" s="1"/>
  <c r="AC557" i="1" s="1"/>
  <c r="P562" i="1"/>
  <c r="P566" i="1"/>
  <c r="X579" i="1"/>
  <c r="Q602" i="1"/>
  <c r="P602" i="1"/>
  <c r="Q736" i="1"/>
  <c r="P736" i="1"/>
  <c r="P660" i="1"/>
  <c r="Q660" i="1"/>
  <c r="Z670" i="1"/>
  <c r="AB670" i="1" s="1"/>
  <c r="AC670" i="1" s="1"/>
  <c r="AD670" i="1"/>
  <c r="Q688" i="1"/>
  <c r="P688" i="1"/>
  <c r="X728" i="1"/>
  <c r="X740" i="1"/>
  <c r="Q784" i="1"/>
  <c r="P784" i="1"/>
  <c r="AD577" i="1"/>
  <c r="Z585" i="1"/>
  <c r="AB585" i="1" s="1"/>
  <c r="AC585" i="1" s="1"/>
  <c r="P587" i="1"/>
  <c r="AD589" i="1"/>
  <c r="Z597" i="1"/>
  <c r="AB597" i="1" s="1"/>
  <c r="AC597" i="1" s="1"/>
  <c r="P599" i="1"/>
  <c r="AD601" i="1"/>
  <c r="Z609" i="1"/>
  <c r="AB609" i="1" s="1"/>
  <c r="AC609" i="1" s="1"/>
  <c r="P611" i="1"/>
  <c r="AD613" i="1"/>
  <c r="Z621" i="1"/>
  <c r="AB621" i="1" s="1"/>
  <c r="AC621" i="1" s="1"/>
  <c r="P623" i="1"/>
  <c r="AD625" i="1"/>
  <c r="Z633" i="1"/>
  <c r="AB633" i="1" s="1"/>
  <c r="AC633" i="1" s="1"/>
  <c r="P635" i="1"/>
  <c r="AD637" i="1"/>
  <c r="P640" i="1"/>
  <c r="P647" i="1"/>
  <c r="P654" i="1"/>
  <c r="Z682" i="1"/>
  <c r="AB682" i="1" s="1"/>
  <c r="AC682" i="1" s="1"/>
  <c r="AD682" i="1"/>
  <c r="Q700" i="1"/>
  <c r="P700" i="1"/>
  <c r="Q772" i="1"/>
  <c r="P772" i="1"/>
  <c r="Z566" i="1"/>
  <c r="AB566" i="1" s="1"/>
  <c r="AC566" i="1" s="1"/>
  <c r="Z578" i="1"/>
  <c r="AB578" i="1" s="1"/>
  <c r="AC578" i="1" s="1"/>
  <c r="Z590" i="1"/>
  <c r="AB590" i="1" s="1"/>
  <c r="AC590" i="1" s="1"/>
  <c r="Z602" i="1"/>
  <c r="AB602" i="1" s="1"/>
  <c r="AC602" i="1" s="1"/>
  <c r="Z614" i="1"/>
  <c r="AB614" i="1" s="1"/>
  <c r="AC614" i="1" s="1"/>
  <c r="Z626" i="1"/>
  <c r="AB626" i="1" s="1"/>
  <c r="AC626" i="1" s="1"/>
  <c r="Z638" i="1"/>
  <c r="AB638" i="1" s="1"/>
  <c r="AC638" i="1" s="1"/>
  <c r="Z664" i="1"/>
  <c r="AB664" i="1" s="1"/>
  <c r="AC664" i="1" s="1"/>
  <c r="Z694" i="1"/>
  <c r="AB694" i="1" s="1"/>
  <c r="AC694" i="1" s="1"/>
  <c r="AD694" i="1"/>
  <c r="Q702" i="1"/>
  <c r="X708" i="1"/>
  <c r="Q712" i="1"/>
  <c r="P712" i="1"/>
  <c r="X768" i="1"/>
  <c r="Z778" i="1"/>
  <c r="AB778" i="1" s="1"/>
  <c r="AC778" i="1" s="1"/>
  <c r="AD778" i="1"/>
  <c r="AD686" i="1"/>
  <c r="Z686" i="1"/>
  <c r="AB686" i="1" s="1"/>
  <c r="AC686" i="1" s="1"/>
  <c r="Q748" i="1"/>
  <c r="P748" i="1"/>
  <c r="Z766" i="1"/>
  <c r="AB766" i="1" s="1"/>
  <c r="AC766" i="1" s="1"/>
  <c r="AD766" i="1"/>
  <c r="Z593" i="1"/>
  <c r="AB593" i="1" s="1"/>
  <c r="AC593" i="1" s="1"/>
  <c r="P595" i="1"/>
  <c r="Z605" i="1"/>
  <c r="AB605" i="1" s="1"/>
  <c r="AC605" i="1" s="1"/>
  <c r="P607" i="1"/>
  <c r="Z617" i="1"/>
  <c r="AB617" i="1" s="1"/>
  <c r="AC617" i="1" s="1"/>
  <c r="P619" i="1"/>
  <c r="Z629" i="1"/>
  <c r="AB629" i="1" s="1"/>
  <c r="AC629" i="1" s="1"/>
  <c r="P631" i="1"/>
  <c r="Q644" i="1"/>
  <c r="Z645" i="1"/>
  <c r="AB645" i="1" s="1"/>
  <c r="AC645" i="1" s="1"/>
  <c r="Z657" i="1"/>
  <c r="AB657" i="1" s="1"/>
  <c r="AC657" i="1" s="1"/>
  <c r="Z658" i="1"/>
  <c r="AB658" i="1" s="1"/>
  <c r="AC658" i="1" s="1"/>
  <c r="AD658" i="1"/>
  <c r="AD676" i="1"/>
  <c r="Z676" i="1"/>
  <c r="AB676" i="1" s="1"/>
  <c r="AC676" i="1" s="1"/>
  <c r="AD698" i="1"/>
  <c r="Z698" i="1"/>
  <c r="AB698" i="1" s="1"/>
  <c r="AC698" i="1" s="1"/>
  <c r="Z718" i="1"/>
  <c r="AB718" i="1" s="1"/>
  <c r="AC718" i="1" s="1"/>
  <c r="AD718" i="1"/>
  <c r="Z730" i="1"/>
  <c r="AB730" i="1" s="1"/>
  <c r="AC730" i="1" s="1"/>
  <c r="AD730" i="1"/>
  <c r="Z742" i="1"/>
  <c r="AB742" i="1" s="1"/>
  <c r="AC742" i="1" s="1"/>
  <c r="AD742" i="1"/>
  <c r="Z754" i="1"/>
  <c r="AB754" i="1" s="1"/>
  <c r="AC754" i="1" s="1"/>
  <c r="AD754" i="1"/>
  <c r="AD782" i="1"/>
  <c r="Z782" i="1"/>
  <c r="AB782" i="1" s="1"/>
  <c r="AC782" i="1" s="1"/>
  <c r="Z562" i="1"/>
  <c r="AB562" i="1" s="1"/>
  <c r="AC562" i="1" s="1"/>
  <c r="Z574" i="1"/>
  <c r="AB574" i="1" s="1"/>
  <c r="AC574" i="1" s="1"/>
  <c r="Z586" i="1"/>
  <c r="AB586" i="1" s="1"/>
  <c r="AC586" i="1" s="1"/>
  <c r="Z598" i="1"/>
  <c r="AB598" i="1" s="1"/>
  <c r="AC598" i="1" s="1"/>
  <c r="Z610" i="1"/>
  <c r="AB610" i="1" s="1"/>
  <c r="AC610" i="1" s="1"/>
  <c r="Z622" i="1"/>
  <c r="AB622" i="1" s="1"/>
  <c r="AC622" i="1" s="1"/>
  <c r="Z634" i="1"/>
  <c r="AB634" i="1" s="1"/>
  <c r="AC634" i="1" s="1"/>
  <c r="Z652" i="1"/>
  <c r="AB652" i="1" s="1"/>
  <c r="AC652" i="1" s="1"/>
  <c r="Q656" i="1"/>
  <c r="Q664" i="1"/>
  <c r="P664" i="1"/>
  <c r="X668" i="1"/>
  <c r="P672" i="1"/>
  <c r="Q672" i="1"/>
  <c r="AD710" i="1"/>
  <c r="Z710" i="1"/>
  <c r="AB710" i="1" s="1"/>
  <c r="AC710" i="1" s="1"/>
  <c r="AD770" i="1"/>
  <c r="Z770" i="1"/>
  <c r="AB770" i="1" s="1"/>
  <c r="AC770" i="1" s="1"/>
  <c r="Z646" i="1"/>
  <c r="AB646" i="1" s="1"/>
  <c r="AC646" i="1" s="1"/>
  <c r="AD646" i="1"/>
  <c r="X680" i="1"/>
  <c r="P684" i="1"/>
  <c r="Q684" i="1"/>
  <c r="AD688" i="1"/>
  <c r="Z688" i="1"/>
  <c r="AB688" i="1" s="1"/>
  <c r="AC688" i="1" s="1"/>
  <c r="P574" i="1"/>
  <c r="P586" i="1"/>
  <c r="P598" i="1"/>
  <c r="P696" i="1"/>
  <c r="Q696" i="1"/>
  <c r="AD700" i="1"/>
  <c r="Z700" i="1"/>
  <c r="AB700" i="1" s="1"/>
  <c r="AC700" i="1" s="1"/>
  <c r="AD722" i="1"/>
  <c r="Z722" i="1"/>
  <c r="AB722" i="1" s="1"/>
  <c r="AC722" i="1" s="1"/>
  <c r="AD734" i="1"/>
  <c r="Z734" i="1"/>
  <c r="AB734" i="1" s="1"/>
  <c r="AC734" i="1" s="1"/>
  <c r="AD746" i="1"/>
  <c r="Z746" i="1"/>
  <c r="AB746" i="1" s="1"/>
  <c r="AC746" i="1" s="1"/>
  <c r="AD758" i="1"/>
  <c r="Z758" i="1"/>
  <c r="AB758" i="1" s="1"/>
  <c r="AC758" i="1" s="1"/>
  <c r="P780" i="1"/>
  <c r="Q780" i="1"/>
  <c r="P579" i="1"/>
  <c r="P591" i="1"/>
  <c r="P603" i="1"/>
  <c r="P615" i="1"/>
  <c r="P627" i="1"/>
  <c r="Z642" i="1"/>
  <c r="AB642" i="1" s="1"/>
  <c r="AC642" i="1" s="1"/>
  <c r="AD654" i="1"/>
  <c r="Z654" i="1"/>
  <c r="AB654" i="1" s="1"/>
  <c r="AC654" i="1" s="1"/>
  <c r="P708" i="1"/>
  <c r="Q708" i="1"/>
  <c r="AD712" i="1"/>
  <c r="Z712" i="1"/>
  <c r="AB712" i="1" s="1"/>
  <c r="AC712" i="1" s="1"/>
  <c r="P768" i="1"/>
  <c r="Q768" i="1"/>
  <c r="P548" i="1"/>
  <c r="P560" i="1"/>
  <c r="P572" i="1"/>
  <c r="P584" i="1"/>
  <c r="P596" i="1"/>
  <c r="P608" i="1"/>
  <c r="P620" i="1"/>
  <c r="P632" i="1"/>
  <c r="X644" i="1"/>
  <c r="Z648" i="1"/>
  <c r="AB648" i="1" s="1"/>
  <c r="AC648" i="1" s="1"/>
  <c r="AD648" i="1"/>
  <c r="Q652" i="1"/>
  <c r="P652" i="1"/>
  <c r="P659" i="1"/>
  <c r="Q676" i="1"/>
  <c r="P676" i="1"/>
  <c r="X704" i="1"/>
  <c r="X656" i="1"/>
  <c r="AD662" i="1"/>
  <c r="Z662" i="1"/>
  <c r="AB662" i="1" s="1"/>
  <c r="AC662" i="1" s="1"/>
  <c r="X664" i="1"/>
  <c r="X672" i="1"/>
  <c r="X716" i="1"/>
  <c r="P720" i="1"/>
  <c r="Q720" i="1"/>
  <c r="P732" i="1"/>
  <c r="Q732" i="1"/>
  <c r="P744" i="1"/>
  <c r="Q744" i="1"/>
  <c r="P756" i="1"/>
  <c r="Q756" i="1"/>
  <c r="AD660" i="1"/>
  <c r="AD672" i="1"/>
  <c r="AD684" i="1"/>
  <c r="AD696" i="1"/>
  <c r="AD708" i="1"/>
  <c r="AD720" i="1"/>
  <c r="AD732" i="1"/>
  <c r="AD744" i="1"/>
  <c r="AD756" i="1"/>
  <c r="P766" i="1"/>
  <c r="AD768" i="1"/>
  <c r="P778" i="1"/>
  <c r="AD780" i="1"/>
  <c r="Z666" i="1"/>
  <c r="AB666" i="1" s="1"/>
  <c r="AC666" i="1" s="1"/>
  <c r="Z678" i="1"/>
  <c r="AB678" i="1" s="1"/>
  <c r="AC678" i="1" s="1"/>
  <c r="Z690" i="1"/>
  <c r="AB690" i="1" s="1"/>
  <c r="AC690" i="1" s="1"/>
  <c r="Z702" i="1"/>
  <c r="AB702" i="1" s="1"/>
  <c r="AC702" i="1" s="1"/>
  <c r="Z714" i="1"/>
  <c r="AB714" i="1" s="1"/>
  <c r="AC714" i="1" s="1"/>
  <c r="Z726" i="1"/>
  <c r="AB726" i="1" s="1"/>
  <c r="AC726" i="1" s="1"/>
  <c r="Z738" i="1"/>
  <c r="AB738" i="1" s="1"/>
  <c r="AC738" i="1" s="1"/>
  <c r="Z750" i="1"/>
  <c r="AB750" i="1" s="1"/>
  <c r="AC750" i="1" s="1"/>
  <c r="Z762" i="1"/>
  <c r="AB762" i="1" s="1"/>
  <c r="AC762" i="1" s="1"/>
  <c r="Z774" i="1"/>
  <c r="AB774" i="1" s="1"/>
  <c r="AC774" i="1" s="1"/>
  <c r="Z786" i="1"/>
  <c r="AB786" i="1" s="1"/>
  <c r="AC786" i="1" s="1"/>
  <c r="Z724" i="1"/>
  <c r="AB724" i="1" s="1"/>
  <c r="AC724" i="1" s="1"/>
  <c r="Z736" i="1"/>
  <c r="AB736" i="1" s="1"/>
  <c r="AC736" i="1" s="1"/>
  <c r="Z748" i="1"/>
  <c r="AB748" i="1" s="1"/>
  <c r="AC748" i="1" s="1"/>
  <c r="Z760" i="1"/>
  <c r="AB760" i="1" s="1"/>
  <c r="AC760" i="1" s="1"/>
  <c r="Z772" i="1"/>
  <c r="AB772" i="1" s="1"/>
  <c r="AC772" i="1" s="1"/>
  <c r="Z784" i="1"/>
  <c r="AB784" i="1" s="1"/>
  <c r="AC784" i="1" s="1"/>
  <c r="P786" i="1"/>
</calcChain>
</file>

<file path=xl/sharedStrings.xml><?xml version="1.0" encoding="utf-8"?>
<sst xmlns="http://schemas.openxmlformats.org/spreadsheetml/2006/main" count="209" uniqueCount="145">
  <si>
    <t>Epoch</t>
  </si>
  <si>
    <t>Date</t>
  </si>
  <si>
    <t>Duration (days)</t>
  </si>
  <si>
    <t>Inflation Rewards (SOL)</t>
  </si>
  <si>
    <t>Fee Rewards (SOL)</t>
  </si>
  <si>
    <t>MEV / Jito Tips (SOL)</t>
  </si>
  <si>
    <t>Validator Commissions (SOL)</t>
  </si>
  <si>
    <t>Avg Commission Rate</t>
  </si>
  <si>
    <t>Validators</t>
  </si>
  <si>
    <t>Stake Accounts</t>
  </si>
  <si>
    <t>Inflation APY</t>
  </si>
  <si>
    <t>SOL Price (USD)</t>
  </si>
  <si>
    <t>FDV (USD)</t>
  </si>
  <si>
    <t>Staker Rewards (SOL)</t>
  </si>
  <si>
    <t>Total Rewards (SOL)</t>
  </si>
  <si>
    <t>Total Rewards (USD)</t>
  </si>
  <si>
    <t>Fee % of Total</t>
  </si>
  <si>
    <t>Commission Rate</t>
  </si>
  <si>
    <t>Fee APY</t>
  </si>
  <si>
    <t>MEV APY</t>
  </si>
  <si>
    <t>Total APY</t>
  </si>
  <si>
    <t>Total Staked (SOL)</t>
  </si>
  <si>
    <t>Total Supply (SOL)</t>
  </si>
  <si>
    <t>Staked Ratio</t>
  </si>
  <si>
    <t>Total Burn (SOL)</t>
  </si>
  <si>
    <t>Net Inflation (SOL)</t>
  </si>
  <si>
    <t>Inflation Rate</t>
  </si>
  <si>
    <t>Issuance (SOL)</t>
  </si>
  <si>
    <t>Issuance (USD)</t>
  </si>
  <si>
    <t>Burn % of Inflation</t>
  </si>
  <si>
    <t>Column</t>
  </si>
  <si>
    <t>Excel Col</t>
  </si>
  <si>
    <t>Type</t>
  </si>
  <si>
    <t>Source</t>
  </si>
  <si>
    <t>Description</t>
  </si>
  <si>
    <t>Coverage</t>
  </si>
  <si>
    <t>epoch</t>
  </si>
  <si>
    <t>A</t>
  </si>
  <si>
    <t>RAW</t>
  </si>
  <si>
    <t>Dune 6773409</t>
  </si>
  <si>
    <t>Epoch number (primary key)</t>
  </si>
  <si>
    <t>150-935+</t>
  </si>
  <si>
    <t>block_time</t>
  </si>
  <si>
    <t>B</t>
  </si>
  <si>
    <t>Start date of epoch</t>
  </si>
  <si>
    <t>epoch_time</t>
  </si>
  <si>
    <t>C</t>
  </si>
  <si>
    <t>Duration of epoch in days (~2-2.5 days)</t>
  </si>
  <si>
    <t>inflationary_reward</t>
  </si>
  <si>
    <t>D</t>
  </si>
  <si>
    <t>Total inflation rewards distributed to stakers+validators (SOL)</t>
  </si>
  <si>
    <t>fee_reward</t>
  </si>
  <si>
    <t>E</t>
  </si>
  <si>
    <t>Total fees distributed to validators (base+priority combined, SOL)</t>
  </si>
  <si>
    <t>mev_reward</t>
  </si>
  <si>
    <t>F</t>
  </si>
  <si>
    <t>MEV tips via Jito (SOL). Non-zero from ~epoch 500</t>
  </si>
  <si>
    <t>voting_rewards_sol</t>
  </si>
  <si>
    <t>G</t>
  </si>
  <si>
    <t>Dune 6773227</t>
  </si>
  <si>
    <t>Validator commissions on inflation rewards (SOL)</t>
  </si>
  <si>
    <t>avg_commission_rate</t>
  </si>
  <si>
    <t>H</t>
  </si>
  <si>
    <t>Stake-weighted average commission rate. NULL for epochs ~150-202</t>
  </si>
  <si>
    <t>~203-935+</t>
  </si>
  <si>
    <t>validator_count</t>
  </si>
  <si>
    <t>I</t>
  </si>
  <si>
    <t>Number of voting validators</t>
  </si>
  <si>
    <t>stake_account_count</t>
  </si>
  <si>
    <t>J</t>
  </si>
  <si>
    <t>Number of stake accounts</t>
  </si>
  <si>
    <t>issue_apy</t>
  </si>
  <si>
    <t>K</t>
  </si>
  <si>
    <t>Inflation APY (uses active_stake from Dune). NULL for epochs 800+</t>
  </si>
  <si>
    <t>150-~800</t>
  </si>
  <si>
    <t>sol_price_usd</t>
  </si>
  <si>
    <t>L</t>
  </si>
  <si>
    <t>CoinGecko + Dune</t>
  </si>
  <si>
    <t>SOL price in USD. CoinGecko last 365 days, Dune-derived for older</t>
  </si>
  <si>
    <t>fdv_usd</t>
  </si>
  <si>
    <t>M</t>
  </si>
  <si>
    <t>CoinGecko</t>
  </si>
  <si>
    <t>Fully Diluted Valuation (USD). CoinGecko Demo key = 365 days</t>
  </si>
  <si>
    <t>Last 365 days</t>
  </si>
  <si>
    <t>staker_rewards_sol</t>
  </si>
  <si>
    <t>N</t>
  </si>
  <si>
    <t>FORMULA</t>
  </si>
  <si>
    <t>Staker inflation rewards = inflationary - validator commissions</t>
  </si>
  <si>
    <t>total_reward</t>
  </si>
  <si>
    <t>O</t>
  </si>
  <si>
    <t>Total rewards = inflation + fees + MEV</t>
  </si>
  <si>
    <t>total_reward_usd</t>
  </si>
  <si>
    <t>P</t>
  </si>
  <si>
    <t>Total rewards in USD = total_reward × price</t>
  </si>
  <si>
    <t>fee_percent</t>
  </si>
  <si>
    <t>Q</t>
  </si>
  <si>
    <t>Fee share of total rewards</t>
  </si>
  <si>
    <t>commission_rate</t>
  </si>
  <si>
    <t>R</t>
  </si>
  <si>
    <t>Effective commission rate. Uses avg_commission or derives from voting/inflationary</t>
  </si>
  <si>
    <t>fee_apy</t>
  </si>
  <si>
    <t>S</t>
  </si>
  <si>
    <t>Fee APY = fee_reward × issue_apy / inflationary_reward</t>
  </si>
  <si>
    <t>mev_apy</t>
  </si>
  <si>
    <t>T</t>
  </si>
  <si>
    <t>MEV APY = mev_reward × issue_apy / inflationary_reward</t>
  </si>
  <si>
    <t>total_apy</t>
  </si>
  <si>
    <t>U</t>
  </si>
  <si>
    <t>Total APY = inflation + fee + MEV APY</t>
  </si>
  <si>
    <t>total_stake_sol</t>
  </si>
  <si>
    <t>V</t>
  </si>
  <si>
    <t>Total staked SOL derived from inflation APY formula</t>
  </si>
  <si>
    <t>total_supply</t>
  </si>
  <si>
    <t>W</t>
  </si>
  <si>
    <t>Total supply = FDV / price</t>
  </si>
  <si>
    <t>staked_ratio</t>
  </si>
  <si>
    <t>X</t>
  </si>
  <si>
    <t>Staked ratio = staked / total supply</t>
  </si>
  <si>
    <t>total_burn</t>
  </si>
  <si>
    <t>Y</t>
  </si>
  <si>
    <t>Fee burn (SOL). Pre-SIMD96 only: 50% of all fees burned</t>
  </si>
  <si>
    <t>150-619</t>
  </si>
  <si>
    <t>net_inflation</t>
  </si>
  <si>
    <t>Z</t>
  </si>
  <si>
    <t>Net inflation after burns = inflationary - burn</t>
  </si>
  <si>
    <t>inflation_rate</t>
  </si>
  <si>
    <t>AA</t>
  </si>
  <si>
    <t>Solana protocol inflation schedule formula</t>
  </si>
  <si>
    <t>issuance_sol</t>
  </si>
  <si>
    <t>AB</t>
  </si>
  <si>
    <t>Net issuance in SOL = net_inflation</t>
  </si>
  <si>
    <t>issuance_usd</t>
  </si>
  <si>
    <t>AC</t>
  </si>
  <si>
    <t>Net issuance in USD = issuance × price</t>
  </si>
  <si>
    <t>burn_pct_inflation</t>
  </si>
  <si>
    <t>AD</t>
  </si>
  <si>
    <t>Burn as percentage of inflation rewards</t>
  </si>
  <si>
    <t>Data Source URLs</t>
  </si>
  <si>
    <t>Validator Revenue by Epoch</t>
  </si>
  <si>
    <t>https://dune.com/queries/6773409</t>
  </si>
  <si>
    <t>Commission &amp; Validators</t>
  </si>
  <si>
    <t>https://dune.com/queries/6773227</t>
  </si>
  <si>
    <t>CoinGecko API</t>
  </si>
  <si>
    <t>SOL Price &amp; FDV (Demo key, 365d)</t>
  </si>
  <si>
    <t>https://api.coingecko.com/api/v3/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</si>
</sst>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5" formatCode="yyyy\-mm\-dd"/>
    <numFmt numFmtId="166" formatCode="0.0000"/>
    <numFmt numFmtId="167" formatCode="#,##0.000"/>
    <numFmt numFmtId="168" formatCode="0.0000%"/>
    <numFmt numFmtId="169" formatCode="\$#,##0.00"/>
    <numFmt numFmtId="170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FFF9E6"/>
        <bgColor rgb="FFFFF9E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33333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1" fontId="0" fillId="8" borderId="1" xfId="0" applyNumberFormat="1" applyFill="1" applyBorder="1"/>
    <xf numFmtId="165" fontId="0" fillId="8" borderId="1" xfId="0" applyNumberFormat="1" applyFill="1" applyBorder="1"/>
    <xf numFmtId="166" fontId="0" fillId="8" borderId="1" xfId="0" applyNumberFormat="1" applyFill="1" applyBorder="1"/>
    <xf numFmtId="167" fontId="0" fillId="8" borderId="1" xfId="0" applyNumberFormat="1" applyFill="1" applyBorder="1"/>
    <xf numFmtId="168" fontId="0" fillId="8" borderId="1" xfId="0" applyNumberFormat="1" applyFill="1" applyBorder="1"/>
    <xf numFmtId="3" fontId="0" fillId="8" borderId="1" xfId="0" applyNumberFormat="1" applyFill="1" applyBorder="1"/>
    <xf numFmtId="169" fontId="0" fillId="8" borderId="1" xfId="0" applyNumberFormat="1" applyFill="1" applyBorder="1"/>
    <xf numFmtId="170" fontId="0" fillId="8" borderId="1" xfId="0" applyNumberFormat="1" applyFill="1" applyBorder="1"/>
    <xf numFmtId="167" fontId="0" fillId="9" borderId="2" xfId="0" applyNumberFormat="1" applyFill="1" applyBorder="1"/>
    <xf numFmtId="167" fontId="0" fillId="9" borderId="1" xfId="0" applyNumberFormat="1" applyFill="1" applyBorder="1"/>
    <xf numFmtId="170" fontId="0" fillId="9" borderId="1" xfId="0" applyNumberFormat="1" applyFill="1" applyBorder="1"/>
    <xf numFmtId="10" fontId="0" fillId="9" borderId="1" xfId="0" applyNumberFormat="1" applyFill="1" applyBorder="1"/>
    <xf numFmtId="168" fontId="0" fillId="9" borderId="1" xfId="0" applyNumberFormat="1" applyFill="1" applyBorder="1"/>
    <xf numFmtId="3" fontId="0" fillId="9" borderId="1" xfId="0" applyNumberFormat="1" applyFill="1" applyBorder="1"/>
    <xf numFmtId="0" fontId="1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FCEB019-DA63-4099-9DDE-61C6A01142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5" sqref="N5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0" customWidth="1"/>
    <col min="4" max="4" width="22" customWidth="1"/>
    <col min="5" max="5" width="18" customWidth="1"/>
    <col min="6" max="6" width="20" customWidth="1"/>
    <col min="7" max="7" width="24" customWidth="1"/>
    <col min="8" max="8" width="18" customWidth="1"/>
    <col min="9" max="9" width="12" customWidth="1"/>
    <col min="10" max="11" width="14" customWidth="1"/>
    <col min="12" max="13" width="16" customWidth="1"/>
    <col min="14" max="14" width="22" customWidth="1"/>
    <col min="15" max="16" width="21" customWidth="1"/>
    <col min="17" max="17" width="16" customWidth="1"/>
    <col min="18" max="18" width="17" customWidth="1"/>
    <col min="19" max="21" width="14" customWidth="1"/>
    <col min="22" max="23" width="20" customWidth="1"/>
    <col min="24" max="24" width="14" customWidth="1"/>
    <col min="25" max="25" width="18" customWidth="1"/>
    <col min="26" max="26" width="21" customWidth="1"/>
    <col min="27" max="29" width="16" customWidth="1"/>
    <col min="30" max="30" width="21" customWidth="1"/>
  </cols>
  <sheetData>
    <row r="1" spans="1:30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spans="1:30" x14ac:dyDescent="0.25">
      <c r="A2" s="8">
        <v>150</v>
      </c>
      <c r="B2" s="9">
        <v>44237</v>
      </c>
      <c r="C2" s="10">
        <v>3</v>
      </c>
      <c r="D2" s="11">
        <v>213841.8844043322</v>
      </c>
      <c r="E2" s="11">
        <v>689.93558899199945</v>
      </c>
      <c r="F2" s="11"/>
      <c r="G2" s="11">
        <v>22007.059367346999</v>
      </c>
      <c r="H2" s="12"/>
      <c r="I2" s="13">
        <v>446</v>
      </c>
      <c r="J2" s="13">
        <v>9738</v>
      </c>
      <c r="K2" s="12">
        <v>0.19362127566971829</v>
      </c>
      <c r="L2" s="14">
        <v>8.2131250000000406</v>
      </c>
      <c r="M2" s="15"/>
      <c r="N2" s="16">
        <f t="shared" ref="N2:N65" si="0">D2-G2</f>
        <v>191834.82503698522</v>
      </c>
      <c r="O2" s="17">
        <f t="shared" ref="O2:O65" si="1">D2+E2+F2</f>
        <v>214531.8199933242</v>
      </c>
      <c r="P2" s="18">
        <f t="shared" ref="P2:P65" si="2">O2*L2</f>
        <v>1761976.6540826794</v>
      </c>
      <c r="Q2" s="19">
        <f t="shared" ref="Q2:Q65" si="3">IF(O2&gt;0,E2/O2,"")</f>
        <v>3.2160058541127784E-3</v>
      </c>
      <c r="R2" s="20">
        <f t="shared" ref="R2:R65" si="4">IF(H2&lt;&gt;"",H2,IF(D2&gt;0,G2/D2,""))</f>
        <v>0.10291276392671538</v>
      </c>
      <c r="S2" s="20">
        <f t="shared" ref="S2:S65" si="5">IF(AND(K2&lt;&gt;"",D2&gt;0),E2*K2/D2,"")</f>
        <v>6.2469618261492958E-4</v>
      </c>
      <c r="T2" s="20">
        <f t="shared" ref="T2:T65" si="6">IF(AND(K2&lt;&gt;"",D2&gt;0),F2*K2/D2,"")</f>
        <v>0</v>
      </c>
      <c r="U2" s="20">
        <f t="shared" ref="U2:U65" si="7">IF(K2&lt;&gt;"",K2+S2+T2,"")</f>
        <v>0.19424597185233322</v>
      </c>
      <c r="V2" s="21">
        <f t="shared" ref="V2:V65" si="8">IF(AND(K2&lt;&gt;"",K2&gt;0,C2&gt;0),D2*(365.25/C2)/K2,"")</f>
        <v>134464817.13424259</v>
      </c>
      <c r="W2" s="21" t="str">
        <f t="shared" ref="W2:W65" si="9">IF(AND(M2&lt;&gt;"",L2&gt;0),M2/L2,"")</f>
        <v/>
      </c>
      <c r="X2" s="19" t="str">
        <f t="shared" ref="X2:X65" si="10">IF(AND(V2&lt;&gt;"",W2&lt;&gt;"",W2&gt;0),V2/W2,"")</f>
        <v/>
      </c>
      <c r="Y2" s="17">
        <f t="shared" ref="Y2:Y65" si="11">IF(A2&lt;620,E2*0.5,"")</f>
        <v>344.96779449599973</v>
      </c>
      <c r="Z2" s="17">
        <f t="shared" ref="Z2:Z65" si="12">IF(Y2&lt;&gt;"",D2-Y2,"")</f>
        <v>213496.91660983619</v>
      </c>
      <c r="AA2" s="20">
        <f t="shared" ref="AA2:AA65" si="13">IF(B2&lt;&gt;"",MAX(0.08*0.85^((B2-DATE(2020,3,16))/365.25),0.015),"")</f>
        <v>6.9044231193123556E-2</v>
      </c>
      <c r="AB2" s="17">
        <f t="shared" ref="AB2:AB65" si="14">IF(Z2&lt;&gt;"",Z2,"")</f>
        <v>213496.91660983619</v>
      </c>
      <c r="AC2" s="18">
        <f t="shared" ref="AC2:AC65" si="15">IF(AB2&lt;&gt;"",AB2*L2,"")</f>
        <v>1753476.8632311695</v>
      </c>
      <c r="AD2" s="19">
        <f t="shared" ref="AD2:AD65" si="16">IF(AND(Y2&lt;&gt;"",D2&gt;0),Y2/D2,"")</f>
        <v>1.613190958623123E-3</v>
      </c>
    </row>
    <row r="3" spans="1:30" x14ac:dyDescent="0.25">
      <c r="A3" s="8">
        <v>151</v>
      </c>
      <c r="B3" s="9">
        <v>44240</v>
      </c>
      <c r="C3" s="10">
        <v>3</v>
      </c>
      <c r="D3" s="11">
        <v>213744.87446710491</v>
      </c>
      <c r="E3" s="11">
        <v>649.76745000199969</v>
      </c>
      <c r="F3" s="11"/>
      <c r="G3" s="11">
        <v>22312.527494397</v>
      </c>
      <c r="H3" s="12"/>
      <c r="I3" s="13">
        <v>467</v>
      </c>
      <c r="J3" s="13">
        <v>4932</v>
      </c>
      <c r="K3" s="12">
        <v>0.1771618868433803</v>
      </c>
      <c r="L3" s="14">
        <v>9.0667013888889123</v>
      </c>
      <c r="M3" s="15"/>
      <c r="N3" s="16">
        <f t="shared" si="0"/>
        <v>191432.34697270789</v>
      </c>
      <c r="O3" s="17">
        <f t="shared" si="1"/>
        <v>214394.6419171069</v>
      </c>
      <c r="P3" s="18">
        <f t="shared" si="2"/>
        <v>1943852.1976401741</v>
      </c>
      <c r="Q3" s="19">
        <f t="shared" si="3"/>
        <v>3.030707503656852E-3</v>
      </c>
      <c r="R3" s="20">
        <f t="shared" si="4"/>
        <v>0.10438859668576929</v>
      </c>
      <c r="S3" s="20">
        <f t="shared" si="5"/>
        <v>5.3855807180762112E-4</v>
      </c>
      <c r="T3" s="20">
        <f t="shared" si="6"/>
        <v>0</v>
      </c>
      <c r="U3" s="20">
        <f t="shared" si="7"/>
        <v>0.17770044491518791</v>
      </c>
      <c r="V3" s="21">
        <f t="shared" si="8"/>
        <v>146890727.6279802</v>
      </c>
      <c r="W3" s="21" t="str">
        <f t="shared" si="9"/>
        <v/>
      </c>
      <c r="X3" s="19" t="str">
        <f t="shared" si="10"/>
        <v/>
      </c>
      <c r="Y3" s="17">
        <f t="shared" si="11"/>
        <v>324.88372500099985</v>
      </c>
      <c r="Z3" s="17">
        <f t="shared" si="12"/>
        <v>213419.9907421039</v>
      </c>
      <c r="AA3" s="20">
        <f t="shared" si="13"/>
        <v>6.8952128452613948E-2</v>
      </c>
      <c r="AB3" s="17">
        <f t="shared" si="14"/>
        <v>213419.9907421039</v>
      </c>
      <c r="AC3" s="18">
        <f t="shared" si="15"/>
        <v>1935015.3264780922</v>
      </c>
      <c r="AD3" s="19">
        <f t="shared" si="16"/>
        <v>1.5199603069359171E-3</v>
      </c>
    </row>
    <row r="4" spans="1:30" x14ac:dyDescent="0.25">
      <c r="A4" s="8">
        <v>152</v>
      </c>
      <c r="B4" s="9">
        <v>44243</v>
      </c>
      <c r="C4" s="10">
        <v>3</v>
      </c>
      <c r="D4" s="11">
        <v>213647.84307240901</v>
      </c>
      <c r="E4" s="11">
        <v>769.28134373999944</v>
      </c>
      <c r="F4" s="11"/>
      <c r="G4" s="11">
        <v>21757.370502777001</v>
      </c>
      <c r="H4" s="12"/>
      <c r="I4" s="13">
        <v>480</v>
      </c>
      <c r="J4" s="13">
        <v>5571</v>
      </c>
      <c r="K4" s="12">
        <v>0.15538483897222549</v>
      </c>
      <c r="L4" s="14">
        <v>8.5063541666666396</v>
      </c>
      <c r="M4" s="15"/>
      <c r="N4" s="16">
        <f t="shared" si="0"/>
        <v>191890.47256963202</v>
      </c>
      <c r="O4" s="17">
        <f t="shared" si="1"/>
        <v>214417.12441614902</v>
      </c>
      <c r="P4" s="18">
        <f t="shared" si="2"/>
        <v>1823907.9996819885</v>
      </c>
      <c r="Q4" s="19">
        <f t="shared" si="3"/>
        <v>3.5877794081733351E-3</v>
      </c>
      <c r="R4" s="20">
        <f t="shared" si="4"/>
        <v>0.10183753877357445</v>
      </c>
      <c r="S4" s="20">
        <f t="shared" si="5"/>
        <v>5.5949386617895624E-4</v>
      </c>
      <c r="T4" s="20">
        <f t="shared" si="6"/>
        <v>0</v>
      </c>
      <c r="U4" s="20">
        <f t="shared" si="7"/>
        <v>0.15594433283840445</v>
      </c>
      <c r="V4" s="21">
        <f t="shared" si="8"/>
        <v>167401305.46916026</v>
      </c>
      <c r="W4" s="21" t="str">
        <f t="shared" si="9"/>
        <v/>
      </c>
      <c r="X4" s="19" t="str">
        <f t="shared" si="10"/>
        <v/>
      </c>
      <c r="Y4" s="17">
        <f t="shared" si="11"/>
        <v>384.64067186999972</v>
      </c>
      <c r="Z4" s="17">
        <f t="shared" si="12"/>
        <v>213263.20240053901</v>
      </c>
      <c r="AA4" s="20">
        <f t="shared" si="13"/>
        <v>6.886014857414019E-2</v>
      </c>
      <c r="AB4" s="17">
        <f t="shared" si="14"/>
        <v>213263.20240053901</v>
      </c>
      <c r="AC4" s="18">
        <f t="shared" si="15"/>
        <v>1814092.330336496</v>
      </c>
      <c r="AD4" s="19">
        <f t="shared" si="16"/>
        <v>1.8003489590093275E-3</v>
      </c>
    </row>
    <row r="5" spans="1:30" x14ac:dyDescent="0.25">
      <c r="A5" s="8">
        <v>153</v>
      </c>
      <c r="B5" s="9">
        <v>44246</v>
      </c>
      <c r="C5" s="10">
        <v>3</v>
      </c>
      <c r="D5" s="11">
        <v>213550.72065056211</v>
      </c>
      <c r="E5" s="11">
        <v>859.7158190159995</v>
      </c>
      <c r="F5" s="11"/>
      <c r="G5" s="11">
        <v>21262.822962761998</v>
      </c>
      <c r="H5" s="12"/>
      <c r="I5" s="13">
        <v>482</v>
      </c>
      <c r="J5" s="13">
        <v>6026</v>
      </c>
      <c r="K5" s="12">
        <v>0.1513819758912634</v>
      </c>
      <c r="L5" s="14">
        <v>10.10472222222219</v>
      </c>
      <c r="M5" s="15"/>
      <c r="N5" s="16">
        <f t="shared" si="0"/>
        <v>192287.89768780011</v>
      </c>
      <c r="O5" s="17">
        <f t="shared" si="1"/>
        <v>214410.43646957813</v>
      </c>
      <c r="P5" s="18">
        <f t="shared" si="2"/>
        <v>2166557.9020705051</v>
      </c>
      <c r="Q5" s="19">
        <f t="shared" si="3"/>
        <v>4.009673377713502E-3</v>
      </c>
      <c r="R5" s="20">
        <f t="shared" si="4"/>
        <v>9.9568022519365959E-2</v>
      </c>
      <c r="S5" s="20">
        <f t="shared" si="5"/>
        <v>6.0943591757097273E-4</v>
      </c>
      <c r="T5" s="20">
        <f t="shared" si="6"/>
        <v>0</v>
      </c>
      <c r="U5" s="20">
        <f t="shared" si="7"/>
        <v>0.15199141180883438</v>
      </c>
      <c r="V5" s="21">
        <f t="shared" si="8"/>
        <v>171749642.49298352</v>
      </c>
      <c r="W5" s="21" t="str">
        <f t="shared" si="9"/>
        <v/>
      </c>
      <c r="X5" s="19" t="str">
        <f t="shared" si="10"/>
        <v/>
      </c>
      <c r="Y5" s="17">
        <f t="shared" si="11"/>
        <v>429.85790950799975</v>
      </c>
      <c r="Z5" s="17">
        <f t="shared" si="12"/>
        <v>213120.86274105412</v>
      </c>
      <c r="AA5" s="20">
        <f t="shared" si="13"/>
        <v>6.876829139380837E-2</v>
      </c>
      <c r="AB5" s="17">
        <f t="shared" si="14"/>
        <v>213120.86274105412</v>
      </c>
      <c r="AC5" s="18">
        <f t="shared" si="15"/>
        <v>2153527.1177586946</v>
      </c>
      <c r="AD5" s="19">
        <f t="shared" si="16"/>
        <v>2.0129077916406848E-3</v>
      </c>
    </row>
    <row r="6" spans="1:30" x14ac:dyDescent="0.25">
      <c r="A6" s="8">
        <v>154</v>
      </c>
      <c r="B6" s="9">
        <v>44250</v>
      </c>
      <c r="C6" s="10">
        <v>3.791666666666667</v>
      </c>
      <c r="D6" s="11">
        <v>213453.51967880741</v>
      </c>
      <c r="E6" s="11">
        <v>782.36318352499916</v>
      </c>
      <c r="F6" s="11"/>
      <c r="G6" s="11">
        <v>20076.744276084999</v>
      </c>
      <c r="H6" s="12"/>
      <c r="I6" s="13">
        <v>488</v>
      </c>
      <c r="J6" s="13">
        <v>6402</v>
      </c>
      <c r="K6" s="12">
        <v>0.1113907592930895</v>
      </c>
      <c r="L6" s="14">
        <v>14.159687500000009</v>
      </c>
      <c r="M6" s="15"/>
      <c r="N6" s="16">
        <f t="shared" si="0"/>
        <v>193376.77540272241</v>
      </c>
      <c r="O6" s="17">
        <f t="shared" si="1"/>
        <v>214235.88286233242</v>
      </c>
      <c r="P6" s="18">
        <f t="shared" si="2"/>
        <v>3033513.1526172347</v>
      </c>
      <c r="Q6" s="19">
        <f t="shared" si="3"/>
        <v>3.6518774216163603E-3</v>
      </c>
      <c r="R6" s="20">
        <f t="shared" si="4"/>
        <v>9.4056749714389015E-2</v>
      </c>
      <c r="S6" s="20">
        <f t="shared" si="5"/>
        <v>4.082763741115337E-4</v>
      </c>
      <c r="T6" s="20">
        <f t="shared" si="6"/>
        <v>0</v>
      </c>
      <c r="U6" s="20">
        <f t="shared" si="7"/>
        <v>0.11179903566720104</v>
      </c>
      <c r="V6" s="21">
        <f t="shared" si="8"/>
        <v>184592575.82817233</v>
      </c>
      <c r="W6" s="21" t="str">
        <f t="shared" si="9"/>
        <v/>
      </c>
      <c r="X6" s="19" t="str">
        <f t="shared" si="10"/>
        <v/>
      </c>
      <c r="Y6" s="17">
        <f t="shared" si="11"/>
        <v>391.18159176249958</v>
      </c>
      <c r="Z6" s="17">
        <f t="shared" si="12"/>
        <v>213062.33808704492</v>
      </c>
      <c r="AA6" s="20">
        <f t="shared" si="13"/>
        <v>6.864600573427819E-2</v>
      </c>
      <c r="AB6" s="17">
        <f t="shared" si="14"/>
        <v>213062.33808704492</v>
      </c>
      <c r="AC6" s="18">
        <f t="shared" si="15"/>
        <v>3016896.1253319057</v>
      </c>
      <c r="AD6" s="19">
        <f t="shared" si="16"/>
        <v>1.8326312555123343E-3</v>
      </c>
    </row>
    <row r="7" spans="1:30" x14ac:dyDescent="0.25">
      <c r="A7" s="8">
        <v>155</v>
      </c>
      <c r="B7" s="9">
        <v>44254</v>
      </c>
      <c r="C7" s="10">
        <v>3.583333333333333</v>
      </c>
      <c r="D7" s="11">
        <v>213356.31432187889</v>
      </c>
      <c r="E7" s="11">
        <v>744.15067483099961</v>
      </c>
      <c r="F7" s="11"/>
      <c r="G7" s="11">
        <v>19902.117584054002</v>
      </c>
      <c r="H7" s="12"/>
      <c r="I7" s="13">
        <v>493</v>
      </c>
      <c r="J7" s="13">
        <v>7068</v>
      </c>
      <c r="K7" s="12">
        <v>0.1100299773811101</v>
      </c>
      <c r="L7" s="14">
        <v>13.83486111111112</v>
      </c>
      <c r="M7" s="15"/>
      <c r="N7" s="16">
        <f t="shared" si="0"/>
        <v>193454.19673782488</v>
      </c>
      <c r="O7" s="17">
        <f t="shared" si="1"/>
        <v>214100.4649967099</v>
      </c>
      <c r="P7" s="18">
        <f t="shared" si="2"/>
        <v>2962050.1970537896</v>
      </c>
      <c r="Q7" s="19">
        <f t="shared" si="3"/>
        <v>3.4757078871474429E-3</v>
      </c>
      <c r="R7" s="20">
        <f t="shared" si="4"/>
        <v>9.3281127616540921E-2</v>
      </c>
      <c r="S7" s="20">
        <f t="shared" si="5"/>
        <v>3.8376591843570449E-4</v>
      </c>
      <c r="T7" s="20">
        <f t="shared" si="6"/>
        <v>0</v>
      </c>
      <c r="U7" s="20">
        <f t="shared" si="7"/>
        <v>0.11041374329954581</v>
      </c>
      <c r="V7" s="21">
        <f t="shared" si="8"/>
        <v>197650306.3456071</v>
      </c>
      <c r="W7" s="21" t="str">
        <f t="shared" si="9"/>
        <v/>
      </c>
      <c r="X7" s="19" t="str">
        <f t="shared" si="10"/>
        <v/>
      </c>
      <c r="Y7" s="17">
        <f t="shared" si="11"/>
        <v>372.0753374154998</v>
      </c>
      <c r="Z7" s="17">
        <f t="shared" si="12"/>
        <v>212984.23898446339</v>
      </c>
      <c r="AA7" s="20">
        <f t="shared" si="13"/>
        <v>6.8523937526457565E-2</v>
      </c>
      <c r="AB7" s="17">
        <f t="shared" si="14"/>
        <v>212984.23898446339</v>
      </c>
      <c r="AC7" s="18">
        <f t="shared" si="15"/>
        <v>2946607.3652057494</v>
      </c>
      <c r="AD7" s="19">
        <f t="shared" si="16"/>
        <v>1.743915283679724E-3</v>
      </c>
    </row>
    <row r="8" spans="1:30" x14ac:dyDescent="0.25">
      <c r="A8" s="8">
        <v>156</v>
      </c>
      <c r="B8" s="9">
        <v>44257</v>
      </c>
      <c r="C8" s="10">
        <v>3.583333333333333</v>
      </c>
      <c r="D8" s="11">
        <v>213259.08736163061</v>
      </c>
      <c r="E8" s="11">
        <v>635.68790866099982</v>
      </c>
      <c r="F8" s="11"/>
      <c r="G8" s="11">
        <v>19486.968540147001</v>
      </c>
      <c r="H8" s="12"/>
      <c r="I8" s="13">
        <v>496</v>
      </c>
      <c r="J8" s="13">
        <v>7548</v>
      </c>
      <c r="K8" s="12">
        <v>0.10669795853644801</v>
      </c>
      <c r="L8" s="14">
        <v>14.39145833333332</v>
      </c>
      <c r="M8" s="15"/>
      <c r="N8" s="16">
        <f t="shared" si="0"/>
        <v>193772.1188214836</v>
      </c>
      <c r="O8" s="17">
        <f t="shared" si="1"/>
        <v>213894.7752702916</v>
      </c>
      <c r="P8" s="18">
        <f t="shared" si="2"/>
        <v>3078257.7460200959</v>
      </c>
      <c r="Q8" s="19">
        <f t="shared" si="3"/>
        <v>2.971965574463904E-3</v>
      </c>
      <c r="R8" s="20">
        <f t="shared" si="4"/>
        <v>9.137696677423314E-2</v>
      </c>
      <c r="S8" s="20">
        <f t="shared" si="5"/>
        <v>3.1804788700711664E-4</v>
      </c>
      <c r="T8" s="20">
        <f t="shared" si="6"/>
        <v>0</v>
      </c>
      <c r="U8" s="20">
        <f t="shared" si="7"/>
        <v>0.10701600642345513</v>
      </c>
      <c r="V8" s="21">
        <f t="shared" si="8"/>
        <v>203729749.54794529</v>
      </c>
      <c r="W8" s="21" t="str">
        <f t="shared" si="9"/>
        <v/>
      </c>
      <c r="X8" s="19" t="str">
        <f t="shared" si="10"/>
        <v/>
      </c>
      <c r="Y8" s="17">
        <f t="shared" si="11"/>
        <v>317.84395433049991</v>
      </c>
      <c r="Z8" s="17">
        <f t="shared" si="12"/>
        <v>212941.24340730009</v>
      </c>
      <c r="AA8" s="20">
        <f t="shared" si="13"/>
        <v>6.8432528840639287E-2</v>
      </c>
      <c r="AB8" s="17">
        <f t="shared" si="14"/>
        <v>212941.24340730009</v>
      </c>
      <c r="AC8" s="18">
        <f t="shared" si="15"/>
        <v>3064535.031944348</v>
      </c>
      <c r="AD8" s="19">
        <f t="shared" si="16"/>
        <v>1.4904122411042735E-3</v>
      </c>
    </row>
    <row r="9" spans="1:30" x14ac:dyDescent="0.25">
      <c r="A9" s="8">
        <v>157</v>
      </c>
      <c r="B9" s="9">
        <v>44261</v>
      </c>
      <c r="C9" s="10">
        <v>3.458333333333333</v>
      </c>
      <c r="D9" s="11">
        <v>213161.8695718025</v>
      </c>
      <c r="E9" s="11">
        <v>633.47272243199961</v>
      </c>
      <c r="F9" s="11"/>
      <c r="G9" s="11">
        <v>19597.974208283002</v>
      </c>
      <c r="H9" s="12"/>
      <c r="I9" s="13">
        <v>503</v>
      </c>
      <c r="J9" s="13">
        <v>7846</v>
      </c>
      <c r="K9" s="12">
        <v>0.1045148715040384</v>
      </c>
      <c r="L9" s="14">
        <v>12.469965277777799</v>
      </c>
      <c r="M9" s="15"/>
      <c r="N9" s="16">
        <f t="shared" si="0"/>
        <v>193563.89536351949</v>
      </c>
      <c r="O9" s="17">
        <f t="shared" si="1"/>
        <v>213795.34229423449</v>
      </c>
      <c r="P9" s="18">
        <f t="shared" si="2"/>
        <v>2666020.4949597237</v>
      </c>
      <c r="Q9" s="19">
        <f t="shared" si="3"/>
        <v>2.9629865442072482E-3</v>
      </c>
      <c r="R9" s="20">
        <f t="shared" si="4"/>
        <v>9.1939399141371878E-2</v>
      </c>
      <c r="S9" s="20">
        <f t="shared" si="5"/>
        <v>3.1059645104112877E-4</v>
      </c>
      <c r="T9" s="20">
        <f t="shared" si="6"/>
        <v>0</v>
      </c>
      <c r="U9" s="20">
        <f t="shared" si="7"/>
        <v>0.10482546795507953</v>
      </c>
      <c r="V9" s="21">
        <f t="shared" si="8"/>
        <v>215404515.75130829</v>
      </c>
      <c r="W9" s="21" t="str">
        <f t="shared" si="9"/>
        <v/>
      </c>
      <c r="X9" s="19" t="str">
        <f t="shared" si="10"/>
        <v/>
      </c>
      <c r="Y9" s="17">
        <f t="shared" si="11"/>
        <v>316.73636121599981</v>
      </c>
      <c r="Z9" s="17">
        <f t="shared" si="12"/>
        <v>212845.1332105865</v>
      </c>
      <c r="AA9" s="20">
        <f t="shared" si="13"/>
        <v>6.8310840243278714E-2</v>
      </c>
      <c r="AB9" s="17">
        <f t="shared" si="14"/>
        <v>212845.1332105865</v>
      </c>
      <c r="AC9" s="18">
        <f t="shared" si="15"/>
        <v>2654171.4206800042</v>
      </c>
      <c r="AD9" s="19">
        <f t="shared" si="16"/>
        <v>1.4858959618446617E-3</v>
      </c>
    </row>
    <row r="10" spans="1:30" x14ac:dyDescent="0.25">
      <c r="A10" s="8">
        <v>158</v>
      </c>
      <c r="B10" s="9">
        <v>44264</v>
      </c>
      <c r="C10" s="10">
        <v>3.041666666666667</v>
      </c>
      <c r="D10" s="11">
        <v>213064.61467300911</v>
      </c>
      <c r="E10" s="11">
        <v>604.15638195699955</v>
      </c>
      <c r="F10" s="11"/>
      <c r="G10" s="11">
        <v>19374.116753662998</v>
      </c>
      <c r="H10" s="12"/>
      <c r="I10" s="13">
        <v>507</v>
      </c>
      <c r="J10" s="13">
        <v>8050</v>
      </c>
      <c r="K10" s="12">
        <v>0.1179038411754503</v>
      </c>
      <c r="L10" s="14">
        <v>14.28062499999996</v>
      </c>
      <c r="M10" s="15"/>
      <c r="N10" s="16">
        <f t="shared" si="0"/>
        <v>193690.49791934612</v>
      </c>
      <c r="O10" s="17">
        <f t="shared" si="1"/>
        <v>213668.77105496611</v>
      </c>
      <c r="P10" s="18">
        <f t="shared" si="2"/>
        <v>3051323.5936468169</v>
      </c>
      <c r="Q10" s="19">
        <f t="shared" si="3"/>
        <v>2.8275371219389886E-3</v>
      </c>
      <c r="R10" s="20">
        <f t="shared" si="4"/>
        <v>9.0930710307746368E-2</v>
      </c>
      <c r="S10" s="20">
        <f t="shared" si="5"/>
        <v>3.3432279786445665E-4</v>
      </c>
      <c r="T10" s="20">
        <f t="shared" si="6"/>
        <v>0</v>
      </c>
      <c r="U10" s="20">
        <f t="shared" si="7"/>
        <v>0.11823816397331476</v>
      </c>
      <c r="V10" s="21">
        <f t="shared" si="8"/>
        <v>217001122.82854542</v>
      </c>
      <c r="W10" s="21" t="str">
        <f t="shared" si="9"/>
        <v/>
      </c>
      <c r="X10" s="19" t="str">
        <f t="shared" si="10"/>
        <v/>
      </c>
      <c r="Y10" s="17">
        <f t="shared" si="11"/>
        <v>302.07819097849978</v>
      </c>
      <c r="Z10" s="17">
        <f t="shared" si="12"/>
        <v>212762.53648203061</v>
      </c>
      <c r="AA10" s="20">
        <f t="shared" si="13"/>
        <v>6.8219715822248908E-2</v>
      </c>
      <c r="AB10" s="17">
        <f t="shared" si="14"/>
        <v>212762.53648203061</v>
      </c>
      <c r="AC10" s="18">
        <f t="shared" si="15"/>
        <v>3038381.9975486901</v>
      </c>
      <c r="AD10" s="19">
        <f t="shared" si="16"/>
        <v>1.417777379139657E-3</v>
      </c>
    </row>
    <row r="11" spans="1:30" x14ac:dyDescent="0.25">
      <c r="A11" s="8">
        <v>159</v>
      </c>
      <c r="B11" s="9">
        <v>44267</v>
      </c>
      <c r="C11" s="10">
        <v>3</v>
      </c>
      <c r="D11" s="11">
        <v>212967.33466943991</v>
      </c>
      <c r="E11" s="11">
        <v>556.29873012299959</v>
      </c>
      <c r="F11" s="11"/>
      <c r="G11" s="11">
        <v>19467.688382599001</v>
      </c>
      <c r="H11" s="12"/>
      <c r="I11" s="13">
        <v>508</v>
      </c>
      <c r="J11" s="13">
        <v>8269</v>
      </c>
      <c r="K11" s="12">
        <v>0.11922128652459391</v>
      </c>
      <c r="L11" s="14">
        <v>15.472812500000019</v>
      </c>
      <c r="M11" s="15"/>
      <c r="N11" s="16">
        <f t="shared" si="0"/>
        <v>193499.6462868409</v>
      </c>
      <c r="O11" s="17">
        <f t="shared" si="1"/>
        <v>213523.63339956291</v>
      </c>
      <c r="P11" s="18">
        <f t="shared" si="2"/>
        <v>3303811.1439101784</v>
      </c>
      <c r="Q11" s="19">
        <f t="shared" si="3"/>
        <v>2.6053262641986233E-3</v>
      </c>
      <c r="R11" s="20">
        <f t="shared" si="4"/>
        <v>9.141161677595315E-2</v>
      </c>
      <c r="S11" s="20">
        <f t="shared" si="5"/>
        <v>3.1142170417921351E-4</v>
      </c>
      <c r="T11" s="20">
        <f t="shared" si="6"/>
        <v>0</v>
      </c>
      <c r="U11" s="20">
        <f t="shared" si="7"/>
        <v>0.11953270822877311</v>
      </c>
      <c r="V11" s="21">
        <f t="shared" si="8"/>
        <v>217484425.40632638</v>
      </c>
      <c r="W11" s="21" t="str">
        <f t="shared" si="9"/>
        <v/>
      </c>
      <c r="X11" s="19" t="str">
        <f t="shared" si="10"/>
        <v/>
      </c>
      <c r="Y11" s="17">
        <f t="shared" si="11"/>
        <v>278.14936506149979</v>
      </c>
      <c r="Z11" s="17">
        <f t="shared" si="12"/>
        <v>212689.18530437842</v>
      </c>
      <c r="AA11" s="20">
        <f t="shared" si="13"/>
        <v>6.8128712958208867E-2</v>
      </c>
      <c r="AB11" s="17">
        <f t="shared" si="14"/>
        <v>212689.18530437842</v>
      </c>
      <c r="AC11" s="18">
        <f t="shared" si="15"/>
        <v>3290899.8849924067</v>
      </c>
      <c r="AD11" s="19">
        <f t="shared" si="16"/>
        <v>1.3060658597865867E-3</v>
      </c>
    </row>
    <row r="12" spans="1:30" x14ac:dyDescent="0.25">
      <c r="A12" s="8">
        <v>160</v>
      </c>
      <c r="B12" s="9">
        <v>44270</v>
      </c>
      <c r="C12" s="10">
        <v>2.833333333333333</v>
      </c>
      <c r="D12" s="11">
        <v>212870.03770344699</v>
      </c>
      <c r="E12" s="11">
        <v>549.02046720399926</v>
      </c>
      <c r="F12" s="11"/>
      <c r="G12" s="11">
        <v>19641.311622153</v>
      </c>
      <c r="H12" s="12"/>
      <c r="I12" s="13">
        <v>510</v>
      </c>
      <c r="J12" s="13">
        <v>8460</v>
      </c>
      <c r="K12" s="12">
        <v>0.1257542207482526</v>
      </c>
      <c r="L12" s="14">
        <v>14.246701388888891</v>
      </c>
      <c r="M12" s="15"/>
      <c r="N12" s="16">
        <f t="shared" si="0"/>
        <v>193228.72608129398</v>
      </c>
      <c r="O12" s="17">
        <f t="shared" si="1"/>
        <v>213419.058170651</v>
      </c>
      <c r="P12" s="18">
        <f t="shared" si="2"/>
        <v>3040517.5924551724</v>
      </c>
      <c r="Q12" s="19">
        <f t="shared" si="3"/>
        <v>2.5724997191441056E-3</v>
      </c>
      <c r="R12" s="20">
        <f t="shared" si="4"/>
        <v>9.2269028718431748E-2</v>
      </c>
      <c r="S12" s="20">
        <f t="shared" si="5"/>
        <v>3.243370545377722E-4</v>
      </c>
      <c r="T12" s="20">
        <f t="shared" si="6"/>
        <v>0</v>
      </c>
      <c r="U12" s="20">
        <f t="shared" si="7"/>
        <v>0.12607855780279037</v>
      </c>
      <c r="V12" s="21">
        <f t="shared" si="8"/>
        <v>218214959.70536146</v>
      </c>
      <c r="W12" s="21" t="str">
        <f t="shared" si="9"/>
        <v/>
      </c>
      <c r="X12" s="19" t="str">
        <f t="shared" si="10"/>
        <v/>
      </c>
      <c r="Y12" s="17">
        <f t="shared" si="11"/>
        <v>274.51023360199963</v>
      </c>
      <c r="Z12" s="17">
        <f t="shared" si="12"/>
        <v>212595.52746984499</v>
      </c>
      <c r="AA12" s="20">
        <f t="shared" si="13"/>
        <v>6.8037831489005565E-2</v>
      </c>
      <c r="AB12" s="17">
        <f t="shared" si="14"/>
        <v>212595.52746984499</v>
      </c>
      <c r="AC12" s="18">
        <f t="shared" si="15"/>
        <v>3028784.9964762069</v>
      </c>
      <c r="AD12" s="19">
        <f t="shared" si="16"/>
        <v>1.2895672710145553E-3</v>
      </c>
    </row>
    <row r="13" spans="1:30" x14ac:dyDescent="0.25">
      <c r="A13" s="8">
        <v>161</v>
      </c>
      <c r="B13" s="9">
        <v>44272</v>
      </c>
      <c r="C13" s="10">
        <v>2.833333333333333</v>
      </c>
      <c r="D13" s="11">
        <v>212772.70630651491</v>
      </c>
      <c r="E13" s="11">
        <v>528.71147027799975</v>
      </c>
      <c r="F13" s="11"/>
      <c r="G13" s="11">
        <v>19570.666666011999</v>
      </c>
      <c r="H13" s="12"/>
      <c r="I13" s="13">
        <v>511</v>
      </c>
      <c r="J13" s="13">
        <v>8637</v>
      </c>
      <c r="K13" s="12">
        <v>0.12492259411562261</v>
      </c>
      <c r="L13" s="14">
        <v>13.633437500000021</v>
      </c>
      <c r="M13" s="15"/>
      <c r="N13" s="16">
        <f t="shared" si="0"/>
        <v>193202.03964050292</v>
      </c>
      <c r="O13" s="17">
        <f t="shared" si="1"/>
        <v>213301.41777679292</v>
      </c>
      <c r="P13" s="18">
        <f t="shared" si="2"/>
        <v>2908031.5479212995</v>
      </c>
      <c r="Q13" s="19">
        <f t="shared" si="3"/>
        <v>2.4787058416614206E-3</v>
      </c>
      <c r="R13" s="20">
        <f t="shared" si="4"/>
        <v>9.1979215782587248E-2</v>
      </c>
      <c r="S13" s="20">
        <f t="shared" si="5"/>
        <v>3.1041579322991527E-4</v>
      </c>
      <c r="T13" s="20">
        <f t="shared" si="6"/>
        <v>0</v>
      </c>
      <c r="U13" s="20">
        <f t="shared" si="7"/>
        <v>0.12523300990885253</v>
      </c>
      <c r="V13" s="21">
        <f t="shared" si="8"/>
        <v>219567206.76031056</v>
      </c>
      <c r="W13" s="21" t="str">
        <f t="shared" si="9"/>
        <v/>
      </c>
      <c r="X13" s="19" t="str">
        <f t="shared" si="10"/>
        <v/>
      </c>
      <c r="Y13" s="17">
        <f t="shared" si="11"/>
        <v>264.35573513899988</v>
      </c>
      <c r="Z13" s="17">
        <f t="shared" si="12"/>
        <v>212508.35057137592</v>
      </c>
      <c r="AA13" s="20">
        <f t="shared" si="13"/>
        <v>6.797731120446833E-2</v>
      </c>
      <c r="AB13" s="17">
        <f t="shared" si="14"/>
        <v>212508.35057137592</v>
      </c>
      <c r="AC13" s="18">
        <f t="shared" si="15"/>
        <v>2897219.3157429472</v>
      </c>
      <c r="AD13" s="19">
        <f t="shared" si="16"/>
        <v>1.2424325456394571E-3</v>
      </c>
    </row>
    <row r="14" spans="1:30" x14ac:dyDescent="0.25">
      <c r="A14" s="8">
        <v>162</v>
      </c>
      <c r="B14" s="9">
        <v>44275</v>
      </c>
      <c r="C14" s="10">
        <v>2.666666666666667</v>
      </c>
      <c r="D14" s="11">
        <v>212675.34628004901</v>
      </c>
      <c r="E14" s="11">
        <v>534.41051908699899</v>
      </c>
      <c r="F14" s="11"/>
      <c r="G14" s="11">
        <v>52520.027307548</v>
      </c>
      <c r="H14" s="12"/>
      <c r="I14" s="13">
        <v>534</v>
      </c>
      <c r="J14" s="13">
        <v>7184</v>
      </c>
      <c r="K14" s="12">
        <v>0.13217392390704219</v>
      </c>
      <c r="L14" s="14">
        <v>14.52010416666665</v>
      </c>
      <c r="M14" s="15"/>
      <c r="N14" s="16">
        <f t="shared" si="0"/>
        <v>160155.318972501</v>
      </c>
      <c r="O14" s="17">
        <f t="shared" si="1"/>
        <v>213209.756799136</v>
      </c>
      <c r="P14" s="18">
        <f t="shared" si="2"/>
        <v>3095827.8780731177</v>
      </c>
      <c r="Q14" s="19">
        <f t="shared" si="3"/>
        <v>2.5065012366693182E-3</v>
      </c>
      <c r="R14" s="20">
        <f t="shared" si="4"/>
        <v>0.24694929725606321</v>
      </c>
      <c r="S14" s="20">
        <f t="shared" si="5"/>
        <v>3.3212657941046072E-4</v>
      </c>
      <c r="T14" s="20">
        <f t="shared" si="6"/>
        <v>0</v>
      </c>
      <c r="U14" s="20">
        <f t="shared" si="7"/>
        <v>0.13250605048645264</v>
      </c>
      <c r="V14" s="21">
        <f t="shared" si="8"/>
        <v>220390493.63687256</v>
      </c>
      <c r="W14" s="21" t="str">
        <f t="shared" si="9"/>
        <v/>
      </c>
      <c r="X14" s="19" t="str">
        <f t="shared" si="10"/>
        <v/>
      </c>
      <c r="Y14" s="17">
        <f t="shared" si="11"/>
        <v>267.20525954349949</v>
      </c>
      <c r="Z14" s="17">
        <f t="shared" si="12"/>
        <v>212408.14102050551</v>
      </c>
      <c r="AA14" s="20">
        <f t="shared" si="13"/>
        <v>6.7886631700240174E-2</v>
      </c>
      <c r="AB14" s="17">
        <f t="shared" si="14"/>
        <v>212408.14102050551</v>
      </c>
      <c r="AC14" s="18">
        <f t="shared" si="15"/>
        <v>3084188.3334657596</v>
      </c>
      <c r="AD14" s="19">
        <f t="shared" si="16"/>
        <v>1.2563997859518987E-3</v>
      </c>
    </row>
    <row r="15" spans="1:30" x14ac:dyDescent="0.25">
      <c r="A15" s="8">
        <v>163</v>
      </c>
      <c r="B15" s="9">
        <v>44278</v>
      </c>
      <c r="C15" s="10">
        <v>2.791666666666667</v>
      </c>
      <c r="D15" s="11">
        <v>212577.94651299881</v>
      </c>
      <c r="E15" s="11">
        <v>556.76399732099833</v>
      </c>
      <c r="F15" s="11"/>
      <c r="G15" s="11">
        <v>52666.022242280997</v>
      </c>
      <c r="H15" s="12"/>
      <c r="I15" s="13">
        <v>534</v>
      </c>
      <c r="J15" s="13">
        <v>9009</v>
      </c>
      <c r="K15" s="12">
        <v>0.13213635065517071</v>
      </c>
      <c r="L15" s="14">
        <v>14.57385416666664</v>
      </c>
      <c r="M15" s="15"/>
      <c r="N15" s="16">
        <f t="shared" si="0"/>
        <v>159911.92427071781</v>
      </c>
      <c r="O15" s="17">
        <f t="shared" si="1"/>
        <v>213134.7105103198</v>
      </c>
      <c r="P15" s="18">
        <f t="shared" si="2"/>
        <v>3106194.1888321126</v>
      </c>
      <c r="Q15" s="19">
        <f t="shared" si="3"/>
        <v>2.6122633708414206E-3</v>
      </c>
      <c r="R15" s="20">
        <f t="shared" si="4"/>
        <v>0.24774922848857489</v>
      </c>
      <c r="S15" s="20">
        <f t="shared" si="5"/>
        <v>3.4607899826374206E-4</v>
      </c>
      <c r="T15" s="20">
        <f t="shared" si="6"/>
        <v>0</v>
      </c>
      <c r="U15" s="20">
        <f t="shared" si="7"/>
        <v>0.13248242965343446</v>
      </c>
      <c r="V15" s="21">
        <f t="shared" si="8"/>
        <v>210485683.90460759</v>
      </c>
      <c r="W15" s="21" t="str">
        <f t="shared" si="9"/>
        <v/>
      </c>
      <c r="X15" s="19" t="str">
        <f t="shared" si="10"/>
        <v/>
      </c>
      <c r="Y15" s="17">
        <f t="shared" si="11"/>
        <v>278.38199866049916</v>
      </c>
      <c r="Z15" s="17">
        <f t="shared" si="12"/>
        <v>212299.5645143383</v>
      </c>
      <c r="AA15" s="20">
        <f t="shared" si="13"/>
        <v>6.7796073159497344E-2</v>
      </c>
      <c r="AB15" s="17">
        <f t="shared" si="14"/>
        <v>212299.5645143383</v>
      </c>
      <c r="AC15" s="18">
        <f t="shared" si="15"/>
        <v>3094022.8928788025</v>
      </c>
      <c r="AD15" s="19">
        <f t="shared" si="16"/>
        <v>1.3095525816619767E-3</v>
      </c>
    </row>
    <row r="16" spans="1:30" x14ac:dyDescent="0.25">
      <c r="A16" s="8">
        <v>164</v>
      </c>
      <c r="B16" s="9">
        <v>44281</v>
      </c>
      <c r="C16" s="10">
        <v>2.875</v>
      </c>
      <c r="D16" s="11">
        <v>212480.49998262859</v>
      </c>
      <c r="E16" s="11">
        <v>545.49228346699851</v>
      </c>
      <c r="F16" s="11"/>
      <c r="G16" s="11">
        <v>53788.816434255998</v>
      </c>
      <c r="H16" s="12"/>
      <c r="I16" s="13">
        <v>532</v>
      </c>
      <c r="J16" s="13">
        <v>9043</v>
      </c>
      <c r="K16" s="12">
        <v>0.12724238827809359</v>
      </c>
      <c r="L16" s="14">
        <v>13.829444444444411</v>
      </c>
      <c r="M16" s="15"/>
      <c r="N16" s="16">
        <f t="shared" si="0"/>
        <v>158691.68354837259</v>
      </c>
      <c r="O16" s="17">
        <f t="shared" si="1"/>
        <v>213025.99226609559</v>
      </c>
      <c r="P16" s="18">
        <f t="shared" si="2"/>
        <v>2946031.1252666139</v>
      </c>
      <c r="Q16" s="19">
        <f t="shared" si="3"/>
        <v>2.560684157197173E-3</v>
      </c>
      <c r="R16" s="20">
        <f t="shared" si="4"/>
        <v>0.25314707203086173</v>
      </c>
      <c r="S16" s="20">
        <f t="shared" si="5"/>
        <v>3.266640512484032E-4</v>
      </c>
      <c r="T16" s="20">
        <f t="shared" si="6"/>
        <v>0</v>
      </c>
      <c r="U16" s="20">
        <f t="shared" si="7"/>
        <v>0.12756905232934199</v>
      </c>
      <c r="V16" s="21">
        <f t="shared" si="8"/>
        <v>212148342.59008622</v>
      </c>
      <c r="W16" s="21" t="str">
        <f t="shared" si="9"/>
        <v/>
      </c>
      <c r="X16" s="19" t="str">
        <f t="shared" si="10"/>
        <v/>
      </c>
      <c r="Y16" s="17">
        <f t="shared" si="11"/>
        <v>272.74614173349926</v>
      </c>
      <c r="Z16" s="17">
        <f t="shared" si="12"/>
        <v>212207.75384089511</v>
      </c>
      <c r="AA16" s="20">
        <f t="shared" si="13"/>
        <v>6.770563542087854E-2</v>
      </c>
      <c r="AB16" s="17">
        <f t="shared" si="14"/>
        <v>212207.75384089511</v>
      </c>
      <c r="AC16" s="18">
        <f t="shared" si="15"/>
        <v>2934715.3424229939</v>
      </c>
      <c r="AD16" s="19">
        <f t="shared" si="16"/>
        <v>1.283629047163376E-3</v>
      </c>
    </row>
    <row r="17" spans="1:30" x14ac:dyDescent="0.25">
      <c r="A17" s="8">
        <v>165</v>
      </c>
      <c r="B17" s="9">
        <v>44284</v>
      </c>
      <c r="C17" s="10">
        <v>2.916666666666667</v>
      </c>
      <c r="D17" s="11">
        <v>212383.02139365449</v>
      </c>
      <c r="E17" s="11">
        <v>540.41771463999862</v>
      </c>
      <c r="F17" s="11"/>
      <c r="G17" s="11">
        <v>54364.549235671002</v>
      </c>
      <c r="H17" s="12"/>
      <c r="I17" s="13">
        <v>537</v>
      </c>
      <c r="J17" s="13">
        <v>9172</v>
      </c>
      <c r="K17" s="12">
        <v>0.1242998386186662</v>
      </c>
      <c r="L17" s="14">
        <v>18.394861111111101</v>
      </c>
      <c r="M17" s="15"/>
      <c r="N17" s="16">
        <f t="shared" si="0"/>
        <v>158018.47215798349</v>
      </c>
      <c r="O17" s="17">
        <f t="shared" si="1"/>
        <v>212923.43910829449</v>
      </c>
      <c r="P17" s="18">
        <f t="shared" si="2"/>
        <v>3916697.0896971989</v>
      </c>
      <c r="Q17" s="19">
        <f t="shared" si="3"/>
        <v>2.5380846603982291E-3</v>
      </c>
      <c r="R17" s="20">
        <f t="shared" si="4"/>
        <v>0.2559740834221661</v>
      </c>
      <c r="S17" s="20">
        <f t="shared" si="5"/>
        <v>3.1628627503096267E-4</v>
      </c>
      <c r="T17" s="20">
        <f t="shared" si="6"/>
        <v>0</v>
      </c>
      <c r="U17" s="20">
        <f t="shared" si="7"/>
        <v>0.12461612489369717</v>
      </c>
      <c r="V17" s="21">
        <f t="shared" si="8"/>
        <v>213969886.52901649</v>
      </c>
      <c r="W17" s="21" t="str">
        <f t="shared" si="9"/>
        <v/>
      </c>
      <c r="X17" s="19" t="str">
        <f t="shared" si="10"/>
        <v/>
      </c>
      <c r="Y17" s="17">
        <f t="shared" si="11"/>
        <v>270.20885731999931</v>
      </c>
      <c r="Z17" s="17">
        <f t="shared" si="12"/>
        <v>212112.8125363345</v>
      </c>
      <c r="AA17" s="20">
        <f t="shared" si="13"/>
        <v>6.7615318323237666E-2</v>
      </c>
      <c r="AB17" s="17">
        <f t="shared" si="14"/>
        <v>212112.8125363345</v>
      </c>
      <c r="AC17" s="18">
        <f t="shared" si="15"/>
        <v>3901785.7264930187</v>
      </c>
      <c r="AD17" s="19">
        <f t="shared" si="16"/>
        <v>1.2722714628829201E-3</v>
      </c>
    </row>
    <row r="18" spans="1:30" x14ac:dyDescent="0.25">
      <c r="A18" s="8">
        <v>166</v>
      </c>
      <c r="B18" s="9">
        <v>44287</v>
      </c>
      <c r="C18" s="10">
        <v>3</v>
      </c>
      <c r="D18" s="11">
        <v>212285.50822600079</v>
      </c>
      <c r="E18" s="11">
        <v>531.43020509399889</v>
      </c>
      <c r="F18" s="11"/>
      <c r="G18" s="11">
        <v>53992.831118501999</v>
      </c>
      <c r="H18" s="12"/>
      <c r="I18" s="13">
        <v>537</v>
      </c>
      <c r="J18" s="13">
        <v>9370</v>
      </c>
      <c r="K18" s="12">
        <v>0.1206879825372731</v>
      </c>
      <c r="L18" s="14">
        <v>19.42906250000005</v>
      </c>
      <c r="M18" s="15"/>
      <c r="N18" s="16">
        <f t="shared" si="0"/>
        <v>158292.67710749881</v>
      </c>
      <c r="O18" s="17">
        <f t="shared" si="1"/>
        <v>212816.93843109478</v>
      </c>
      <c r="P18" s="18">
        <f t="shared" si="2"/>
        <v>4134833.5978364032</v>
      </c>
      <c r="Q18" s="19">
        <f t="shared" si="3"/>
        <v>2.497123626586066E-3</v>
      </c>
      <c r="R18" s="20">
        <f t="shared" si="4"/>
        <v>0.25434063573016397</v>
      </c>
      <c r="S18" s="20">
        <f t="shared" si="5"/>
        <v>3.0212726176241384E-4</v>
      </c>
      <c r="T18" s="20">
        <f t="shared" si="6"/>
        <v>0</v>
      </c>
      <c r="U18" s="20">
        <f t="shared" si="7"/>
        <v>0.12099010979903552</v>
      </c>
      <c r="V18" s="21">
        <f t="shared" si="8"/>
        <v>214153555.99745342</v>
      </c>
      <c r="W18" s="21" t="str">
        <f t="shared" si="9"/>
        <v/>
      </c>
      <c r="X18" s="19" t="str">
        <f t="shared" si="10"/>
        <v/>
      </c>
      <c r="Y18" s="17">
        <f t="shared" si="11"/>
        <v>265.71510254699945</v>
      </c>
      <c r="Z18" s="17">
        <f t="shared" si="12"/>
        <v>212019.7931234538</v>
      </c>
      <c r="AA18" s="20">
        <f t="shared" si="13"/>
        <v>6.7525121705643634E-2</v>
      </c>
      <c r="AB18" s="17">
        <f t="shared" si="14"/>
        <v>212019.7931234538</v>
      </c>
      <c r="AC18" s="18">
        <f t="shared" si="15"/>
        <v>4119345.8118326645</v>
      </c>
      <c r="AD18" s="19">
        <f t="shared" si="16"/>
        <v>1.2516874315514608E-3</v>
      </c>
    </row>
    <row r="19" spans="1:30" x14ac:dyDescent="0.25">
      <c r="A19" s="8">
        <v>167</v>
      </c>
      <c r="B19" s="9">
        <v>44290</v>
      </c>
      <c r="C19" s="10">
        <v>3.041666666666667</v>
      </c>
      <c r="D19" s="11">
        <v>212187.9623265306</v>
      </c>
      <c r="E19" s="11">
        <v>521.77233852399843</v>
      </c>
      <c r="F19" s="11"/>
      <c r="G19" s="11">
        <v>53956.776456940999</v>
      </c>
      <c r="H19" s="12"/>
      <c r="I19" s="13">
        <v>539</v>
      </c>
      <c r="J19" s="13">
        <v>9660</v>
      </c>
      <c r="K19" s="12">
        <v>0.1183176953734979</v>
      </c>
      <c r="L19" s="14">
        <v>23.89631944444449</v>
      </c>
      <c r="M19" s="15"/>
      <c r="N19" s="16">
        <f t="shared" si="0"/>
        <v>158231.18586958959</v>
      </c>
      <c r="O19" s="17">
        <f t="shared" si="1"/>
        <v>212709.7346650546</v>
      </c>
      <c r="P19" s="18">
        <f t="shared" si="2"/>
        <v>5082979.7684991723</v>
      </c>
      <c r="Q19" s="19">
        <f t="shared" si="3"/>
        <v>2.4529781833709315E-3</v>
      </c>
      <c r="R19" s="20">
        <f t="shared" si="4"/>
        <v>0.25428764132202891</v>
      </c>
      <c r="S19" s="20">
        <f t="shared" si="5"/>
        <v>2.9094440573776669E-4</v>
      </c>
      <c r="T19" s="20">
        <f t="shared" si="6"/>
        <v>0</v>
      </c>
      <c r="U19" s="20">
        <f t="shared" si="7"/>
        <v>0.11860863977923566</v>
      </c>
      <c r="V19" s="21">
        <f t="shared" si="8"/>
        <v>215352365.55481076</v>
      </c>
      <c r="W19" s="21" t="str">
        <f t="shared" si="9"/>
        <v/>
      </c>
      <c r="X19" s="19" t="str">
        <f t="shared" si="10"/>
        <v/>
      </c>
      <c r="Y19" s="17">
        <f t="shared" si="11"/>
        <v>260.88616926199921</v>
      </c>
      <c r="Z19" s="17">
        <f t="shared" si="12"/>
        <v>211927.0761572686</v>
      </c>
      <c r="AA19" s="20">
        <f t="shared" si="13"/>
        <v>6.7435045407379976E-2</v>
      </c>
      <c r="AB19" s="17">
        <f t="shared" si="14"/>
        <v>211927.0761572686</v>
      </c>
      <c r="AC19" s="18">
        <f t="shared" si="15"/>
        <v>5064277.1107812058</v>
      </c>
      <c r="AD19" s="19">
        <f t="shared" si="16"/>
        <v>1.2295050407267129E-3</v>
      </c>
    </row>
    <row r="20" spans="1:30" x14ac:dyDescent="0.25">
      <c r="A20" s="8">
        <v>168</v>
      </c>
      <c r="B20" s="9">
        <v>44293</v>
      </c>
      <c r="C20" s="10">
        <v>2.916666666666667</v>
      </c>
      <c r="D20" s="11">
        <v>212090.38413763241</v>
      </c>
      <c r="E20" s="11">
        <v>548.51454949299887</v>
      </c>
      <c r="F20" s="11"/>
      <c r="G20" s="11">
        <v>54271.842660312999</v>
      </c>
      <c r="H20" s="12"/>
      <c r="I20" s="13">
        <v>538</v>
      </c>
      <c r="J20" s="13">
        <v>9875</v>
      </c>
      <c r="K20" s="12">
        <v>0.1235609935074141</v>
      </c>
      <c r="L20" s="14">
        <v>25.781979166666609</v>
      </c>
      <c r="M20" s="15"/>
      <c r="N20" s="16">
        <f t="shared" si="0"/>
        <v>157818.54147731941</v>
      </c>
      <c r="O20" s="17">
        <f t="shared" si="1"/>
        <v>212638.89868712542</v>
      </c>
      <c r="P20" s="18">
        <f t="shared" si="2"/>
        <v>5482251.6559743993</v>
      </c>
      <c r="Q20" s="19">
        <f t="shared" si="3"/>
        <v>2.5795588336830003E-3</v>
      </c>
      <c r="R20" s="20">
        <f t="shared" si="4"/>
        <v>0.25589016155062561</v>
      </c>
      <c r="S20" s="20">
        <f t="shared" si="5"/>
        <v>3.1955716881839008E-4</v>
      </c>
      <c r="T20" s="20">
        <f t="shared" si="6"/>
        <v>0</v>
      </c>
      <c r="U20" s="20">
        <f t="shared" si="7"/>
        <v>0.12388055067623249</v>
      </c>
      <c r="V20" s="21">
        <f t="shared" si="8"/>
        <v>214952753.82112372</v>
      </c>
      <c r="W20" s="21" t="str">
        <f t="shared" si="9"/>
        <v/>
      </c>
      <c r="X20" s="19" t="str">
        <f t="shared" si="10"/>
        <v/>
      </c>
      <c r="Y20" s="17">
        <f t="shared" si="11"/>
        <v>274.25727474649943</v>
      </c>
      <c r="Z20" s="17">
        <f t="shared" si="12"/>
        <v>211816.12686288593</v>
      </c>
      <c r="AA20" s="20">
        <f t="shared" si="13"/>
        <v>6.7345089267944705E-2</v>
      </c>
      <c r="AB20" s="17">
        <f t="shared" si="14"/>
        <v>211816.12686288593</v>
      </c>
      <c r="AC20" s="18">
        <f t="shared" si="15"/>
        <v>5461038.9699429367</v>
      </c>
      <c r="AD20" s="19">
        <f t="shared" si="16"/>
        <v>1.2931150832775375E-3</v>
      </c>
    </row>
    <row r="21" spans="1:30" x14ac:dyDescent="0.25">
      <c r="A21" s="8">
        <v>169</v>
      </c>
      <c r="B21" s="9">
        <v>44296</v>
      </c>
      <c r="C21" s="10">
        <v>2.916666666666667</v>
      </c>
      <c r="D21" s="11">
        <v>211992.75814992259</v>
      </c>
      <c r="E21" s="11">
        <v>543.83704726999838</v>
      </c>
      <c r="F21" s="11"/>
      <c r="G21" s="11">
        <v>54027.333052911003</v>
      </c>
      <c r="H21" s="12"/>
      <c r="I21" s="13">
        <v>540</v>
      </c>
      <c r="J21" s="13">
        <v>10227</v>
      </c>
      <c r="K21" s="12">
        <v>0.1236091789246735</v>
      </c>
      <c r="L21" s="14">
        <v>27.300208333333341</v>
      </c>
      <c r="M21" s="15"/>
      <c r="N21" s="16">
        <f t="shared" si="0"/>
        <v>157965.42509701158</v>
      </c>
      <c r="O21" s="17">
        <f t="shared" si="1"/>
        <v>212536.5951971926</v>
      </c>
      <c r="P21" s="18">
        <f t="shared" si="2"/>
        <v>5802293.3273406923</v>
      </c>
      <c r="Q21" s="19">
        <f t="shared" si="3"/>
        <v>2.558792507075892E-3</v>
      </c>
      <c r="R21" s="20">
        <f t="shared" si="4"/>
        <v>0.25485461637657708</v>
      </c>
      <c r="S21" s="20">
        <f t="shared" si="5"/>
        <v>3.1710163813389628E-4</v>
      </c>
      <c r="T21" s="20">
        <f t="shared" si="6"/>
        <v>0</v>
      </c>
      <c r="U21" s="20">
        <f t="shared" si="7"/>
        <v>0.1239262805628074</v>
      </c>
      <c r="V21" s="21">
        <f t="shared" si="8"/>
        <v>214770055.81029969</v>
      </c>
      <c r="W21" s="21" t="str">
        <f t="shared" si="9"/>
        <v/>
      </c>
      <c r="X21" s="19" t="str">
        <f t="shared" si="10"/>
        <v/>
      </c>
      <c r="Y21" s="17">
        <f t="shared" si="11"/>
        <v>271.91852363499919</v>
      </c>
      <c r="Z21" s="17">
        <f t="shared" si="12"/>
        <v>211720.8396262876</v>
      </c>
      <c r="AA21" s="20">
        <f t="shared" si="13"/>
        <v>6.7255253127049844E-2</v>
      </c>
      <c r="AB21" s="17">
        <f t="shared" si="14"/>
        <v>211720.8396262876</v>
      </c>
      <c r="AC21" s="18">
        <f t="shared" si="15"/>
        <v>5780023.030305909</v>
      </c>
      <c r="AD21" s="19">
        <f t="shared" si="16"/>
        <v>1.2826783613178745E-3</v>
      </c>
    </row>
    <row r="22" spans="1:30" x14ac:dyDescent="0.25">
      <c r="A22" s="8">
        <v>170</v>
      </c>
      <c r="B22" s="9">
        <v>44299</v>
      </c>
      <c r="C22" s="10">
        <v>2.875</v>
      </c>
      <c r="D22" s="11">
        <v>211895.09806158539</v>
      </c>
      <c r="E22" s="11">
        <v>545.14908509199836</v>
      </c>
      <c r="F22" s="11"/>
      <c r="G22" s="11">
        <v>57849.512047623</v>
      </c>
      <c r="H22" s="12"/>
      <c r="I22" s="13">
        <v>542</v>
      </c>
      <c r="J22" s="13">
        <v>11259</v>
      </c>
      <c r="K22" s="12">
        <v>0.1251166521273715</v>
      </c>
      <c r="L22" s="14">
        <v>27.517256944444359</v>
      </c>
      <c r="M22" s="15"/>
      <c r="N22" s="16">
        <f t="shared" si="0"/>
        <v>154045.5860139624</v>
      </c>
      <c r="O22" s="17">
        <f t="shared" si="1"/>
        <v>212440.2471466774</v>
      </c>
      <c r="P22" s="18">
        <f t="shared" si="2"/>
        <v>5845772.8660763847</v>
      </c>
      <c r="Q22" s="19">
        <f t="shared" si="3"/>
        <v>2.5661290288163017E-3</v>
      </c>
      <c r="R22" s="20">
        <f t="shared" si="4"/>
        <v>0.27301014783649957</v>
      </c>
      <c r="S22" s="20">
        <f t="shared" si="5"/>
        <v>3.2189148810411169E-4</v>
      </c>
      <c r="T22" s="20">
        <f t="shared" si="6"/>
        <v>0</v>
      </c>
      <c r="U22" s="20">
        <f t="shared" si="7"/>
        <v>0.1254385436154756</v>
      </c>
      <c r="V22" s="21">
        <f t="shared" si="8"/>
        <v>215158332.85538051</v>
      </c>
      <c r="W22" s="21" t="str">
        <f t="shared" si="9"/>
        <v/>
      </c>
      <c r="X22" s="19" t="str">
        <f t="shared" si="10"/>
        <v/>
      </c>
      <c r="Y22" s="17">
        <f t="shared" si="11"/>
        <v>272.57454254599918</v>
      </c>
      <c r="Z22" s="17">
        <f t="shared" si="12"/>
        <v>211622.52351903939</v>
      </c>
      <c r="AA22" s="20">
        <f t="shared" si="13"/>
        <v>6.7165536824621286E-2</v>
      </c>
      <c r="AB22" s="17">
        <f t="shared" si="14"/>
        <v>211622.52351903939</v>
      </c>
      <c r="AC22" s="18">
        <f t="shared" si="15"/>
        <v>5823271.3549051266</v>
      </c>
      <c r="AD22" s="19">
        <f t="shared" si="16"/>
        <v>1.2863654942445995E-3</v>
      </c>
    </row>
    <row r="23" spans="1:30" x14ac:dyDescent="0.25">
      <c r="A23" s="8">
        <v>171</v>
      </c>
      <c r="B23" s="9">
        <v>44302</v>
      </c>
      <c r="C23" s="10">
        <v>2.916666666666667</v>
      </c>
      <c r="D23" s="11">
        <v>211797.4014550533</v>
      </c>
      <c r="E23" s="11">
        <v>544.75937750399839</v>
      </c>
      <c r="F23" s="11"/>
      <c r="G23" s="11">
        <v>58955.199543647999</v>
      </c>
      <c r="H23" s="12"/>
      <c r="I23" s="13">
        <v>545</v>
      </c>
      <c r="J23" s="13">
        <v>13313</v>
      </c>
      <c r="K23" s="12">
        <v>0.1219994356844889</v>
      </c>
      <c r="L23" s="14">
        <v>26.82135416666658</v>
      </c>
      <c r="M23" s="15"/>
      <c r="N23" s="16">
        <f t="shared" si="0"/>
        <v>152842.20191140531</v>
      </c>
      <c r="O23" s="17">
        <f t="shared" si="1"/>
        <v>212342.1608325573</v>
      </c>
      <c r="P23" s="18">
        <f t="shared" si="2"/>
        <v>5695304.3002052959</v>
      </c>
      <c r="Q23" s="19">
        <f t="shared" si="3"/>
        <v>2.5654791086616524E-3</v>
      </c>
      <c r="R23" s="20">
        <f t="shared" si="4"/>
        <v>0.2783565763254145</v>
      </c>
      <c r="S23" s="20">
        <f t="shared" si="5"/>
        <v>3.1379203041556283E-4</v>
      </c>
      <c r="T23" s="20">
        <f t="shared" si="6"/>
        <v>0</v>
      </c>
      <c r="U23" s="20">
        <f t="shared" si="7"/>
        <v>0.12231322771490447</v>
      </c>
      <c r="V23" s="21">
        <f t="shared" si="8"/>
        <v>217403350.00477484</v>
      </c>
      <c r="W23" s="21" t="str">
        <f t="shared" si="9"/>
        <v/>
      </c>
      <c r="X23" s="19" t="str">
        <f t="shared" si="10"/>
        <v/>
      </c>
      <c r="Y23" s="17">
        <f t="shared" si="11"/>
        <v>272.3796887519992</v>
      </c>
      <c r="Z23" s="17">
        <f t="shared" si="12"/>
        <v>211525.0217663013</v>
      </c>
      <c r="AA23" s="20">
        <f t="shared" si="13"/>
        <v>6.7075940200798448E-2</v>
      </c>
      <c r="AB23" s="17">
        <f t="shared" si="14"/>
        <v>211525.0217663013</v>
      </c>
      <c r="AC23" s="18">
        <f t="shared" si="15"/>
        <v>5673387.5239058249</v>
      </c>
      <c r="AD23" s="19">
        <f t="shared" si="16"/>
        <v>1.2860388601594924E-3</v>
      </c>
    </row>
    <row r="24" spans="1:30" x14ac:dyDescent="0.25">
      <c r="A24" s="8">
        <v>172</v>
      </c>
      <c r="B24" s="9">
        <v>44305</v>
      </c>
      <c r="C24" s="10">
        <v>2.958333333333333</v>
      </c>
      <c r="D24" s="11">
        <v>211699.6692310427</v>
      </c>
      <c r="E24" s="11">
        <v>564.37344549299848</v>
      </c>
      <c r="F24" s="11"/>
      <c r="G24" s="11">
        <v>58699.124022746997</v>
      </c>
      <c r="H24" s="12"/>
      <c r="I24" s="13">
        <v>546</v>
      </c>
      <c r="J24" s="13">
        <v>14931</v>
      </c>
      <c r="K24" s="12">
        <v>0.1173779255905258</v>
      </c>
      <c r="L24" s="14">
        <v>32.661111111111047</v>
      </c>
      <c r="M24" s="15"/>
      <c r="N24" s="16">
        <f t="shared" si="0"/>
        <v>153000.54520829569</v>
      </c>
      <c r="O24" s="17">
        <f t="shared" si="1"/>
        <v>212264.0426765357</v>
      </c>
      <c r="P24" s="18">
        <f t="shared" si="2"/>
        <v>6932779.4827519497</v>
      </c>
      <c r="Q24" s="19">
        <f t="shared" si="3"/>
        <v>2.6588273660321932E-3</v>
      </c>
      <c r="R24" s="20">
        <f t="shared" si="4"/>
        <v>0.2772754640380875</v>
      </c>
      <c r="S24" s="20">
        <f t="shared" si="5"/>
        <v>3.1291964003046243E-4</v>
      </c>
      <c r="T24" s="20">
        <f t="shared" si="6"/>
        <v>0</v>
      </c>
      <c r="U24" s="20">
        <f t="shared" si="7"/>
        <v>0.11769084523055627</v>
      </c>
      <c r="V24" s="21">
        <f t="shared" si="8"/>
        <v>222677771.86239654</v>
      </c>
      <c r="W24" s="21" t="str">
        <f t="shared" si="9"/>
        <v/>
      </c>
      <c r="X24" s="19" t="str">
        <f t="shared" si="10"/>
        <v/>
      </c>
      <c r="Y24" s="17">
        <f t="shared" si="11"/>
        <v>282.18672274649924</v>
      </c>
      <c r="Z24" s="17">
        <f t="shared" si="12"/>
        <v>211417.48250829621</v>
      </c>
      <c r="AA24" s="20">
        <f t="shared" si="13"/>
        <v>6.6986463095933993E-2</v>
      </c>
      <c r="AB24" s="17">
        <f t="shared" si="14"/>
        <v>211417.48250829621</v>
      </c>
      <c r="AC24" s="18">
        <f t="shared" si="15"/>
        <v>6905129.887034839</v>
      </c>
      <c r="AD24" s="19">
        <f t="shared" si="16"/>
        <v>1.3329577876596919E-3</v>
      </c>
    </row>
    <row r="25" spans="1:30" x14ac:dyDescent="0.25">
      <c r="A25" s="8">
        <v>173</v>
      </c>
      <c r="B25" s="9">
        <v>44308</v>
      </c>
      <c r="C25" s="10">
        <v>2.958333333333333</v>
      </c>
      <c r="D25" s="11">
        <v>211601.89297261479</v>
      </c>
      <c r="E25" s="11">
        <v>681.88635923099775</v>
      </c>
      <c r="F25" s="11"/>
      <c r="G25" s="11">
        <v>63883.755674692999</v>
      </c>
      <c r="H25" s="12"/>
      <c r="I25" s="13">
        <v>556</v>
      </c>
      <c r="J25" s="13">
        <v>16285</v>
      </c>
      <c r="K25" s="12">
        <v>0.115847819489314</v>
      </c>
      <c r="L25" s="14">
        <v>37.114548611111097</v>
      </c>
      <c r="M25" s="15"/>
      <c r="N25" s="16">
        <f t="shared" si="0"/>
        <v>147718.13729792178</v>
      </c>
      <c r="O25" s="17">
        <f t="shared" si="1"/>
        <v>212283.77933184578</v>
      </c>
      <c r="P25" s="18">
        <f t="shared" si="2"/>
        <v>7878816.6473621717</v>
      </c>
      <c r="Q25" s="19">
        <f t="shared" si="3"/>
        <v>3.212145371526766E-3</v>
      </c>
      <c r="R25" s="20">
        <f t="shared" si="4"/>
        <v>0.30190540725909643</v>
      </c>
      <c r="S25" s="20">
        <f t="shared" si="5"/>
        <v>3.7331919269097266E-4</v>
      </c>
      <c r="T25" s="20">
        <f t="shared" si="6"/>
        <v>0</v>
      </c>
      <c r="U25" s="20">
        <f t="shared" si="7"/>
        <v>0.11622113868200497</v>
      </c>
      <c r="V25" s="21">
        <f t="shared" si="8"/>
        <v>225514671.9757506</v>
      </c>
      <c r="W25" s="21" t="str">
        <f t="shared" si="9"/>
        <v/>
      </c>
      <c r="X25" s="19" t="str">
        <f t="shared" si="10"/>
        <v/>
      </c>
      <c r="Y25" s="17">
        <f t="shared" si="11"/>
        <v>340.94317961549888</v>
      </c>
      <c r="Z25" s="17">
        <f t="shared" si="12"/>
        <v>211260.94979299928</v>
      </c>
      <c r="AA25" s="20">
        <f t="shared" si="13"/>
        <v>6.6897105350593539E-2</v>
      </c>
      <c r="AB25" s="17">
        <f t="shared" si="14"/>
        <v>211260.94979299928</v>
      </c>
      <c r="AC25" s="18">
        <f t="shared" si="15"/>
        <v>7840854.7907217722</v>
      </c>
      <c r="AD25" s="19">
        <f t="shared" si="16"/>
        <v>1.6112482493699774E-3</v>
      </c>
    </row>
    <row r="26" spans="1:30" x14ac:dyDescent="0.25">
      <c r="A26" s="8">
        <v>174</v>
      </c>
      <c r="B26" s="9">
        <v>44310</v>
      </c>
      <c r="C26" s="10">
        <v>2.541666666666667</v>
      </c>
      <c r="D26" s="11">
        <v>211504.030917878</v>
      </c>
      <c r="E26" s="11">
        <v>655.16287924399819</v>
      </c>
      <c r="F26" s="11"/>
      <c r="G26" s="11">
        <v>72487.214488173995</v>
      </c>
      <c r="H26" s="12"/>
      <c r="I26" s="13">
        <v>563</v>
      </c>
      <c r="J26" s="13">
        <v>17989</v>
      </c>
      <c r="K26" s="12">
        <v>0.13470137188586731</v>
      </c>
      <c r="L26" s="14">
        <v>37.806666666666707</v>
      </c>
      <c r="M26" s="15"/>
      <c r="N26" s="16">
        <f t="shared" si="0"/>
        <v>139016.81642970402</v>
      </c>
      <c r="O26" s="17">
        <f t="shared" si="1"/>
        <v>212159.19379712199</v>
      </c>
      <c r="P26" s="18">
        <f t="shared" si="2"/>
        <v>8021031.9201565338</v>
      </c>
      <c r="Q26" s="19">
        <f t="shared" si="3"/>
        <v>3.0880720628609672E-3</v>
      </c>
      <c r="R26" s="20">
        <f t="shared" si="4"/>
        <v>0.34272261466411041</v>
      </c>
      <c r="S26" s="20">
        <f t="shared" si="5"/>
        <v>4.1725606013214608E-4</v>
      </c>
      <c r="T26" s="20">
        <f t="shared" si="6"/>
        <v>0</v>
      </c>
      <c r="U26" s="20">
        <f t="shared" si="7"/>
        <v>0.13511862794599946</v>
      </c>
      <c r="V26" s="21">
        <f t="shared" si="8"/>
        <v>225641127.48911503</v>
      </c>
      <c r="W26" s="21" t="str">
        <f t="shared" si="9"/>
        <v/>
      </c>
      <c r="X26" s="19" t="str">
        <f t="shared" si="10"/>
        <v/>
      </c>
      <c r="Y26" s="17">
        <f t="shared" si="11"/>
        <v>327.5814396219991</v>
      </c>
      <c r="Z26" s="17">
        <f t="shared" si="12"/>
        <v>211176.44947825599</v>
      </c>
      <c r="AA26" s="20">
        <f t="shared" si="13"/>
        <v>6.6837599752576513E-2</v>
      </c>
      <c r="AB26" s="17">
        <f t="shared" si="14"/>
        <v>211176.44947825599</v>
      </c>
      <c r="AC26" s="18">
        <f t="shared" si="15"/>
        <v>7983877.6332746064</v>
      </c>
      <c r="AD26" s="19">
        <f t="shared" si="16"/>
        <v>1.5488188957930131E-3</v>
      </c>
    </row>
    <row r="27" spans="1:30" x14ac:dyDescent="0.25">
      <c r="A27" s="8">
        <v>175</v>
      </c>
      <c r="B27" s="9">
        <v>44313</v>
      </c>
      <c r="C27" s="10">
        <v>2.541666666666667</v>
      </c>
      <c r="D27" s="11">
        <v>211406.145083045</v>
      </c>
      <c r="E27" s="11">
        <v>638.98860819499771</v>
      </c>
      <c r="F27" s="11"/>
      <c r="G27" s="11">
        <v>72462.195635103999</v>
      </c>
      <c r="H27" s="12"/>
      <c r="I27" s="13">
        <v>562</v>
      </c>
      <c r="J27" s="13">
        <v>19393</v>
      </c>
      <c r="K27" s="12">
        <v>0.13319528484327159</v>
      </c>
      <c r="L27" s="14">
        <v>44.631111111110997</v>
      </c>
      <c r="M27" s="15"/>
      <c r="N27" s="16">
        <f t="shared" si="0"/>
        <v>138943.94944794101</v>
      </c>
      <c r="O27" s="17">
        <f t="shared" si="1"/>
        <v>212045.13369124001</v>
      </c>
      <c r="P27" s="18">
        <f t="shared" si="2"/>
        <v>9463809.9223441184</v>
      </c>
      <c r="Q27" s="19">
        <f t="shared" si="3"/>
        <v>3.0134556595174319E-3</v>
      </c>
      <c r="R27" s="20">
        <f t="shared" si="4"/>
        <v>0.34276295803340651</v>
      </c>
      <c r="S27" s="20">
        <f t="shared" si="5"/>
        <v>4.025912758907987E-4</v>
      </c>
      <c r="T27" s="20">
        <f t="shared" si="6"/>
        <v>0</v>
      </c>
      <c r="U27" s="20">
        <f t="shared" si="7"/>
        <v>0.13359787611916238</v>
      </c>
      <c r="V27" s="21">
        <f t="shared" si="8"/>
        <v>228086923.5463863</v>
      </c>
      <c r="W27" s="21" t="str">
        <f t="shared" si="9"/>
        <v/>
      </c>
      <c r="X27" s="19" t="str">
        <f t="shared" si="10"/>
        <v/>
      </c>
      <c r="Y27" s="17">
        <f t="shared" si="11"/>
        <v>319.49430409749885</v>
      </c>
      <c r="Z27" s="17">
        <f t="shared" si="12"/>
        <v>211086.65077894751</v>
      </c>
      <c r="AA27" s="20">
        <f t="shared" si="13"/>
        <v>6.6748440586055002E-2</v>
      </c>
      <c r="AB27" s="17">
        <f t="shared" si="14"/>
        <v>211086.65077894751</v>
      </c>
      <c r="AC27" s="18">
        <f t="shared" si="15"/>
        <v>9421031.7649874911</v>
      </c>
      <c r="AD27" s="19">
        <f t="shared" si="16"/>
        <v>1.5112820110881565E-3</v>
      </c>
    </row>
    <row r="28" spans="1:30" x14ac:dyDescent="0.25">
      <c r="A28" s="8">
        <v>176</v>
      </c>
      <c r="B28" s="9">
        <v>44315</v>
      </c>
      <c r="C28" s="10">
        <v>2.541666666666667</v>
      </c>
      <c r="D28" s="11">
        <v>211308.23109142951</v>
      </c>
      <c r="E28" s="11">
        <v>630.83677168499753</v>
      </c>
      <c r="F28" s="11"/>
      <c r="G28" s="11">
        <v>73229.841895484002</v>
      </c>
      <c r="H28" s="12"/>
      <c r="I28" s="13">
        <v>562</v>
      </c>
      <c r="J28" s="13">
        <v>21534</v>
      </c>
      <c r="K28" s="12">
        <v>0.13304436548648799</v>
      </c>
      <c r="L28" s="14">
        <v>43.442743055555511</v>
      </c>
      <c r="M28" s="15"/>
      <c r="N28" s="16">
        <f t="shared" si="0"/>
        <v>138078.38919594552</v>
      </c>
      <c r="O28" s="17">
        <f t="shared" si="1"/>
        <v>211939.0678631145</v>
      </c>
      <c r="P28" s="18">
        <f t="shared" si="2"/>
        <v>9207214.4686112255</v>
      </c>
      <c r="Q28" s="19">
        <f t="shared" si="3"/>
        <v>2.9765006425924137E-3</v>
      </c>
      <c r="R28" s="20">
        <f t="shared" si="4"/>
        <v>0.34655461132414989</v>
      </c>
      <c r="S28" s="20">
        <f t="shared" si="5"/>
        <v>3.9718887229745538E-4</v>
      </c>
      <c r="T28" s="20">
        <f t="shared" si="6"/>
        <v>0</v>
      </c>
      <c r="U28" s="20">
        <f t="shared" si="7"/>
        <v>0.13344155435878544</v>
      </c>
      <c r="V28" s="21">
        <f t="shared" si="8"/>
        <v>228239895.1478411</v>
      </c>
      <c r="W28" s="21" t="str">
        <f t="shared" si="9"/>
        <v/>
      </c>
      <c r="X28" s="19" t="str">
        <f t="shared" si="10"/>
        <v/>
      </c>
      <c r="Y28" s="17">
        <f t="shared" si="11"/>
        <v>315.41838584249876</v>
      </c>
      <c r="Z28" s="17">
        <f t="shared" si="12"/>
        <v>210992.81270558701</v>
      </c>
      <c r="AA28" s="20">
        <f t="shared" si="13"/>
        <v>6.6689067226730084E-2</v>
      </c>
      <c r="AB28" s="17">
        <f t="shared" si="14"/>
        <v>210992.81270558701</v>
      </c>
      <c r="AC28" s="18">
        <f t="shared" si="15"/>
        <v>9166106.548937764</v>
      </c>
      <c r="AD28" s="19">
        <f t="shared" si="16"/>
        <v>1.4926933239340901E-3</v>
      </c>
    </row>
    <row r="29" spans="1:30" x14ac:dyDescent="0.25">
      <c r="A29" s="8">
        <v>177</v>
      </c>
      <c r="B29" s="9">
        <v>44318</v>
      </c>
      <c r="C29" s="10">
        <v>2.583333333333333</v>
      </c>
      <c r="D29" s="11">
        <v>211210.28566174471</v>
      </c>
      <c r="E29" s="11">
        <v>591.22869781299789</v>
      </c>
      <c r="F29" s="11"/>
      <c r="G29" s="11">
        <v>73357.781226305</v>
      </c>
      <c r="H29" s="12"/>
      <c r="I29" s="13">
        <v>570</v>
      </c>
      <c r="J29" s="13">
        <v>24574</v>
      </c>
      <c r="K29" s="12">
        <v>0.13067877299952721</v>
      </c>
      <c r="L29" s="14">
        <v>47.458090277777742</v>
      </c>
      <c r="M29" s="15"/>
      <c r="N29" s="16">
        <f t="shared" si="0"/>
        <v>137852.50443543971</v>
      </c>
      <c r="O29" s="17">
        <f t="shared" si="1"/>
        <v>211801.51435955771</v>
      </c>
      <c r="P29" s="18">
        <f t="shared" si="2"/>
        <v>10051695.389445929</v>
      </c>
      <c r="Q29" s="19">
        <f t="shared" si="3"/>
        <v>2.7914280953124744E-3</v>
      </c>
      <c r="R29" s="20">
        <f t="shared" si="4"/>
        <v>0.34732106439071908</v>
      </c>
      <c r="S29" s="20">
        <f t="shared" si="5"/>
        <v>3.6580150701583309E-4</v>
      </c>
      <c r="T29" s="20">
        <f t="shared" si="6"/>
        <v>0</v>
      </c>
      <c r="U29" s="20">
        <f t="shared" si="7"/>
        <v>0.13104457450654305</v>
      </c>
      <c r="V29" s="21">
        <f t="shared" si="8"/>
        <v>228517672.86390275</v>
      </c>
      <c r="W29" s="21" t="str">
        <f t="shared" si="9"/>
        <v/>
      </c>
      <c r="X29" s="19" t="str">
        <f t="shared" si="10"/>
        <v/>
      </c>
      <c r="Y29" s="17">
        <f t="shared" si="11"/>
        <v>295.61434890649895</v>
      </c>
      <c r="Z29" s="17">
        <f t="shared" si="12"/>
        <v>210914.67131283821</v>
      </c>
      <c r="AA29" s="20">
        <f t="shared" si="13"/>
        <v>6.6600106197727799E-2</v>
      </c>
      <c r="AB29" s="17">
        <f t="shared" si="14"/>
        <v>210914.67131283821</v>
      </c>
      <c r="AC29" s="18">
        <f t="shared" si="15"/>
        <v>10009607.512072496</v>
      </c>
      <c r="AD29" s="19">
        <f t="shared" si="16"/>
        <v>1.3996209890077425E-3</v>
      </c>
    </row>
    <row r="30" spans="1:30" x14ac:dyDescent="0.25">
      <c r="A30" s="8">
        <v>178</v>
      </c>
      <c r="B30" s="9">
        <v>44321</v>
      </c>
      <c r="C30" s="10">
        <v>2.75</v>
      </c>
      <c r="D30" s="11">
        <v>211112.32237850869</v>
      </c>
      <c r="E30" s="11">
        <v>537.52341857599777</v>
      </c>
      <c r="F30" s="11"/>
      <c r="G30" s="11">
        <v>73410.043726409</v>
      </c>
      <c r="H30" s="12"/>
      <c r="I30" s="13">
        <v>569</v>
      </c>
      <c r="J30" s="13">
        <v>27391</v>
      </c>
      <c r="K30" s="12">
        <v>0.12285570741851</v>
      </c>
      <c r="L30" s="14">
        <v>44.696423611111022</v>
      </c>
      <c r="M30" s="15"/>
      <c r="N30" s="16">
        <f t="shared" si="0"/>
        <v>137702.27865209969</v>
      </c>
      <c r="O30" s="17">
        <f t="shared" si="1"/>
        <v>211649.84579708468</v>
      </c>
      <c r="P30" s="18">
        <f t="shared" si="2"/>
        <v>9459991.1649728231</v>
      </c>
      <c r="Q30" s="19">
        <f t="shared" si="3"/>
        <v>2.539682542888967E-3</v>
      </c>
      <c r="R30" s="20">
        <f t="shared" si="4"/>
        <v>0.34772979094413187</v>
      </c>
      <c r="S30" s="20">
        <f t="shared" si="5"/>
        <v>3.1280893080589192E-4</v>
      </c>
      <c r="T30" s="20">
        <f t="shared" si="6"/>
        <v>0</v>
      </c>
      <c r="U30" s="20">
        <f t="shared" si="7"/>
        <v>0.12316851634931589</v>
      </c>
      <c r="V30" s="21">
        <f t="shared" si="8"/>
        <v>228231601.17592397</v>
      </c>
      <c r="W30" s="21" t="str">
        <f t="shared" si="9"/>
        <v/>
      </c>
      <c r="X30" s="19" t="str">
        <f t="shared" si="10"/>
        <v/>
      </c>
      <c r="Y30" s="17">
        <f t="shared" si="11"/>
        <v>268.76170928799888</v>
      </c>
      <c r="Z30" s="17">
        <f t="shared" si="12"/>
        <v>210843.56066922069</v>
      </c>
      <c r="AA30" s="20">
        <f t="shared" si="13"/>
        <v>6.6511263839821241E-2</v>
      </c>
      <c r="AB30" s="17">
        <f t="shared" si="14"/>
        <v>210843.56066922069</v>
      </c>
      <c r="AC30" s="18">
        <f t="shared" si="15"/>
        <v>9423953.1033464745</v>
      </c>
      <c r="AD30" s="19">
        <f t="shared" si="16"/>
        <v>1.2730744764681671E-3</v>
      </c>
    </row>
    <row r="31" spans="1:30" x14ac:dyDescent="0.25">
      <c r="A31" s="8">
        <v>179</v>
      </c>
      <c r="B31" s="9">
        <v>44323</v>
      </c>
      <c r="C31" s="10">
        <v>2.791666666666667</v>
      </c>
      <c r="D31" s="11">
        <v>211014.34737937761</v>
      </c>
      <c r="E31" s="11">
        <v>554.16112583599829</v>
      </c>
      <c r="F31" s="11"/>
      <c r="G31" s="11">
        <v>72985.521245398006</v>
      </c>
      <c r="H31" s="12"/>
      <c r="I31" s="13">
        <v>573</v>
      </c>
      <c r="J31" s="13">
        <v>29219</v>
      </c>
      <c r="K31" s="12">
        <v>0.1198769635261365</v>
      </c>
      <c r="L31" s="14">
        <v>43.526145833333302</v>
      </c>
      <c r="M31" s="15"/>
      <c r="N31" s="16">
        <f t="shared" si="0"/>
        <v>138028.8261339796</v>
      </c>
      <c r="O31" s="17">
        <f t="shared" si="1"/>
        <v>211568.5085052136</v>
      </c>
      <c r="P31" s="18">
        <f t="shared" si="2"/>
        <v>9208761.754938744</v>
      </c>
      <c r="Q31" s="19">
        <f t="shared" si="3"/>
        <v>2.6192987309467293E-3</v>
      </c>
      <c r="R31" s="20">
        <f t="shared" si="4"/>
        <v>0.34587942550739975</v>
      </c>
      <c r="S31" s="20">
        <f t="shared" si="5"/>
        <v>3.1481818129650555E-4</v>
      </c>
      <c r="T31" s="20">
        <f t="shared" si="6"/>
        <v>0</v>
      </c>
      <c r="U31" s="20">
        <f t="shared" si="7"/>
        <v>0.120191781707433</v>
      </c>
      <c r="V31" s="21">
        <f t="shared" si="8"/>
        <v>230304760.38120893</v>
      </c>
      <c r="W31" s="21" t="str">
        <f t="shared" si="9"/>
        <v/>
      </c>
      <c r="X31" s="19" t="str">
        <f t="shared" si="10"/>
        <v/>
      </c>
      <c r="Y31" s="17">
        <f t="shared" si="11"/>
        <v>277.08056291799915</v>
      </c>
      <c r="Z31" s="17">
        <f t="shared" si="12"/>
        <v>210737.2668164596</v>
      </c>
      <c r="AA31" s="20">
        <f t="shared" si="13"/>
        <v>6.6452101451420192E-2</v>
      </c>
      <c r="AB31" s="17">
        <f t="shared" si="14"/>
        <v>210737.2668164596</v>
      </c>
      <c r="AC31" s="18">
        <f t="shared" si="15"/>
        <v>9172581.0079712905</v>
      </c>
      <c r="AD31" s="19">
        <f t="shared" si="16"/>
        <v>1.3130887371361659E-3</v>
      </c>
    </row>
    <row r="32" spans="1:30" x14ac:dyDescent="0.25">
      <c r="A32" s="8">
        <v>180</v>
      </c>
      <c r="B32" s="9">
        <v>44326</v>
      </c>
      <c r="C32" s="10">
        <v>2.75</v>
      </c>
      <c r="D32" s="11">
        <v>210916.33079743979</v>
      </c>
      <c r="E32" s="11">
        <v>592.73319947599816</v>
      </c>
      <c r="F32" s="11"/>
      <c r="G32" s="11">
        <v>72614.044019199995</v>
      </c>
      <c r="H32" s="12"/>
      <c r="I32" s="13">
        <v>575</v>
      </c>
      <c r="J32" s="13">
        <v>30728</v>
      </c>
      <c r="K32" s="12">
        <v>0.12046481455948579</v>
      </c>
      <c r="L32" s="14">
        <v>44.259027777777803</v>
      </c>
      <c r="M32" s="15"/>
      <c r="N32" s="16">
        <f t="shared" si="0"/>
        <v>138302.2867782398</v>
      </c>
      <c r="O32" s="17">
        <f t="shared" si="1"/>
        <v>211509.06399691579</v>
      </c>
      <c r="P32" s="18">
        <f t="shared" si="2"/>
        <v>9361185.5386912785</v>
      </c>
      <c r="Q32" s="19">
        <f t="shared" si="3"/>
        <v>2.8024009386408205E-3</v>
      </c>
      <c r="R32" s="20">
        <f t="shared" si="4"/>
        <v>0.3442789078714687</v>
      </c>
      <c r="S32" s="20">
        <f t="shared" si="5"/>
        <v>3.3853943261843224E-4</v>
      </c>
      <c r="T32" s="20">
        <f t="shared" si="6"/>
        <v>0</v>
      </c>
      <c r="U32" s="20">
        <f t="shared" si="7"/>
        <v>0.12080335399210422</v>
      </c>
      <c r="V32" s="21">
        <f t="shared" si="8"/>
        <v>232545276.1847319</v>
      </c>
      <c r="W32" s="21" t="str">
        <f t="shared" si="9"/>
        <v/>
      </c>
      <c r="X32" s="19" t="str">
        <f t="shared" si="10"/>
        <v/>
      </c>
      <c r="Y32" s="17">
        <f t="shared" si="11"/>
        <v>296.36659973799908</v>
      </c>
      <c r="Z32" s="17">
        <f t="shared" si="12"/>
        <v>210619.9641977018</v>
      </c>
      <c r="AA32" s="20">
        <f t="shared" si="13"/>
        <v>6.636345652699227E-2</v>
      </c>
      <c r="AB32" s="17">
        <f t="shared" si="14"/>
        <v>210619.9641977018</v>
      </c>
      <c r="AC32" s="18">
        <f t="shared" si="15"/>
        <v>9321834.8459806498</v>
      </c>
      <c r="AD32" s="19">
        <f t="shared" si="16"/>
        <v>1.4051382300151248E-3</v>
      </c>
    </row>
    <row r="33" spans="1:30" x14ac:dyDescent="0.25">
      <c r="A33" s="8">
        <v>181</v>
      </c>
      <c r="B33" s="9">
        <v>44329</v>
      </c>
      <c r="C33" s="10">
        <v>2.791666666666667</v>
      </c>
      <c r="D33" s="11">
        <v>210818.26346925451</v>
      </c>
      <c r="E33" s="11">
        <v>602.12941402299782</v>
      </c>
      <c r="F33" s="11"/>
      <c r="G33" s="11">
        <v>74200.986630458996</v>
      </c>
      <c r="H33" s="12"/>
      <c r="I33" s="13">
        <v>572</v>
      </c>
      <c r="J33" s="13">
        <v>32791</v>
      </c>
      <c r="K33" s="12">
        <v>0.1185653747516314</v>
      </c>
      <c r="L33" s="14">
        <v>42.0654166666666</v>
      </c>
      <c r="M33" s="15"/>
      <c r="N33" s="16">
        <f t="shared" si="0"/>
        <v>136617.27683879551</v>
      </c>
      <c r="O33" s="17">
        <f t="shared" si="1"/>
        <v>211420.3928832775</v>
      </c>
      <c r="P33" s="18">
        <f t="shared" si="2"/>
        <v>8893486.9184654225</v>
      </c>
      <c r="Q33" s="19">
        <f t="shared" si="3"/>
        <v>2.8480195586214137E-3</v>
      </c>
      <c r="R33" s="20">
        <f t="shared" si="4"/>
        <v>0.35196659629672161</v>
      </c>
      <c r="S33" s="20">
        <f t="shared" si="5"/>
        <v>3.3864096235205273E-4</v>
      </c>
      <c r="T33" s="20">
        <f t="shared" si="6"/>
        <v>0</v>
      </c>
      <c r="U33" s="20">
        <f t="shared" si="7"/>
        <v>0.11890401571398344</v>
      </c>
      <c r="V33" s="21">
        <f t="shared" si="8"/>
        <v>232636050.94276401</v>
      </c>
      <c r="W33" s="21" t="str">
        <f t="shared" si="9"/>
        <v/>
      </c>
      <c r="X33" s="19" t="str">
        <f t="shared" si="10"/>
        <v/>
      </c>
      <c r="Y33" s="17">
        <f t="shared" si="11"/>
        <v>301.06470701149891</v>
      </c>
      <c r="Z33" s="17">
        <f t="shared" si="12"/>
        <v>210517.198762243</v>
      </c>
      <c r="AA33" s="20">
        <f t="shared" si="13"/>
        <v>6.6274929851986936E-2</v>
      </c>
      <c r="AB33" s="17">
        <f t="shared" si="14"/>
        <v>210517.198762243</v>
      </c>
      <c r="AC33" s="18">
        <f t="shared" si="15"/>
        <v>8855493.6814332213</v>
      </c>
      <c r="AD33" s="19">
        <f t="shared" si="16"/>
        <v>1.4280769704537758E-3</v>
      </c>
    </row>
    <row r="34" spans="1:30" x14ac:dyDescent="0.25">
      <c r="A34" s="8">
        <v>182</v>
      </c>
      <c r="B34" s="9">
        <v>44332</v>
      </c>
      <c r="C34" s="10">
        <v>2.791666666666667</v>
      </c>
      <c r="D34" s="11">
        <v>210720.15800597999</v>
      </c>
      <c r="E34" s="11">
        <v>590.66836775899731</v>
      </c>
      <c r="F34" s="11"/>
      <c r="G34" s="11">
        <v>72199.518967523007</v>
      </c>
      <c r="H34" s="12"/>
      <c r="I34" s="13">
        <v>572</v>
      </c>
      <c r="J34" s="13">
        <v>34041</v>
      </c>
      <c r="K34" s="12">
        <v>0.1185857185528056</v>
      </c>
      <c r="L34" s="14">
        <v>46.76906250000004</v>
      </c>
      <c r="M34" s="15"/>
      <c r="N34" s="16">
        <f t="shared" si="0"/>
        <v>138520.63903845698</v>
      </c>
      <c r="O34" s="17">
        <f t="shared" si="1"/>
        <v>211310.82637373899</v>
      </c>
      <c r="P34" s="18">
        <f t="shared" si="2"/>
        <v>9882809.2456000559</v>
      </c>
      <c r="Q34" s="19">
        <f t="shared" si="3"/>
        <v>2.7952584252086557E-3</v>
      </c>
      <c r="R34" s="20">
        <f t="shared" si="4"/>
        <v>0.342632236283128</v>
      </c>
      <c r="S34" s="20">
        <f t="shared" si="5"/>
        <v>3.3240689205977977E-4</v>
      </c>
      <c r="T34" s="20">
        <f t="shared" si="6"/>
        <v>0</v>
      </c>
      <c r="U34" s="20">
        <f t="shared" si="7"/>
        <v>0.11891812544486538</v>
      </c>
      <c r="V34" s="21">
        <f t="shared" si="8"/>
        <v>232487901.48090142</v>
      </c>
      <c r="W34" s="21" t="str">
        <f t="shared" si="9"/>
        <v/>
      </c>
      <c r="X34" s="19" t="str">
        <f t="shared" si="10"/>
        <v/>
      </c>
      <c r="Y34" s="17">
        <f t="shared" si="11"/>
        <v>295.33418387949865</v>
      </c>
      <c r="Z34" s="17">
        <f t="shared" si="12"/>
        <v>210424.8238221005</v>
      </c>
      <c r="AA34" s="20">
        <f t="shared" si="13"/>
        <v>6.618652126866334E-2</v>
      </c>
      <c r="AB34" s="17">
        <f t="shared" si="14"/>
        <v>210424.8238221005</v>
      </c>
      <c r="AC34" s="18">
        <f t="shared" si="15"/>
        <v>9841371.7368873153</v>
      </c>
      <c r="AD34" s="19">
        <f t="shared" si="16"/>
        <v>1.4015468983803506E-3</v>
      </c>
    </row>
    <row r="35" spans="1:30" x14ac:dyDescent="0.25">
      <c r="A35" s="8">
        <v>183</v>
      </c>
      <c r="B35" s="9">
        <v>44335</v>
      </c>
      <c r="C35" s="10">
        <v>2.833333333333333</v>
      </c>
      <c r="D35" s="11">
        <v>210622.02343970339</v>
      </c>
      <c r="E35" s="11">
        <v>596.30330504699839</v>
      </c>
      <c r="F35" s="11"/>
      <c r="G35" s="11">
        <v>72301.591131070003</v>
      </c>
      <c r="H35" s="12"/>
      <c r="I35" s="13">
        <v>575</v>
      </c>
      <c r="J35" s="13">
        <v>36301</v>
      </c>
      <c r="K35" s="12">
        <v>0.11198178707690901</v>
      </c>
      <c r="L35" s="14">
        <v>45.869305555555478</v>
      </c>
      <c r="M35" s="15"/>
      <c r="N35" s="16">
        <f t="shared" si="0"/>
        <v>138320.4323086334</v>
      </c>
      <c r="O35" s="17">
        <f t="shared" si="1"/>
        <v>211218.3267447504</v>
      </c>
      <c r="P35" s="18">
        <f t="shared" si="2"/>
        <v>9688437.9683881123</v>
      </c>
      <c r="Q35" s="19">
        <f t="shared" si="3"/>
        <v>2.8231608224394706E-3</v>
      </c>
      <c r="R35" s="20">
        <f t="shared" si="4"/>
        <v>0.34327650048319097</v>
      </c>
      <c r="S35" s="20">
        <f t="shared" si="5"/>
        <v>3.1703764235341893E-4</v>
      </c>
      <c r="T35" s="20">
        <f t="shared" si="6"/>
        <v>0</v>
      </c>
      <c r="U35" s="20">
        <f t="shared" si="7"/>
        <v>0.11229882471926242</v>
      </c>
      <c r="V35" s="21">
        <f t="shared" si="8"/>
        <v>242464935.02455133</v>
      </c>
      <c r="W35" s="21" t="str">
        <f t="shared" si="9"/>
        <v/>
      </c>
      <c r="X35" s="19" t="str">
        <f t="shared" si="10"/>
        <v/>
      </c>
      <c r="Y35" s="17">
        <f t="shared" si="11"/>
        <v>298.15165252349919</v>
      </c>
      <c r="Z35" s="17">
        <f t="shared" si="12"/>
        <v>210323.8717871799</v>
      </c>
      <c r="AA35" s="20">
        <f t="shared" si="13"/>
        <v>6.609823061949105E-2</v>
      </c>
      <c r="AB35" s="17">
        <f t="shared" si="14"/>
        <v>210323.8717871799</v>
      </c>
      <c r="AC35" s="18">
        <f t="shared" si="15"/>
        <v>9647409.9406336285</v>
      </c>
      <c r="AD35" s="19">
        <f t="shared" si="16"/>
        <v>1.4155768122171405E-3</v>
      </c>
    </row>
    <row r="36" spans="1:30" x14ac:dyDescent="0.25">
      <c r="A36" s="8">
        <v>184</v>
      </c>
      <c r="B36" s="9">
        <v>44338</v>
      </c>
      <c r="C36" s="10">
        <v>2.916666666666667</v>
      </c>
      <c r="D36" s="11">
        <v>210523.8526617389</v>
      </c>
      <c r="E36" s="11">
        <v>597.63860739899735</v>
      </c>
      <c r="F36" s="11"/>
      <c r="G36" s="11">
        <v>72451.247754862998</v>
      </c>
      <c r="H36" s="12"/>
      <c r="I36" s="13">
        <v>573</v>
      </c>
      <c r="J36" s="13">
        <v>38818</v>
      </c>
      <c r="K36" s="12">
        <v>0.10869596331233961</v>
      </c>
      <c r="L36" s="14">
        <v>35.738020833333238</v>
      </c>
      <c r="M36" s="15"/>
      <c r="N36" s="16">
        <f t="shared" si="0"/>
        <v>138072.6049068759</v>
      </c>
      <c r="O36" s="17">
        <f t="shared" si="1"/>
        <v>211121.49126913788</v>
      </c>
      <c r="P36" s="18">
        <f t="shared" si="2"/>
        <v>7545064.253340831</v>
      </c>
      <c r="Q36" s="19">
        <f t="shared" si="3"/>
        <v>2.8307805321303222E-3</v>
      </c>
      <c r="R36" s="20">
        <f t="shared" si="4"/>
        <v>0.34414745331150048</v>
      </c>
      <c r="S36" s="20">
        <f t="shared" si="5"/>
        <v>3.0856790488370772E-4</v>
      </c>
      <c r="T36" s="20">
        <f t="shared" si="6"/>
        <v>0</v>
      </c>
      <c r="U36" s="20">
        <f t="shared" si="7"/>
        <v>0.10900453121722331</v>
      </c>
      <c r="V36" s="21">
        <f t="shared" si="8"/>
        <v>242544437.87127939</v>
      </c>
      <c r="W36" s="21" t="str">
        <f t="shared" si="9"/>
        <v/>
      </c>
      <c r="X36" s="19" t="str">
        <f t="shared" si="10"/>
        <v/>
      </c>
      <c r="Y36" s="17">
        <f t="shared" si="11"/>
        <v>298.81930369949868</v>
      </c>
      <c r="Z36" s="17">
        <f t="shared" si="12"/>
        <v>210225.03335803939</v>
      </c>
      <c r="AA36" s="20">
        <f t="shared" si="13"/>
        <v>6.6010057747149797E-2</v>
      </c>
      <c r="AB36" s="17">
        <f t="shared" si="14"/>
        <v>210225.03335803939</v>
      </c>
      <c r="AC36" s="18">
        <f t="shared" si="15"/>
        <v>7513026.6218377864</v>
      </c>
      <c r="AD36" s="19">
        <f t="shared" si="16"/>
        <v>1.4194082994463781E-3</v>
      </c>
    </row>
    <row r="37" spans="1:30" x14ac:dyDescent="0.25">
      <c r="A37" s="8">
        <v>185</v>
      </c>
      <c r="B37" s="9">
        <v>44341</v>
      </c>
      <c r="C37" s="10">
        <v>3.166666666666667</v>
      </c>
      <c r="D37" s="11">
        <v>210425.64766348191</v>
      </c>
      <c r="E37" s="11">
        <v>473.41663913399827</v>
      </c>
      <c r="F37" s="11"/>
      <c r="G37" s="11">
        <v>71387.181674177002</v>
      </c>
      <c r="H37" s="12"/>
      <c r="I37" s="13">
        <v>571</v>
      </c>
      <c r="J37" s="13">
        <v>40770</v>
      </c>
      <c r="K37" s="12">
        <v>0.1003469753805049</v>
      </c>
      <c r="L37" s="14">
        <v>29.19298611111115</v>
      </c>
      <c r="M37" s="15"/>
      <c r="N37" s="16">
        <f t="shared" si="0"/>
        <v>139038.46598930491</v>
      </c>
      <c r="O37" s="17">
        <f t="shared" si="1"/>
        <v>210899.06430261591</v>
      </c>
      <c r="P37" s="18">
        <f t="shared" si="2"/>
        <v>6156773.4550326038</v>
      </c>
      <c r="Q37" s="19">
        <f t="shared" si="3"/>
        <v>2.2447545734707473E-3</v>
      </c>
      <c r="R37" s="20">
        <f t="shared" si="4"/>
        <v>0.33925133398349433</v>
      </c>
      <c r="S37" s="20">
        <f t="shared" si="5"/>
        <v>2.2576111020398707E-4</v>
      </c>
      <c r="T37" s="20">
        <f t="shared" si="6"/>
        <v>0</v>
      </c>
      <c r="U37" s="20">
        <f t="shared" si="7"/>
        <v>0.10057273649070889</v>
      </c>
      <c r="V37" s="21">
        <f t="shared" si="8"/>
        <v>241870142.18252948</v>
      </c>
      <c r="W37" s="21" t="str">
        <f t="shared" si="9"/>
        <v/>
      </c>
      <c r="X37" s="19" t="str">
        <f t="shared" si="10"/>
        <v/>
      </c>
      <c r="Y37" s="17">
        <f t="shared" si="11"/>
        <v>236.70831956699914</v>
      </c>
      <c r="Z37" s="17">
        <f t="shared" si="12"/>
        <v>210188.93934391491</v>
      </c>
      <c r="AA37" s="20">
        <f t="shared" si="13"/>
        <v>6.5922002494529106E-2</v>
      </c>
      <c r="AB37" s="17">
        <f t="shared" si="14"/>
        <v>210188.93934391491</v>
      </c>
      <c r="AC37" s="18">
        <f t="shared" si="15"/>
        <v>6136042.7869760916</v>
      </c>
      <c r="AD37" s="19">
        <f t="shared" si="16"/>
        <v>1.1249024165796992E-3</v>
      </c>
    </row>
    <row r="38" spans="1:30" x14ac:dyDescent="0.25">
      <c r="A38" s="8">
        <v>186</v>
      </c>
      <c r="B38" s="9">
        <v>44344</v>
      </c>
      <c r="C38" s="10">
        <v>3.041666666666667</v>
      </c>
      <c r="D38" s="11">
        <v>210327.46182684219</v>
      </c>
      <c r="E38" s="11">
        <v>490.66715853999813</v>
      </c>
      <c r="F38" s="11"/>
      <c r="G38" s="11">
        <v>70708.788527208002</v>
      </c>
      <c r="H38" s="12"/>
      <c r="I38" s="13">
        <v>570</v>
      </c>
      <c r="J38" s="13">
        <v>41961</v>
      </c>
      <c r="K38" s="12">
        <v>0.1036265283696326</v>
      </c>
      <c r="L38" s="14">
        <v>31.01812499999998</v>
      </c>
      <c r="M38" s="15"/>
      <c r="N38" s="16">
        <f t="shared" si="0"/>
        <v>139618.67329963419</v>
      </c>
      <c r="O38" s="17">
        <f t="shared" si="1"/>
        <v>210818.12898538218</v>
      </c>
      <c r="P38" s="18">
        <f t="shared" si="2"/>
        <v>6539183.0771347033</v>
      </c>
      <c r="Q38" s="19">
        <f t="shared" si="3"/>
        <v>2.3274429049411601E-3</v>
      </c>
      <c r="R38" s="20">
        <f t="shared" si="4"/>
        <v>0.33618429050135612</v>
      </c>
      <c r="S38" s="20">
        <f t="shared" si="5"/>
        <v>2.417474816786055E-4</v>
      </c>
      <c r="T38" s="20">
        <f t="shared" si="6"/>
        <v>0</v>
      </c>
      <c r="U38" s="20">
        <f t="shared" si="7"/>
        <v>0.1038682758513112</v>
      </c>
      <c r="V38" s="21">
        <f t="shared" si="8"/>
        <v>243726997.37440705</v>
      </c>
      <c r="W38" s="21" t="str">
        <f t="shared" si="9"/>
        <v/>
      </c>
      <c r="X38" s="19" t="str">
        <f t="shared" si="10"/>
        <v/>
      </c>
      <c r="Y38" s="17">
        <f t="shared" si="11"/>
        <v>245.33357926999906</v>
      </c>
      <c r="Z38" s="17">
        <f t="shared" si="12"/>
        <v>210082.1282475722</v>
      </c>
      <c r="AA38" s="20">
        <f t="shared" si="13"/>
        <v>6.5834064704728176E-2</v>
      </c>
      <c r="AB38" s="17">
        <f t="shared" si="14"/>
        <v>210082.1282475722</v>
      </c>
      <c r="AC38" s="18">
        <f t="shared" si="15"/>
        <v>6516353.7142492207</v>
      </c>
      <c r="AD38" s="19">
        <f t="shared" si="16"/>
        <v>1.1664362662826056E-3</v>
      </c>
    </row>
    <row r="39" spans="1:30" x14ac:dyDescent="0.25">
      <c r="A39" s="8">
        <v>187</v>
      </c>
      <c r="B39" s="9">
        <v>44347</v>
      </c>
      <c r="C39" s="10">
        <v>3.083333333333333</v>
      </c>
      <c r="D39" s="11">
        <v>210229.2352791944</v>
      </c>
      <c r="E39" s="11">
        <v>574.46488566199798</v>
      </c>
      <c r="F39" s="11"/>
      <c r="G39" s="11">
        <v>71435.491732573006</v>
      </c>
      <c r="H39" s="12"/>
      <c r="I39" s="13">
        <v>565</v>
      </c>
      <c r="J39" s="13">
        <v>43867</v>
      </c>
      <c r="K39" s="12">
        <v>0.1021121692665324</v>
      </c>
      <c r="L39" s="14">
        <v>30.67982638888892</v>
      </c>
      <c r="M39" s="15"/>
      <c r="N39" s="16">
        <f t="shared" si="0"/>
        <v>138793.74354662141</v>
      </c>
      <c r="O39" s="17">
        <f t="shared" si="1"/>
        <v>210803.70016485639</v>
      </c>
      <c r="P39" s="18">
        <f t="shared" si="2"/>
        <v>6467420.9231931884</v>
      </c>
      <c r="Q39" s="19">
        <f t="shared" si="3"/>
        <v>2.7251176578624802E-3</v>
      </c>
      <c r="R39" s="20">
        <f t="shared" si="4"/>
        <v>0.33979808582618531</v>
      </c>
      <c r="S39" s="20">
        <f t="shared" si="5"/>
        <v>2.7902805984378933E-4</v>
      </c>
      <c r="T39" s="20">
        <f t="shared" si="6"/>
        <v>0</v>
      </c>
      <c r="U39" s="20">
        <f t="shared" si="7"/>
        <v>0.10239119732637618</v>
      </c>
      <c r="V39" s="21">
        <f t="shared" si="8"/>
        <v>243885148.58347198</v>
      </c>
      <c r="W39" s="21" t="str">
        <f t="shared" si="9"/>
        <v/>
      </c>
      <c r="X39" s="19" t="str">
        <f t="shared" si="10"/>
        <v/>
      </c>
      <c r="Y39" s="17">
        <f t="shared" si="11"/>
        <v>287.23244283099899</v>
      </c>
      <c r="Z39" s="17">
        <f t="shared" si="12"/>
        <v>209942.00283636339</v>
      </c>
      <c r="AA39" s="20">
        <f t="shared" si="13"/>
        <v>6.5746244221055433E-2</v>
      </c>
      <c r="AB39" s="17">
        <f t="shared" si="14"/>
        <v>209942.00283636339</v>
      </c>
      <c r="AC39" s="18">
        <f t="shared" si="15"/>
        <v>6440984.198755254</v>
      </c>
      <c r="AD39" s="19">
        <f t="shared" si="16"/>
        <v>1.3662821084305457E-3</v>
      </c>
    </row>
    <row r="40" spans="1:30" x14ac:dyDescent="0.25">
      <c r="A40" s="8">
        <v>188</v>
      </c>
      <c r="B40" s="9">
        <v>44350</v>
      </c>
      <c r="C40" s="10">
        <v>2.958333333333333</v>
      </c>
      <c r="D40" s="11">
        <v>210130.94004033261</v>
      </c>
      <c r="E40" s="11">
        <v>594.68970841799785</v>
      </c>
      <c r="F40" s="11"/>
      <c r="G40" s="11">
        <v>72059.679983604001</v>
      </c>
      <c r="H40" s="12"/>
      <c r="I40" s="13">
        <v>568</v>
      </c>
      <c r="J40" s="13">
        <v>45410</v>
      </c>
      <c r="K40" s="12">
        <v>0.10601190070681379</v>
      </c>
      <c r="L40" s="14">
        <v>37.638819444444479</v>
      </c>
      <c r="M40" s="15"/>
      <c r="N40" s="16">
        <f t="shared" si="0"/>
        <v>138071.26005672861</v>
      </c>
      <c r="O40" s="17">
        <f t="shared" si="1"/>
        <v>210725.62974875062</v>
      </c>
      <c r="P40" s="18">
        <f t="shared" si="2"/>
        <v>7931463.9304300826</v>
      </c>
      <c r="Q40" s="19">
        <f t="shared" si="3"/>
        <v>2.8221043122616351E-3</v>
      </c>
      <c r="R40" s="20">
        <f t="shared" si="4"/>
        <v>0.34292750972214198</v>
      </c>
      <c r="S40" s="20">
        <f t="shared" si="5"/>
        <v>3.0002333929535609E-4</v>
      </c>
      <c r="T40" s="20">
        <f t="shared" si="6"/>
        <v>0</v>
      </c>
      <c r="U40" s="20">
        <f t="shared" si="7"/>
        <v>0.10631192404610915</v>
      </c>
      <c r="V40" s="21">
        <f t="shared" si="8"/>
        <v>244725091.66653955</v>
      </c>
      <c r="W40" s="21" t="str">
        <f t="shared" si="9"/>
        <v/>
      </c>
      <c r="X40" s="19" t="str">
        <f t="shared" si="10"/>
        <v/>
      </c>
      <c r="Y40" s="17">
        <f t="shared" si="11"/>
        <v>297.34485420899892</v>
      </c>
      <c r="Z40" s="17">
        <f t="shared" si="12"/>
        <v>209833.59518612362</v>
      </c>
      <c r="AA40" s="20">
        <f t="shared" si="13"/>
        <v>6.5658540887028341E-2</v>
      </c>
      <c r="AB40" s="17">
        <f t="shared" si="14"/>
        <v>209833.59518612362</v>
      </c>
      <c r="AC40" s="18">
        <f t="shared" si="15"/>
        <v>7897888.8025891613</v>
      </c>
      <c r="AD40" s="19">
        <f t="shared" si="16"/>
        <v>1.4150455623142715E-3</v>
      </c>
    </row>
    <row r="41" spans="1:30" x14ac:dyDescent="0.25">
      <c r="A41" s="8">
        <v>189</v>
      </c>
      <c r="B41" s="9">
        <v>44353</v>
      </c>
      <c r="C41" s="10">
        <v>3</v>
      </c>
      <c r="D41" s="11">
        <v>210032.60322356279</v>
      </c>
      <c r="E41" s="11">
        <v>549.84461324399786</v>
      </c>
      <c r="F41" s="11"/>
      <c r="G41" s="11">
        <v>72293.993838327006</v>
      </c>
      <c r="H41" s="12"/>
      <c r="I41" s="13">
        <v>564</v>
      </c>
      <c r="J41" s="13">
        <v>47334</v>
      </c>
      <c r="K41" s="12">
        <v>0.1041126740156816</v>
      </c>
      <c r="L41" s="14">
        <v>41.115277777777827</v>
      </c>
      <c r="M41" s="15"/>
      <c r="N41" s="16">
        <f t="shared" si="0"/>
        <v>137738.60938523579</v>
      </c>
      <c r="O41" s="17">
        <f t="shared" si="1"/>
        <v>210582.44783680679</v>
      </c>
      <c r="P41" s="18">
        <f t="shared" si="2"/>
        <v>8658155.8379347213</v>
      </c>
      <c r="Q41" s="19">
        <f t="shared" si="3"/>
        <v>2.611065731699092E-3</v>
      </c>
      <c r="R41" s="20">
        <f t="shared" si="4"/>
        <v>0.34420367470937774</v>
      </c>
      <c r="S41" s="20">
        <f t="shared" si="5"/>
        <v>2.7255669881412329E-4</v>
      </c>
      <c r="T41" s="20">
        <f t="shared" si="6"/>
        <v>0</v>
      </c>
      <c r="U41" s="20">
        <f t="shared" si="7"/>
        <v>0.10438523071449572</v>
      </c>
      <c r="V41" s="21">
        <f t="shared" si="8"/>
        <v>245613415.31403908</v>
      </c>
      <c r="W41" s="21" t="str">
        <f t="shared" si="9"/>
        <v/>
      </c>
      <c r="X41" s="19" t="str">
        <f t="shared" si="10"/>
        <v/>
      </c>
      <c r="Y41" s="17">
        <f t="shared" si="11"/>
        <v>274.92230662199893</v>
      </c>
      <c r="Z41" s="17">
        <f t="shared" si="12"/>
        <v>209757.68091694079</v>
      </c>
      <c r="AA41" s="20">
        <f t="shared" si="13"/>
        <v>6.5570954546373128E-2</v>
      </c>
      <c r="AB41" s="17">
        <f t="shared" si="14"/>
        <v>209757.68091694079</v>
      </c>
      <c r="AC41" s="18">
        <f t="shared" si="15"/>
        <v>8624245.3169225082</v>
      </c>
      <c r="AD41" s="19">
        <f t="shared" si="16"/>
        <v>1.30895062196304E-3</v>
      </c>
    </row>
    <row r="42" spans="1:30" x14ac:dyDescent="0.25">
      <c r="A42" s="8">
        <v>190</v>
      </c>
      <c r="B42" s="9">
        <v>44356</v>
      </c>
      <c r="C42" s="10">
        <v>2.958333333333333</v>
      </c>
      <c r="D42" s="11">
        <v>209934.25249198591</v>
      </c>
      <c r="E42" s="11">
        <v>536.81719530999828</v>
      </c>
      <c r="F42" s="11"/>
      <c r="G42" s="11">
        <v>71473.155722381998</v>
      </c>
      <c r="H42" s="12"/>
      <c r="I42" s="13">
        <v>566</v>
      </c>
      <c r="J42" s="13">
        <v>48938</v>
      </c>
      <c r="K42" s="12">
        <v>0.1052505559877807</v>
      </c>
      <c r="L42" s="14">
        <v>42.131493055555559</v>
      </c>
      <c r="M42" s="15"/>
      <c r="N42" s="16">
        <f t="shared" si="0"/>
        <v>138461.0967696039</v>
      </c>
      <c r="O42" s="17">
        <f t="shared" si="1"/>
        <v>210471.06968729591</v>
      </c>
      <c r="P42" s="18">
        <f t="shared" si="2"/>
        <v>8867460.4109256584</v>
      </c>
      <c r="Q42" s="19">
        <f t="shared" si="3"/>
        <v>2.5505509907255471E-3</v>
      </c>
      <c r="R42" s="20">
        <f t="shared" si="4"/>
        <v>0.34045495136678772</v>
      </c>
      <c r="S42" s="20">
        <f t="shared" si="5"/>
        <v>2.6913334817687856E-4</v>
      </c>
      <c r="T42" s="20">
        <f t="shared" si="6"/>
        <v>0</v>
      </c>
      <c r="U42" s="20">
        <f t="shared" si="7"/>
        <v>0.10551968933595758</v>
      </c>
      <c r="V42" s="21">
        <f t="shared" si="8"/>
        <v>246264619.58666861</v>
      </c>
      <c r="W42" s="21" t="str">
        <f t="shared" si="9"/>
        <v/>
      </c>
      <c r="X42" s="19" t="str">
        <f t="shared" si="10"/>
        <v/>
      </c>
      <c r="Y42" s="17">
        <f t="shared" si="11"/>
        <v>268.40859765499914</v>
      </c>
      <c r="Z42" s="17">
        <f t="shared" si="12"/>
        <v>209665.8438943309</v>
      </c>
      <c r="AA42" s="20">
        <f t="shared" si="13"/>
        <v>6.5483485043024453E-2</v>
      </c>
      <c r="AB42" s="17">
        <f t="shared" si="14"/>
        <v>209665.8438943309</v>
      </c>
      <c r="AC42" s="18">
        <f t="shared" si="15"/>
        <v>8833535.0460211989</v>
      </c>
      <c r="AD42" s="19">
        <f t="shared" si="16"/>
        <v>1.2785364678174441E-3</v>
      </c>
    </row>
    <row r="43" spans="1:30" x14ac:dyDescent="0.25">
      <c r="A43" s="8">
        <v>191</v>
      </c>
      <c r="B43" s="9">
        <v>44359</v>
      </c>
      <c r="C43" s="10">
        <v>3</v>
      </c>
      <c r="D43" s="11">
        <v>209835.87453488421</v>
      </c>
      <c r="E43" s="11">
        <v>519.84459510199849</v>
      </c>
      <c r="F43" s="11"/>
      <c r="G43" s="11">
        <v>71542.268517343997</v>
      </c>
      <c r="H43" s="12"/>
      <c r="I43" s="13">
        <v>571</v>
      </c>
      <c r="J43" s="13">
        <v>51179</v>
      </c>
      <c r="K43" s="12">
        <v>0.1017727689121059</v>
      </c>
      <c r="L43" s="14">
        <v>36.307708333333231</v>
      </c>
      <c r="M43" s="15"/>
      <c r="N43" s="16">
        <f t="shared" si="0"/>
        <v>138293.60601754021</v>
      </c>
      <c r="O43" s="17">
        <f t="shared" si="1"/>
        <v>210355.71912998622</v>
      </c>
      <c r="P43" s="18">
        <f t="shared" si="2"/>
        <v>7637534.0964201055</v>
      </c>
      <c r="Q43" s="19">
        <f t="shared" si="3"/>
        <v>2.4712643766094528E-3</v>
      </c>
      <c r="R43" s="20">
        <f t="shared" si="4"/>
        <v>0.34094393380503885</v>
      </c>
      <c r="S43" s="20">
        <f t="shared" si="5"/>
        <v>2.5213049944292331E-4</v>
      </c>
      <c r="T43" s="20">
        <f t="shared" si="6"/>
        <v>0</v>
      </c>
      <c r="U43" s="20">
        <f t="shared" si="7"/>
        <v>0.10202489941154883</v>
      </c>
      <c r="V43" s="21">
        <f t="shared" si="8"/>
        <v>251025082.61994696</v>
      </c>
      <c r="W43" s="21" t="str">
        <f t="shared" si="9"/>
        <v/>
      </c>
      <c r="X43" s="19" t="str">
        <f t="shared" si="10"/>
        <v/>
      </c>
      <c r="Y43" s="17">
        <f t="shared" si="11"/>
        <v>259.92229755099925</v>
      </c>
      <c r="Z43" s="17">
        <f t="shared" si="12"/>
        <v>209575.9522373332</v>
      </c>
      <c r="AA43" s="20">
        <f t="shared" si="13"/>
        <v>6.5396132221125211E-2</v>
      </c>
      <c r="AB43" s="17">
        <f t="shared" si="14"/>
        <v>209575.9522373332</v>
      </c>
      <c r="AC43" s="18">
        <f t="shared" si="15"/>
        <v>7609222.5475136703</v>
      </c>
      <c r="AD43" s="19">
        <f t="shared" si="16"/>
        <v>1.2386933269972786E-3</v>
      </c>
    </row>
    <row r="44" spans="1:30" x14ac:dyDescent="0.25">
      <c r="A44" s="8">
        <v>192</v>
      </c>
      <c r="B44" s="9">
        <v>44362</v>
      </c>
      <c r="C44" s="10">
        <v>3</v>
      </c>
      <c r="D44" s="11">
        <v>209737.4711624076</v>
      </c>
      <c r="E44" s="11">
        <v>533.64401369599841</v>
      </c>
      <c r="F44" s="11"/>
      <c r="G44" s="11">
        <v>71164.040583972994</v>
      </c>
      <c r="H44" s="12"/>
      <c r="I44" s="13">
        <v>574</v>
      </c>
      <c r="J44" s="13">
        <v>53625</v>
      </c>
      <c r="K44" s="12">
        <v>0.1015113833014125</v>
      </c>
      <c r="L44" s="14">
        <v>40.417187499999983</v>
      </c>
      <c r="M44" s="15"/>
      <c r="N44" s="16">
        <f t="shared" si="0"/>
        <v>138573.43057843461</v>
      </c>
      <c r="O44" s="17">
        <f t="shared" si="1"/>
        <v>210271.1151761036</v>
      </c>
      <c r="P44" s="18">
        <f t="shared" si="2"/>
        <v>8498567.0879066717</v>
      </c>
      <c r="Q44" s="19">
        <f t="shared" si="3"/>
        <v>2.5378854972499081E-3</v>
      </c>
      <c r="R44" s="20">
        <f t="shared" si="4"/>
        <v>0.33930055602161813</v>
      </c>
      <c r="S44" s="20">
        <f t="shared" si="5"/>
        <v>2.5827975192307018E-4</v>
      </c>
      <c r="T44" s="20">
        <f t="shared" si="6"/>
        <v>0</v>
      </c>
      <c r="U44" s="20">
        <f t="shared" si="7"/>
        <v>0.10176966305333557</v>
      </c>
      <c r="V44" s="21">
        <f t="shared" si="8"/>
        <v>251553434.53651673</v>
      </c>
      <c r="W44" s="21" t="str">
        <f t="shared" si="9"/>
        <v/>
      </c>
      <c r="X44" s="19" t="str">
        <f t="shared" si="10"/>
        <v/>
      </c>
      <c r="Y44" s="17">
        <f t="shared" si="11"/>
        <v>266.82200684799921</v>
      </c>
      <c r="Z44" s="17">
        <f t="shared" si="12"/>
        <v>209470.6491555596</v>
      </c>
      <c r="AA44" s="20">
        <f t="shared" si="13"/>
        <v>6.5308895925026159E-2</v>
      </c>
      <c r="AB44" s="17">
        <f t="shared" si="14"/>
        <v>209470.6491555596</v>
      </c>
      <c r="AC44" s="18">
        <f t="shared" si="15"/>
        <v>8466214.5026669651</v>
      </c>
      <c r="AD44" s="19">
        <f t="shared" si="16"/>
        <v>1.2721713739048037E-3</v>
      </c>
    </row>
    <row r="45" spans="1:30" x14ac:dyDescent="0.25">
      <c r="A45" s="8">
        <v>193</v>
      </c>
      <c r="B45" s="9">
        <v>44365</v>
      </c>
      <c r="C45" s="10">
        <v>3</v>
      </c>
      <c r="D45" s="11">
        <v>209639.02955699281</v>
      </c>
      <c r="E45" s="11">
        <v>541.12450626199836</v>
      </c>
      <c r="F45" s="11"/>
      <c r="G45" s="11">
        <v>71282.376911262007</v>
      </c>
      <c r="H45" s="12"/>
      <c r="I45" s="13">
        <v>587</v>
      </c>
      <c r="J45" s="13">
        <v>54856</v>
      </c>
      <c r="K45" s="12">
        <v>0.1013086336135899</v>
      </c>
      <c r="L45" s="14">
        <v>37.635902777777893</v>
      </c>
      <c r="M45" s="15"/>
      <c r="N45" s="16">
        <f t="shared" si="0"/>
        <v>138356.65264573082</v>
      </c>
      <c r="O45" s="17">
        <f t="shared" si="1"/>
        <v>210180.1540632548</v>
      </c>
      <c r="P45" s="18">
        <f t="shared" si="2"/>
        <v>7910319.8441430368</v>
      </c>
      <c r="Q45" s="19">
        <f t="shared" si="3"/>
        <v>2.574574696044538E-3</v>
      </c>
      <c r="R45" s="20">
        <f t="shared" si="4"/>
        <v>0.34002436026294935</v>
      </c>
      <c r="S45" s="20">
        <f t="shared" si="5"/>
        <v>2.6149989560664283E-4</v>
      </c>
      <c r="T45" s="20">
        <f t="shared" si="6"/>
        <v>0</v>
      </c>
      <c r="U45" s="20">
        <f t="shared" si="7"/>
        <v>0.10157013350919654</v>
      </c>
      <c r="V45" s="21">
        <f t="shared" si="8"/>
        <v>251938565.7289139</v>
      </c>
      <c r="W45" s="21" t="str">
        <f t="shared" si="9"/>
        <v/>
      </c>
      <c r="X45" s="19" t="str">
        <f t="shared" si="10"/>
        <v/>
      </c>
      <c r="Y45" s="17">
        <f t="shared" si="11"/>
        <v>270.56225313099918</v>
      </c>
      <c r="Z45" s="17">
        <f t="shared" si="12"/>
        <v>209368.46730386181</v>
      </c>
      <c r="AA45" s="20">
        <f t="shared" si="13"/>
        <v>6.5221775999285692E-2</v>
      </c>
      <c r="AB45" s="17">
        <f t="shared" si="14"/>
        <v>209368.46730386181</v>
      </c>
      <c r="AC45" s="18">
        <f t="shared" si="15"/>
        <v>7879771.2801805129</v>
      </c>
      <c r="AD45" s="19">
        <f t="shared" si="16"/>
        <v>1.2906101201801436E-3</v>
      </c>
    </row>
    <row r="46" spans="1:30" x14ac:dyDescent="0.25">
      <c r="A46" s="8">
        <v>194</v>
      </c>
      <c r="B46" s="9">
        <v>44368</v>
      </c>
      <c r="C46" s="10">
        <v>3</v>
      </c>
      <c r="D46" s="11">
        <v>209540.55254827731</v>
      </c>
      <c r="E46" s="11">
        <v>537.46751840299851</v>
      </c>
      <c r="F46" s="11"/>
      <c r="G46" s="11">
        <v>70991.351604259995</v>
      </c>
      <c r="H46" s="12"/>
      <c r="I46" s="13">
        <v>591</v>
      </c>
      <c r="J46" s="13">
        <v>56423</v>
      </c>
      <c r="K46" s="12">
        <v>0.1014571276065281</v>
      </c>
      <c r="L46" s="14">
        <v>30.531875000000049</v>
      </c>
      <c r="M46" s="15"/>
      <c r="N46" s="16">
        <f t="shared" si="0"/>
        <v>138549.20094401733</v>
      </c>
      <c r="O46" s="17">
        <f t="shared" si="1"/>
        <v>210078.0200666803</v>
      </c>
      <c r="P46" s="18">
        <f t="shared" si="2"/>
        <v>6414075.8489233851</v>
      </c>
      <c r="Q46" s="19">
        <f t="shared" si="3"/>
        <v>2.5584186210075781E-3</v>
      </c>
      <c r="R46" s="20">
        <f t="shared" si="4"/>
        <v>0.33879528683548676</v>
      </c>
      <c r="S46" s="20">
        <f t="shared" si="5"/>
        <v>2.6023559609738808E-4</v>
      </c>
      <c r="T46" s="20">
        <f t="shared" si="6"/>
        <v>0</v>
      </c>
      <c r="U46" s="20">
        <f t="shared" si="7"/>
        <v>0.10171736320262549</v>
      </c>
      <c r="V46" s="21">
        <f t="shared" si="8"/>
        <v>251451651.29937369</v>
      </c>
      <c r="W46" s="21" t="str">
        <f t="shared" si="9"/>
        <v/>
      </c>
      <c r="X46" s="19" t="str">
        <f t="shared" si="10"/>
        <v/>
      </c>
      <c r="Y46" s="17">
        <f t="shared" si="11"/>
        <v>268.73375920149925</v>
      </c>
      <c r="Z46" s="17">
        <f t="shared" si="12"/>
        <v>209271.8187890758</v>
      </c>
      <c r="AA46" s="20">
        <f t="shared" si="13"/>
        <v>6.5134772288669568E-2</v>
      </c>
      <c r="AB46" s="17">
        <f t="shared" si="14"/>
        <v>209271.8187890758</v>
      </c>
      <c r="AC46" s="18">
        <f t="shared" si="15"/>
        <v>6389461.0122907236</v>
      </c>
      <c r="AD46" s="19">
        <f t="shared" si="16"/>
        <v>1.282490457972731E-3</v>
      </c>
    </row>
    <row r="47" spans="1:30" x14ac:dyDescent="0.25">
      <c r="A47" s="8">
        <v>195</v>
      </c>
      <c r="B47" s="9">
        <v>44371</v>
      </c>
      <c r="C47" s="10">
        <v>3</v>
      </c>
      <c r="D47" s="11">
        <v>209442.04498607159</v>
      </c>
      <c r="E47" s="11">
        <v>548.65213678899886</v>
      </c>
      <c r="F47" s="11"/>
      <c r="G47" s="11">
        <v>71169.282362226004</v>
      </c>
      <c r="H47" s="12"/>
      <c r="I47" s="13">
        <v>612</v>
      </c>
      <c r="J47" s="13">
        <v>57543</v>
      </c>
      <c r="K47" s="12">
        <v>0.101672747914985</v>
      </c>
      <c r="L47" s="14">
        <v>30.602048611111179</v>
      </c>
      <c r="M47" s="15"/>
      <c r="N47" s="16">
        <f t="shared" si="0"/>
        <v>138272.7626238456</v>
      </c>
      <c r="O47" s="17">
        <f t="shared" si="1"/>
        <v>209990.69712286058</v>
      </c>
      <c r="P47" s="18">
        <f t="shared" si="2"/>
        <v>6426145.5212349044</v>
      </c>
      <c r="Q47" s="19">
        <f t="shared" si="3"/>
        <v>2.6127449658781576E-3</v>
      </c>
      <c r="R47" s="20">
        <f t="shared" si="4"/>
        <v>0.33980418003920337</v>
      </c>
      <c r="S47" s="20">
        <f t="shared" si="5"/>
        <v>2.6634084097333681E-4</v>
      </c>
      <c r="T47" s="20">
        <f t="shared" si="6"/>
        <v>0</v>
      </c>
      <c r="U47" s="20">
        <f t="shared" si="7"/>
        <v>0.10193908875595833</v>
      </c>
      <c r="V47" s="21">
        <f t="shared" si="8"/>
        <v>250800430.7936677</v>
      </c>
      <c r="W47" s="21" t="str">
        <f t="shared" si="9"/>
        <v/>
      </c>
      <c r="X47" s="19" t="str">
        <f t="shared" si="10"/>
        <v/>
      </c>
      <c r="Y47" s="17">
        <f t="shared" si="11"/>
        <v>274.32606839449943</v>
      </c>
      <c r="Z47" s="17">
        <f t="shared" si="12"/>
        <v>209167.71891767709</v>
      </c>
      <c r="AA47" s="20">
        <f t="shared" si="13"/>
        <v>6.5047884638150644E-2</v>
      </c>
      <c r="AB47" s="17">
        <f t="shared" si="14"/>
        <v>209167.71891767709</v>
      </c>
      <c r="AC47" s="18">
        <f t="shared" si="15"/>
        <v>6400960.7021939941</v>
      </c>
      <c r="AD47" s="19">
        <f t="shared" si="16"/>
        <v>1.3097946422970744E-3</v>
      </c>
    </row>
    <row r="48" spans="1:30" x14ac:dyDescent="0.25">
      <c r="A48" s="8">
        <v>196</v>
      </c>
      <c r="B48" s="9">
        <v>44374</v>
      </c>
      <c r="C48" s="10">
        <v>3</v>
      </c>
      <c r="D48" s="11">
        <v>209343.5007881108</v>
      </c>
      <c r="E48" s="11">
        <v>542.67172781499869</v>
      </c>
      <c r="F48" s="11"/>
      <c r="G48" s="11">
        <v>71768.634309717003</v>
      </c>
      <c r="H48" s="12"/>
      <c r="I48" s="13">
        <v>616</v>
      </c>
      <c r="J48" s="13">
        <v>59472</v>
      </c>
      <c r="K48" s="12">
        <v>9.8975382355407246E-2</v>
      </c>
      <c r="L48" s="14">
        <v>30.382500000000011</v>
      </c>
      <c r="M48" s="15"/>
      <c r="N48" s="16">
        <f t="shared" si="0"/>
        <v>137574.86647839379</v>
      </c>
      <c r="O48" s="17">
        <f t="shared" si="1"/>
        <v>209886.17251592581</v>
      </c>
      <c r="P48" s="18">
        <f t="shared" si="2"/>
        <v>6376866.6364651183</v>
      </c>
      <c r="Q48" s="19">
        <f t="shared" si="3"/>
        <v>2.585552546458589E-3</v>
      </c>
      <c r="R48" s="20">
        <f t="shared" si="4"/>
        <v>0.34282714313810186</v>
      </c>
      <c r="S48" s="20">
        <f t="shared" si="5"/>
        <v>2.565694256174844E-4</v>
      </c>
      <c r="T48" s="20">
        <f t="shared" si="6"/>
        <v>0</v>
      </c>
      <c r="U48" s="20">
        <f t="shared" si="7"/>
        <v>9.923195178102473E-2</v>
      </c>
      <c r="V48" s="21">
        <f t="shared" si="8"/>
        <v>257514248.63841453</v>
      </c>
      <c r="W48" s="21" t="str">
        <f t="shared" si="9"/>
        <v/>
      </c>
      <c r="X48" s="19" t="str">
        <f t="shared" si="10"/>
        <v/>
      </c>
      <c r="Y48" s="17">
        <f t="shared" si="11"/>
        <v>271.33586390749934</v>
      </c>
      <c r="Z48" s="17">
        <f t="shared" si="12"/>
        <v>209072.1649242033</v>
      </c>
      <c r="AA48" s="20">
        <f t="shared" si="13"/>
        <v>6.4961112892908526E-2</v>
      </c>
      <c r="AB48" s="17">
        <f t="shared" si="14"/>
        <v>209072.1649242033</v>
      </c>
      <c r="AC48" s="18">
        <f t="shared" si="15"/>
        <v>6352135.0508096088</v>
      </c>
      <c r="AD48" s="19">
        <f t="shared" si="16"/>
        <v>1.2961274789329846E-3</v>
      </c>
    </row>
    <row r="49" spans="1:30" x14ac:dyDescent="0.25">
      <c r="A49" s="8">
        <v>197</v>
      </c>
      <c r="B49" s="9">
        <v>44377</v>
      </c>
      <c r="C49" s="10">
        <v>3.041666666666667</v>
      </c>
      <c r="D49" s="11">
        <v>209244.9273284114</v>
      </c>
      <c r="E49" s="11">
        <v>526.59903949899842</v>
      </c>
      <c r="F49" s="11"/>
      <c r="G49" s="11">
        <v>71283.867825437002</v>
      </c>
      <c r="H49" s="12"/>
      <c r="I49" s="13">
        <v>627</v>
      </c>
      <c r="J49" s="13">
        <v>61611</v>
      </c>
      <c r="K49" s="12">
        <v>9.6695712365086964E-2</v>
      </c>
      <c r="L49" s="14">
        <v>33.244791666666593</v>
      </c>
      <c r="M49" s="15"/>
      <c r="N49" s="16">
        <f t="shared" si="0"/>
        <v>137961.05950297439</v>
      </c>
      <c r="O49" s="17">
        <f t="shared" si="1"/>
        <v>209771.52636791041</v>
      </c>
      <c r="P49" s="18">
        <f t="shared" si="2"/>
        <v>6973810.6916998392</v>
      </c>
      <c r="Q49" s="19">
        <f t="shared" si="3"/>
        <v>2.5103456537538659E-3</v>
      </c>
      <c r="R49" s="20">
        <f t="shared" si="4"/>
        <v>0.34067190414397219</v>
      </c>
      <c r="S49" s="20">
        <f t="shared" si="5"/>
        <v>2.4335055528111859E-4</v>
      </c>
      <c r="T49" s="20">
        <f t="shared" si="6"/>
        <v>0</v>
      </c>
      <c r="U49" s="20">
        <f t="shared" si="7"/>
        <v>9.693906292036808E-2</v>
      </c>
      <c r="V49" s="21">
        <f t="shared" si="8"/>
        <v>259852157.64010099</v>
      </c>
      <c r="W49" s="21" t="str">
        <f t="shared" si="9"/>
        <v/>
      </c>
      <c r="X49" s="19" t="str">
        <f t="shared" si="10"/>
        <v/>
      </c>
      <c r="Y49" s="17">
        <f t="shared" si="11"/>
        <v>263.29951974949921</v>
      </c>
      <c r="Z49" s="17">
        <f t="shared" si="12"/>
        <v>208981.6278086619</v>
      </c>
      <c r="AA49" s="20">
        <f t="shared" si="13"/>
        <v>6.4874456898329394E-2</v>
      </c>
      <c r="AB49" s="17">
        <f t="shared" si="14"/>
        <v>208981.6278086619</v>
      </c>
      <c r="AC49" s="18">
        <f t="shared" si="15"/>
        <v>6947550.6786598228</v>
      </c>
      <c r="AD49" s="19">
        <f t="shared" si="16"/>
        <v>1.2583316743265596E-3</v>
      </c>
    </row>
    <row r="50" spans="1:30" x14ac:dyDescent="0.25">
      <c r="A50" s="8">
        <v>198</v>
      </c>
      <c r="B50" s="9">
        <v>44380</v>
      </c>
      <c r="C50" s="10">
        <v>3.083333333333333</v>
      </c>
      <c r="D50" s="11">
        <v>209146.32899371901</v>
      </c>
      <c r="E50" s="11">
        <v>544.35598783099795</v>
      </c>
      <c r="F50" s="11"/>
      <c r="G50" s="11">
        <v>71211.585559518004</v>
      </c>
      <c r="H50" s="12"/>
      <c r="I50" s="13">
        <v>631</v>
      </c>
      <c r="J50" s="13">
        <v>63456</v>
      </c>
      <c r="K50" s="12">
        <v>9.2982716431909959E-2</v>
      </c>
      <c r="L50" s="14">
        <v>34.482083333333343</v>
      </c>
      <c r="M50" s="15"/>
      <c r="N50" s="16">
        <f t="shared" si="0"/>
        <v>137934.74343420099</v>
      </c>
      <c r="O50" s="17">
        <f t="shared" si="1"/>
        <v>209690.68498155</v>
      </c>
      <c r="P50" s="18">
        <f t="shared" si="2"/>
        <v>7230571.6737575578</v>
      </c>
      <c r="Q50" s="19">
        <f t="shared" si="3"/>
        <v>2.5959950861856075E-3</v>
      </c>
      <c r="R50" s="20">
        <f t="shared" si="4"/>
        <v>0.34048690169291279</v>
      </c>
      <c r="S50" s="20">
        <f t="shared" si="5"/>
        <v>2.420109341532931E-4</v>
      </c>
      <c r="T50" s="20">
        <f t="shared" si="6"/>
        <v>0</v>
      </c>
      <c r="U50" s="20">
        <f t="shared" si="7"/>
        <v>9.3224727366063256E-2</v>
      </c>
      <c r="V50" s="21">
        <f t="shared" si="8"/>
        <v>266451250.63289484</v>
      </c>
      <c r="W50" s="21" t="str">
        <f t="shared" si="9"/>
        <v/>
      </c>
      <c r="X50" s="19" t="str">
        <f t="shared" si="10"/>
        <v/>
      </c>
      <c r="Y50" s="17">
        <f t="shared" si="11"/>
        <v>272.17799391549897</v>
      </c>
      <c r="Z50" s="17">
        <f t="shared" si="12"/>
        <v>208874.1509998035</v>
      </c>
      <c r="AA50" s="20">
        <f t="shared" si="13"/>
        <v>6.4787916500005663E-2</v>
      </c>
      <c r="AB50" s="17">
        <f t="shared" si="14"/>
        <v>208874.1509998035</v>
      </c>
      <c r="AC50" s="18">
        <f t="shared" si="15"/>
        <v>7202415.8809544761</v>
      </c>
      <c r="AD50" s="19">
        <f t="shared" si="16"/>
        <v>1.3013759085566971E-3</v>
      </c>
    </row>
    <row r="51" spans="1:30" x14ac:dyDescent="0.25">
      <c r="A51" s="8">
        <v>199</v>
      </c>
      <c r="B51" s="9">
        <v>44383</v>
      </c>
      <c r="C51" s="10">
        <v>3.041666666666667</v>
      </c>
      <c r="D51" s="11">
        <v>209047.69175117041</v>
      </c>
      <c r="E51" s="11">
        <v>547.78097769999818</v>
      </c>
      <c r="F51" s="11"/>
      <c r="G51" s="11">
        <v>72024.569982543006</v>
      </c>
      <c r="H51" s="12"/>
      <c r="I51" s="13">
        <v>646</v>
      </c>
      <c r="J51" s="13">
        <v>64994</v>
      </c>
      <c r="K51" s="12">
        <v>9.1656797362677025E-2</v>
      </c>
      <c r="L51" s="14">
        <v>33.756736111111103</v>
      </c>
      <c r="M51" s="15"/>
      <c r="N51" s="16">
        <f t="shared" si="0"/>
        <v>137023.1217686274</v>
      </c>
      <c r="O51" s="17">
        <f t="shared" si="1"/>
        <v>209595.4727288704</v>
      </c>
      <c r="P51" s="18">
        <f t="shared" si="2"/>
        <v>7075259.0629920615</v>
      </c>
      <c r="Q51" s="19">
        <f t="shared" si="3"/>
        <v>2.6135153138951601E-3</v>
      </c>
      <c r="R51" s="20">
        <f t="shared" si="4"/>
        <v>0.34453654751794099</v>
      </c>
      <c r="S51" s="20">
        <f t="shared" si="5"/>
        <v>2.4017414232892017E-4</v>
      </c>
      <c r="T51" s="20">
        <f t="shared" si="6"/>
        <v>0</v>
      </c>
      <c r="U51" s="20">
        <f t="shared" si="7"/>
        <v>9.1896971505005948E-2</v>
      </c>
      <c r="V51" s="21">
        <f t="shared" si="8"/>
        <v>273879360.11851293</v>
      </c>
      <c r="W51" s="21" t="str">
        <f t="shared" si="9"/>
        <v/>
      </c>
      <c r="X51" s="19" t="str">
        <f t="shared" si="10"/>
        <v/>
      </c>
      <c r="Y51" s="17">
        <f t="shared" si="11"/>
        <v>273.89048884999909</v>
      </c>
      <c r="Z51" s="17">
        <f t="shared" si="12"/>
        <v>208773.8012623204</v>
      </c>
      <c r="AA51" s="20">
        <f t="shared" si="13"/>
        <v>6.4701491543735695E-2</v>
      </c>
      <c r="AB51" s="17">
        <f t="shared" si="14"/>
        <v>208773.8012623204</v>
      </c>
      <c r="AC51" s="18">
        <f t="shared" si="15"/>
        <v>7047522.1161257038</v>
      </c>
      <c r="AD51" s="19">
        <f t="shared" si="16"/>
        <v>1.3101818372432024E-3</v>
      </c>
    </row>
    <row r="52" spans="1:30" x14ac:dyDescent="0.25">
      <c r="A52" s="8">
        <v>200</v>
      </c>
      <c r="B52" s="9">
        <v>44387</v>
      </c>
      <c r="C52" s="10">
        <v>3.083333333333333</v>
      </c>
      <c r="D52" s="11">
        <v>208949.02177463839</v>
      </c>
      <c r="E52" s="11">
        <v>549.0722827039981</v>
      </c>
      <c r="F52" s="11"/>
      <c r="G52" s="11">
        <v>72161.892298314997</v>
      </c>
      <c r="H52" s="12"/>
      <c r="I52" s="13">
        <v>654</v>
      </c>
      <c r="J52" s="13">
        <v>66306</v>
      </c>
      <c r="K52" s="12">
        <v>8.9811560106615784E-2</v>
      </c>
      <c r="L52" s="14">
        <v>32.767361111111079</v>
      </c>
      <c r="M52" s="15"/>
      <c r="N52" s="16">
        <f t="shared" si="0"/>
        <v>136787.12947632337</v>
      </c>
      <c r="O52" s="17">
        <f t="shared" si="1"/>
        <v>209498.09405734239</v>
      </c>
      <c r="P52" s="18">
        <f t="shared" si="2"/>
        <v>6864699.7000664519</v>
      </c>
      <c r="Q52" s="19">
        <f t="shared" si="3"/>
        <v>2.6208939282937331E-3</v>
      </c>
      <c r="R52" s="20">
        <f t="shared" si="4"/>
        <v>0.34535644955612704</v>
      </c>
      <c r="S52" s="20">
        <f t="shared" si="5"/>
        <v>2.3600511695208296E-4</v>
      </c>
      <c r="T52" s="20">
        <f t="shared" si="6"/>
        <v>0</v>
      </c>
      <c r="U52" s="20">
        <f t="shared" si="7"/>
        <v>9.0047565223567869E-2</v>
      </c>
      <c r="V52" s="21">
        <f t="shared" si="8"/>
        <v>275599133.83781856</v>
      </c>
      <c r="W52" s="21" t="str">
        <f t="shared" si="9"/>
        <v/>
      </c>
      <c r="X52" s="19" t="str">
        <f t="shared" si="10"/>
        <v/>
      </c>
      <c r="Y52" s="17">
        <f t="shared" si="11"/>
        <v>274.53614135199905</v>
      </c>
      <c r="Z52" s="17">
        <f t="shared" si="12"/>
        <v>208674.48563328639</v>
      </c>
      <c r="AA52" s="20">
        <f t="shared" si="13"/>
        <v>6.4586437579100986E-2</v>
      </c>
      <c r="AB52" s="17">
        <f t="shared" si="14"/>
        <v>208674.48563328639</v>
      </c>
      <c r="AC52" s="18">
        <f t="shared" si="15"/>
        <v>6837712.2254212555</v>
      </c>
      <c r="AD52" s="19">
        <f t="shared" si="16"/>
        <v>1.3138905318642723E-3</v>
      </c>
    </row>
    <row r="53" spans="1:30" x14ac:dyDescent="0.25">
      <c r="A53" s="8">
        <v>201</v>
      </c>
      <c r="B53" s="9">
        <v>44390</v>
      </c>
      <c r="C53" s="10">
        <v>3.125</v>
      </c>
      <c r="D53" s="11">
        <v>208850.320114884</v>
      </c>
      <c r="E53" s="11">
        <v>558.33610152799861</v>
      </c>
      <c r="F53" s="11"/>
      <c r="G53" s="11">
        <v>71062.660161473003</v>
      </c>
      <c r="H53" s="12"/>
      <c r="I53" s="13">
        <v>659</v>
      </c>
      <c r="J53" s="13">
        <v>69269</v>
      </c>
      <c r="K53" s="12">
        <v>8.3152092072828601E-2</v>
      </c>
      <c r="L53" s="14">
        <v>30.11743055555549</v>
      </c>
      <c r="M53" s="15"/>
      <c r="N53" s="16">
        <f t="shared" si="0"/>
        <v>137787.659953411</v>
      </c>
      <c r="O53" s="17">
        <f t="shared" si="1"/>
        <v>209408.656216412</v>
      </c>
      <c r="P53" s="18">
        <f t="shared" si="2"/>
        <v>6306850.6613299819</v>
      </c>
      <c r="Q53" s="19">
        <f t="shared" si="3"/>
        <v>2.6662512983751246E-3</v>
      </c>
      <c r="R53" s="20">
        <f t="shared" si="4"/>
        <v>0.34025641005665197</v>
      </c>
      <c r="S53" s="20">
        <f t="shared" si="5"/>
        <v>2.2229707331213063E-4</v>
      </c>
      <c r="T53" s="20">
        <f t="shared" si="6"/>
        <v>0</v>
      </c>
      <c r="U53" s="20">
        <f t="shared" si="7"/>
        <v>8.3374389146140732E-2</v>
      </c>
      <c r="V53" s="21">
        <f t="shared" si="8"/>
        <v>293563574.96871895</v>
      </c>
      <c r="W53" s="21" t="str">
        <f t="shared" si="9"/>
        <v/>
      </c>
      <c r="X53" s="19" t="str">
        <f t="shared" si="10"/>
        <v/>
      </c>
      <c r="Y53" s="17">
        <f t="shared" si="11"/>
        <v>279.1680507639993</v>
      </c>
      <c r="Z53" s="17">
        <f t="shared" si="12"/>
        <v>208571.15206411999</v>
      </c>
      <c r="AA53" s="20">
        <f t="shared" si="13"/>
        <v>6.4500281389105185E-2</v>
      </c>
      <c r="AB53" s="17">
        <f t="shared" si="14"/>
        <v>208571.15206411999</v>
      </c>
      <c r="AC53" s="18">
        <f t="shared" si="15"/>
        <v>6281627.1881833384</v>
      </c>
      <c r="AD53" s="19">
        <f t="shared" si="16"/>
        <v>1.3366895995679349E-3</v>
      </c>
    </row>
    <row r="54" spans="1:30" x14ac:dyDescent="0.25">
      <c r="A54" s="8">
        <v>202</v>
      </c>
      <c r="B54" s="9">
        <v>44393</v>
      </c>
      <c r="C54" s="10">
        <v>3.125</v>
      </c>
      <c r="D54" s="11">
        <v>208751.58357502869</v>
      </c>
      <c r="E54" s="11">
        <v>540.87833014499847</v>
      </c>
      <c r="F54" s="11"/>
      <c r="G54" s="11">
        <v>70321.794478145006</v>
      </c>
      <c r="H54" s="12"/>
      <c r="I54" s="13">
        <v>695</v>
      </c>
      <c r="J54" s="13">
        <v>90623</v>
      </c>
      <c r="K54" s="12">
        <v>8.3348280526631832E-2</v>
      </c>
      <c r="L54" s="14">
        <v>27.95982638888896</v>
      </c>
      <c r="M54" s="15"/>
      <c r="N54" s="16">
        <f t="shared" si="0"/>
        <v>138429.78909688367</v>
      </c>
      <c r="O54" s="17">
        <f t="shared" si="1"/>
        <v>209292.4619051737</v>
      </c>
      <c r="P54" s="18">
        <f t="shared" si="2"/>
        <v>5851780.8993718131</v>
      </c>
      <c r="Q54" s="19">
        <f t="shared" si="3"/>
        <v>2.5843182560013069E-3</v>
      </c>
      <c r="R54" s="20">
        <f t="shared" si="4"/>
        <v>0.33686831627253366</v>
      </c>
      <c r="S54" s="20">
        <f t="shared" si="5"/>
        <v>2.159565835125681E-4</v>
      </c>
      <c r="T54" s="20">
        <f t="shared" si="6"/>
        <v>0</v>
      </c>
      <c r="U54" s="20">
        <f t="shared" si="7"/>
        <v>8.3564237110144407E-2</v>
      </c>
      <c r="V54" s="21">
        <f t="shared" si="8"/>
        <v>292734114.41827291</v>
      </c>
      <c r="W54" s="21" t="str">
        <f t="shared" si="9"/>
        <v/>
      </c>
      <c r="X54" s="19" t="str">
        <f t="shared" si="10"/>
        <v/>
      </c>
      <c r="Y54" s="17">
        <f t="shared" si="11"/>
        <v>270.43916507249924</v>
      </c>
      <c r="Z54" s="17">
        <f t="shared" si="12"/>
        <v>208481.14440995621</v>
      </c>
      <c r="AA54" s="20">
        <f t="shared" si="13"/>
        <v>6.4414240128641845E-2</v>
      </c>
      <c r="AB54" s="17">
        <f t="shared" si="14"/>
        <v>208481.14440995621</v>
      </c>
      <c r="AC54" s="18">
        <f t="shared" si="15"/>
        <v>5829096.6030592639</v>
      </c>
      <c r="AD54" s="19">
        <f t="shared" si="16"/>
        <v>1.2955071307293774E-3</v>
      </c>
    </row>
    <row r="55" spans="1:30" x14ac:dyDescent="0.25">
      <c r="A55" s="8">
        <v>203</v>
      </c>
      <c r="B55" s="9">
        <v>44396</v>
      </c>
      <c r="C55" s="10">
        <v>3.166666666666667</v>
      </c>
      <c r="D55" s="11">
        <v>208652.82350452369</v>
      </c>
      <c r="E55" s="11">
        <v>548.19560331199852</v>
      </c>
      <c r="F55" s="11"/>
      <c r="G55" s="11">
        <v>74393.284740659001</v>
      </c>
      <c r="H55" s="12">
        <v>8.0139013044586538E-2</v>
      </c>
      <c r="I55" s="13">
        <v>706</v>
      </c>
      <c r="J55" s="13">
        <v>110516</v>
      </c>
      <c r="K55" s="12">
        <v>8.2132643469223401E-2</v>
      </c>
      <c r="L55" s="14">
        <v>25.155034722222261</v>
      </c>
      <c r="M55" s="15"/>
      <c r="N55" s="16">
        <f t="shared" si="0"/>
        <v>134259.53876386469</v>
      </c>
      <c r="O55" s="17">
        <f t="shared" si="1"/>
        <v>209201.01910783569</v>
      </c>
      <c r="P55" s="18">
        <f t="shared" si="2"/>
        <v>5262458.8995818896</v>
      </c>
      <c r="Q55" s="19">
        <f t="shared" si="3"/>
        <v>2.6204251090642307E-3</v>
      </c>
      <c r="R55" s="20">
        <f t="shared" si="4"/>
        <v>8.0139013044586538E-2</v>
      </c>
      <c r="S55" s="20">
        <f t="shared" si="5"/>
        <v>2.1578789724474557E-4</v>
      </c>
      <c r="T55" s="20">
        <f t="shared" si="6"/>
        <v>0</v>
      </c>
      <c r="U55" s="20">
        <f t="shared" si="7"/>
        <v>8.2348431366468147E-2</v>
      </c>
      <c r="V55" s="21">
        <f t="shared" si="8"/>
        <v>293019375.92124403</v>
      </c>
      <c r="W55" s="21" t="str">
        <f t="shared" si="9"/>
        <v/>
      </c>
      <c r="X55" s="19" t="str">
        <f t="shared" si="10"/>
        <v/>
      </c>
      <c r="Y55" s="17">
        <f t="shared" si="11"/>
        <v>274.09780165599926</v>
      </c>
      <c r="Z55" s="17">
        <f t="shared" si="12"/>
        <v>208378.7257028677</v>
      </c>
      <c r="AA55" s="20">
        <f t="shared" si="13"/>
        <v>6.4328313644398755E-2</v>
      </c>
      <c r="AB55" s="17">
        <f t="shared" si="14"/>
        <v>208378.7257028677</v>
      </c>
      <c r="AC55" s="18">
        <f t="shared" si="15"/>
        <v>5241774.0804280657</v>
      </c>
      <c r="AD55" s="19">
        <f t="shared" si="16"/>
        <v>1.3136548887873387E-3</v>
      </c>
    </row>
    <row r="56" spans="1:30" x14ac:dyDescent="0.25">
      <c r="A56" s="8">
        <v>204</v>
      </c>
      <c r="B56" s="9">
        <v>44399</v>
      </c>
      <c r="C56" s="10">
        <v>3.166666666666667</v>
      </c>
      <c r="D56" s="11">
        <v>208554.02973741089</v>
      </c>
      <c r="E56" s="11">
        <v>546.86112590599851</v>
      </c>
      <c r="F56" s="11"/>
      <c r="G56" s="11">
        <v>78871.652375414997</v>
      </c>
      <c r="H56" s="12"/>
      <c r="I56" s="13">
        <v>716</v>
      </c>
      <c r="J56" s="13">
        <v>109896</v>
      </c>
      <c r="K56" s="12">
        <v>8.2252427651582166E-2</v>
      </c>
      <c r="L56" s="14">
        <v>27.166284722222109</v>
      </c>
      <c r="M56" s="15"/>
      <c r="N56" s="16">
        <f t="shared" si="0"/>
        <v>129682.3773619959</v>
      </c>
      <c r="O56" s="17">
        <f t="shared" si="1"/>
        <v>209100.89086331689</v>
      </c>
      <c r="P56" s="18">
        <f t="shared" si="2"/>
        <v>5680494.3368631583</v>
      </c>
      <c r="Q56" s="19">
        <f t="shared" si="3"/>
        <v>2.6152979245959575E-3</v>
      </c>
      <c r="R56" s="20">
        <f t="shared" si="4"/>
        <v>0.37818330566291053</v>
      </c>
      <c r="S56" s="20">
        <f t="shared" si="5"/>
        <v>2.1567866730113429E-4</v>
      </c>
      <c r="T56" s="20">
        <f t="shared" si="6"/>
        <v>0</v>
      </c>
      <c r="U56" s="20">
        <f t="shared" si="7"/>
        <v>8.2468106318883294E-2</v>
      </c>
      <c r="V56" s="21">
        <f t="shared" si="8"/>
        <v>292454113.9736864</v>
      </c>
      <c r="W56" s="21" t="str">
        <f t="shared" si="9"/>
        <v/>
      </c>
      <c r="X56" s="19" t="str">
        <f t="shared" si="10"/>
        <v/>
      </c>
      <c r="Y56" s="17">
        <f t="shared" si="11"/>
        <v>273.43056295299925</v>
      </c>
      <c r="Z56" s="17">
        <f t="shared" si="12"/>
        <v>208280.59917445789</v>
      </c>
      <c r="AA56" s="20">
        <f t="shared" si="13"/>
        <v>6.424250178326818E-2</v>
      </c>
      <c r="AB56" s="17">
        <f t="shared" si="14"/>
        <v>208280.59917445789</v>
      </c>
      <c r="AC56" s="18">
        <f t="shared" si="15"/>
        <v>5658210.0592883425</v>
      </c>
      <c r="AD56" s="19">
        <f t="shared" si="16"/>
        <v>1.3110778214032786E-3</v>
      </c>
    </row>
    <row r="57" spans="1:30" x14ac:dyDescent="0.25">
      <c r="A57" s="8">
        <v>205</v>
      </c>
      <c r="B57" s="9">
        <v>44402</v>
      </c>
      <c r="C57" s="10">
        <v>3.166666666666667</v>
      </c>
      <c r="D57" s="11">
        <v>208455.20598644129</v>
      </c>
      <c r="E57" s="11">
        <v>576.09425004599871</v>
      </c>
      <c r="F57" s="11"/>
      <c r="G57" s="11">
        <v>78484.51217853</v>
      </c>
      <c r="H57" s="12">
        <v>7.8585446956851296E-2</v>
      </c>
      <c r="I57" s="13">
        <v>735</v>
      </c>
      <c r="J57" s="13">
        <v>129002</v>
      </c>
      <c r="K57" s="12">
        <v>8.2084001368654805E-2</v>
      </c>
      <c r="L57" s="14">
        <v>27.888437500000059</v>
      </c>
      <c r="M57" s="15"/>
      <c r="N57" s="16">
        <f t="shared" si="0"/>
        <v>129970.69380791129</v>
      </c>
      <c r="O57" s="17">
        <f t="shared" si="1"/>
        <v>209031.3002364873</v>
      </c>
      <c r="P57" s="18">
        <f t="shared" si="2"/>
        <v>5829556.352189023</v>
      </c>
      <c r="Q57" s="19">
        <f t="shared" si="3"/>
        <v>2.7560190717573646E-3</v>
      </c>
      <c r="R57" s="20">
        <f t="shared" si="4"/>
        <v>7.8585446956851296E-2</v>
      </c>
      <c r="S57" s="20">
        <f t="shared" si="5"/>
        <v>2.2685027694787206E-4</v>
      </c>
      <c r="T57" s="20">
        <f t="shared" si="6"/>
        <v>0</v>
      </c>
      <c r="U57" s="20">
        <f t="shared" si="7"/>
        <v>8.2310851645602673E-2</v>
      </c>
      <c r="V57" s="21">
        <f t="shared" si="8"/>
        <v>292915329.54828465</v>
      </c>
      <c r="W57" s="21" t="str">
        <f t="shared" si="9"/>
        <v/>
      </c>
      <c r="X57" s="19" t="str">
        <f t="shared" si="10"/>
        <v/>
      </c>
      <c r="Y57" s="17">
        <f t="shared" si="11"/>
        <v>288.04712502299935</v>
      </c>
      <c r="Z57" s="17">
        <f t="shared" si="12"/>
        <v>208167.15886141828</v>
      </c>
      <c r="AA57" s="20">
        <f t="shared" si="13"/>
        <v>6.4156804392346653E-2</v>
      </c>
      <c r="AB57" s="17">
        <f t="shared" si="14"/>
        <v>208167.15886141828</v>
      </c>
      <c r="AC57" s="18">
        <f t="shared" si="15"/>
        <v>5805456.7994592469</v>
      </c>
      <c r="AD57" s="19">
        <f t="shared" si="16"/>
        <v>1.3818178522331317E-3</v>
      </c>
    </row>
    <row r="58" spans="1:30" x14ac:dyDescent="0.25">
      <c r="A58" s="8">
        <v>206</v>
      </c>
      <c r="B58" s="9">
        <v>44405</v>
      </c>
      <c r="C58" s="10">
        <v>2.875</v>
      </c>
      <c r="D58" s="11">
        <v>208356.339700554</v>
      </c>
      <c r="E58" s="11">
        <v>744.36067026199919</v>
      </c>
      <c r="F58" s="11"/>
      <c r="G58" s="11">
        <v>76185.357499543999</v>
      </c>
      <c r="H58" s="12">
        <v>7.9135198435933918E-2</v>
      </c>
      <c r="I58" s="13">
        <v>750</v>
      </c>
      <c r="J58" s="13">
        <v>149796</v>
      </c>
      <c r="K58" s="12">
        <v>9.0655144637553017E-2</v>
      </c>
      <c r="L58" s="14">
        <v>28.047638888888919</v>
      </c>
      <c r="M58" s="15"/>
      <c r="N58" s="16">
        <f t="shared" si="0"/>
        <v>132170.98220100999</v>
      </c>
      <c r="O58" s="17">
        <f t="shared" si="1"/>
        <v>209100.70037081599</v>
      </c>
      <c r="P58" s="18">
        <f t="shared" si="2"/>
        <v>5864780.9354144083</v>
      </c>
      <c r="Q58" s="19">
        <f t="shared" si="3"/>
        <v>3.5598191155838377E-3</v>
      </c>
      <c r="R58" s="20">
        <f t="shared" si="4"/>
        <v>7.9135198435933918E-2</v>
      </c>
      <c r="S58" s="20">
        <f t="shared" si="5"/>
        <v>3.2386883126325153E-4</v>
      </c>
      <c r="T58" s="20">
        <f t="shared" si="6"/>
        <v>0</v>
      </c>
      <c r="U58" s="20">
        <f t="shared" si="7"/>
        <v>9.0979013468816275E-2</v>
      </c>
      <c r="V58" s="21">
        <f t="shared" si="8"/>
        <v>291989100.2225219</v>
      </c>
      <c r="W58" s="21" t="str">
        <f t="shared" si="9"/>
        <v/>
      </c>
      <c r="X58" s="19" t="str">
        <f t="shared" si="10"/>
        <v/>
      </c>
      <c r="Y58" s="17">
        <f t="shared" si="11"/>
        <v>372.18033513099959</v>
      </c>
      <c r="Z58" s="17">
        <f t="shared" si="12"/>
        <v>207984.15936542299</v>
      </c>
      <c r="AA58" s="20">
        <f t="shared" si="13"/>
        <v>6.4071221318934682E-2</v>
      </c>
      <c r="AB58" s="17">
        <f t="shared" si="14"/>
        <v>207984.15936542299</v>
      </c>
      <c r="AC58" s="18">
        <f t="shared" si="15"/>
        <v>5833464.5964905089</v>
      </c>
      <c r="AD58" s="19">
        <f t="shared" si="16"/>
        <v>1.7862683500098461E-3</v>
      </c>
    </row>
    <row r="59" spans="1:30" x14ac:dyDescent="0.25">
      <c r="A59" s="8">
        <v>207</v>
      </c>
      <c r="B59" s="9">
        <v>44408</v>
      </c>
      <c r="C59" s="10">
        <v>2.666666666666667</v>
      </c>
      <c r="D59" s="11">
        <v>208257.37325608401</v>
      </c>
      <c r="E59" s="11">
        <v>859.05549473899907</v>
      </c>
      <c r="F59" s="11"/>
      <c r="G59" s="11">
        <v>76897.21629235</v>
      </c>
      <c r="H59" s="12">
        <v>7.9784340430513204E-2</v>
      </c>
      <c r="I59" s="13">
        <v>759</v>
      </c>
      <c r="J59" s="13">
        <v>150455</v>
      </c>
      <c r="K59" s="12">
        <v>9.7715670058908743E-2</v>
      </c>
      <c r="L59" s="14">
        <v>33.72899305555557</v>
      </c>
      <c r="M59" s="15"/>
      <c r="N59" s="16">
        <f t="shared" si="0"/>
        <v>131360.15696373401</v>
      </c>
      <c r="O59" s="17">
        <f t="shared" si="1"/>
        <v>209116.42875082302</v>
      </c>
      <c r="P59" s="18">
        <f t="shared" si="2"/>
        <v>7053286.573139091</v>
      </c>
      <c r="Q59" s="19">
        <f t="shared" si="3"/>
        <v>4.108024892499596E-3</v>
      </c>
      <c r="R59" s="20">
        <f t="shared" si="4"/>
        <v>7.9784340430513204E-2</v>
      </c>
      <c r="S59" s="20">
        <f t="shared" si="5"/>
        <v>4.0307424401722278E-4</v>
      </c>
      <c r="T59" s="20">
        <f t="shared" si="6"/>
        <v>0</v>
      </c>
      <c r="U59" s="20">
        <f t="shared" si="7"/>
        <v>9.811874430292597E-2</v>
      </c>
      <c r="V59" s="21">
        <f t="shared" si="8"/>
        <v>291915841.91126001</v>
      </c>
      <c r="W59" s="21" t="str">
        <f t="shared" si="9"/>
        <v/>
      </c>
      <c r="X59" s="19" t="str">
        <f t="shared" si="10"/>
        <v/>
      </c>
      <c r="Y59" s="17">
        <f t="shared" si="11"/>
        <v>429.52774736949954</v>
      </c>
      <c r="Z59" s="17">
        <f t="shared" si="12"/>
        <v>207827.84550871453</v>
      </c>
      <c r="AA59" s="20">
        <f t="shared" si="13"/>
        <v>6.3985752410536431E-2</v>
      </c>
      <c r="AB59" s="17">
        <f t="shared" si="14"/>
        <v>207827.84550871453</v>
      </c>
      <c r="AC59" s="18">
        <f t="shared" si="15"/>
        <v>7009823.9579145079</v>
      </c>
      <c r="AD59" s="19">
        <f t="shared" si="16"/>
        <v>2.0624851867373263E-3</v>
      </c>
    </row>
    <row r="60" spans="1:30" x14ac:dyDescent="0.25">
      <c r="A60" s="8">
        <v>208</v>
      </c>
      <c r="B60" s="9">
        <v>44411</v>
      </c>
      <c r="C60" s="10">
        <v>2.666666666666667</v>
      </c>
      <c r="D60" s="11">
        <v>208158.32924864659</v>
      </c>
      <c r="E60" s="11">
        <v>868.256969161999</v>
      </c>
      <c r="F60" s="11"/>
      <c r="G60" s="11">
        <v>77786.721372607004</v>
      </c>
      <c r="H60" s="12">
        <v>7.9227256330466636E-2</v>
      </c>
      <c r="I60" s="13">
        <v>775</v>
      </c>
      <c r="J60" s="13">
        <v>119574</v>
      </c>
      <c r="K60" s="12">
        <v>9.7592321367260829E-2</v>
      </c>
      <c r="L60" s="14">
        <v>34.04187500000004</v>
      </c>
      <c r="M60" s="15"/>
      <c r="N60" s="16">
        <f t="shared" si="0"/>
        <v>130371.60787603959</v>
      </c>
      <c r="O60" s="17">
        <f t="shared" si="1"/>
        <v>209026.5862178086</v>
      </c>
      <c r="P60" s="18">
        <f t="shared" si="2"/>
        <v>7115656.9197033709</v>
      </c>
      <c r="Q60" s="19">
        <f t="shared" si="3"/>
        <v>4.1538111724087733E-3</v>
      </c>
      <c r="R60" s="20">
        <f t="shared" si="4"/>
        <v>7.9227256330466636E-2</v>
      </c>
      <c r="S60" s="20">
        <f t="shared" si="5"/>
        <v>4.0707097078303734E-4</v>
      </c>
      <c r="T60" s="20">
        <f t="shared" si="6"/>
        <v>0</v>
      </c>
      <c r="U60" s="20">
        <f t="shared" si="7"/>
        <v>9.7999392338043861E-2</v>
      </c>
      <c r="V60" s="21">
        <f t="shared" si="8"/>
        <v>292145793.43780392</v>
      </c>
      <c r="W60" s="21" t="str">
        <f t="shared" si="9"/>
        <v/>
      </c>
      <c r="X60" s="19" t="str">
        <f t="shared" si="10"/>
        <v/>
      </c>
      <c r="Y60" s="17">
        <f t="shared" si="11"/>
        <v>434.1284845809995</v>
      </c>
      <c r="Z60" s="17">
        <f t="shared" si="12"/>
        <v>207724.20076406561</v>
      </c>
      <c r="AA60" s="20">
        <f t="shared" si="13"/>
        <v>6.3900397514859528E-2</v>
      </c>
      <c r="AB60" s="17">
        <f t="shared" si="14"/>
        <v>207724.20076406561</v>
      </c>
      <c r="AC60" s="18">
        <f t="shared" si="15"/>
        <v>7071321.2768852338</v>
      </c>
      <c r="AD60" s="19">
        <f t="shared" si="16"/>
        <v>2.0855686445409058E-3</v>
      </c>
    </row>
    <row r="61" spans="1:30" x14ac:dyDescent="0.25">
      <c r="A61" s="8">
        <v>209</v>
      </c>
      <c r="B61" s="9">
        <v>44413</v>
      </c>
      <c r="C61" s="10">
        <v>2.625</v>
      </c>
      <c r="D61" s="11">
        <v>208059.25161432099</v>
      </c>
      <c r="E61" s="11">
        <v>879.59742164899922</v>
      </c>
      <c r="F61" s="11"/>
      <c r="G61" s="11">
        <v>77843.700039272997</v>
      </c>
      <c r="H61" s="12">
        <v>7.8744018421153583E-2</v>
      </c>
      <c r="I61" s="13">
        <v>780</v>
      </c>
      <c r="J61" s="13">
        <v>154219</v>
      </c>
      <c r="K61" s="12">
        <v>9.8780758366760354E-2</v>
      </c>
      <c r="L61" s="14">
        <v>36.864861111111097</v>
      </c>
      <c r="M61" s="15"/>
      <c r="N61" s="16">
        <f t="shared" si="0"/>
        <v>130215.551575048</v>
      </c>
      <c r="O61" s="17">
        <f t="shared" si="1"/>
        <v>208938.84903596999</v>
      </c>
      <c r="P61" s="18">
        <f t="shared" si="2"/>
        <v>7702501.6504264427</v>
      </c>
      <c r="Q61" s="19">
        <f t="shared" si="3"/>
        <v>4.2098318513163228E-3</v>
      </c>
      <c r="R61" s="20">
        <f t="shared" si="4"/>
        <v>7.8744018421153583E-2</v>
      </c>
      <c r="S61" s="20">
        <f t="shared" si="5"/>
        <v>4.176084441993381E-4</v>
      </c>
      <c r="T61" s="20">
        <f t="shared" si="6"/>
        <v>0</v>
      </c>
      <c r="U61" s="20">
        <f t="shared" si="7"/>
        <v>9.9198366810959698E-2</v>
      </c>
      <c r="V61" s="21">
        <f t="shared" si="8"/>
        <v>293072853.49170667</v>
      </c>
      <c r="W61" s="21" t="str">
        <f t="shared" si="9"/>
        <v/>
      </c>
      <c r="X61" s="19" t="str">
        <f t="shared" si="10"/>
        <v/>
      </c>
      <c r="Y61" s="17">
        <f t="shared" si="11"/>
        <v>439.79871082449961</v>
      </c>
      <c r="Z61" s="17">
        <f t="shared" si="12"/>
        <v>207619.45290349651</v>
      </c>
      <c r="AA61" s="20">
        <f t="shared" si="13"/>
        <v>6.3843557516361546E-2</v>
      </c>
      <c r="AB61" s="17">
        <f t="shared" si="14"/>
        <v>207619.45290349651</v>
      </c>
      <c r="AC61" s="18">
        <f t="shared" si="15"/>
        <v>7653862.2952522701</v>
      </c>
      <c r="AD61" s="19">
        <f t="shared" si="16"/>
        <v>2.1138147302372959E-3</v>
      </c>
    </row>
    <row r="62" spans="1:30" x14ac:dyDescent="0.25">
      <c r="A62" s="8">
        <v>210</v>
      </c>
      <c r="B62" s="9">
        <v>44416</v>
      </c>
      <c r="C62" s="10">
        <v>2.708333333333333</v>
      </c>
      <c r="D62" s="11">
        <v>207960.13975992741</v>
      </c>
      <c r="E62" s="11">
        <v>887.88331645199844</v>
      </c>
      <c r="F62" s="11"/>
      <c r="G62" s="11">
        <v>77952.204361484997</v>
      </c>
      <c r="H62" s="12">
        <v>7.9108291469116368E-2</v>
      </c>
      <c r="I62" s="13">
        <v>787</v>
      </c>
      <c r="J62" s="13">
        <v>162591</v>
      </c>
      <c r="K62" s="12">
        <v>9.5170933128851345E-2</v>
      </c>
      <c r="L62" s="14">
        <v>38.282222222222153</v>
      </c>
      <c r="M62" s="15"/>
      <c r="N62" s="16">
        <f t="shared" si="0"/>
        <v>130007.93539844241</v>
      </c>
      <c r="O62" s="17">
        <f t="shared" si="1"/>
        <v>208848.02307637941</v>
      </c>
      <c r="P62" s="18">
        <f t="shared" si="2"/>
        <v>7995166.4300817372</v>
      </c>
      <c r="Q62" s="19">
        <f t="shared" si="3"/>
        <v>4.2513369452737591E-3</v>
      </c>
      <c r="R62" s="20">
        <f t="shared" si="4"/>
        <v>7.9108291469116368E-2</v>
      </c>
      <c r="S62" s="20">
        <f t="shared" si="5"/>
        <v>4.0633115477718413E-4</v>
      </c>
      <c r="T62" s="20">
        <f t="shared" si="6"/>
        <v>0</v>
      </c>
      <c r="U62" s="20">
        <f t="shared" si="7"/>
        <v>9.5577264283628532E-2</v>
      </c>
      <c r="V62" s="21">
        <f t="shared" si="8"/>
        <v>294688971.35566908</v>
      </c>
      <c r="W62" s="21" t="str">
        <f t="shared" si="9"/>
        <v/>
      </c>
      <c r="X62" s="19" t="str">
        <f t="shared" si="10"/>
        <v/>
      </c>
      <c r="Y62" s="17">
        <f t="shared" si="11"/>
        <v>443.94165822599922</v>
      </c>
      <c r="Z62" s="17">
        <f t="shared" si="12"/>
        <v>207516.19810170142</v>
      </c>
      <c r="AA62" s="20">
        <f t="shared" si="13"/>
        <v>6.3758392304011022E-2</v>
      </c>
      <c r="AB62" s="17">
        <f t="shared" si="14"/>
        <v>207516.19810170142</v>
      </c>
      <c r="AC62" s="18">
        <f t="shared" si="15"/>
        <v>7944181.2104400089</v>
      </c>
      <c r="AD62" s="19">
        <f t="shared" si="16"/>
        <v>2.1347439886244199E-3</v>
      </c>
    </row>
    <row r="63" spans="1:30" x14ac:dyDescent="0.25">
      <c r="A63" s="8">
        <v>211</v>
      </c>
      <c r="B63" s="9">
        <v>44419</v>
      </c>
      <c r="C63" s="10">
        <v>2.708333333333333</v>
      </c>
      <c r="D63" s="11">
        <v>207860.9950739847</v>
      </c>
      <c r="E63" s="11">
        <v>892.70532081399892</v>
      </c>
      <c r="F63" s="11"/>
      <c r="G63" s="11">
        <v>76629.854076520001</v>
      </c>
      <c r="H63" s="12">
        <v>8.0000881152093861E-2</v>
      </c>
      <c r="I63" s="13">
        <v>814</v>
      </c>
      <c r="J63" s="13">
        <v>175252</v>
      </c>
      <c r="K63" s="12">
        <v>9.4962824838251247E-2</v>
      </c>
      <c r="L63" s="14">
        <v>42.365104166666796</v>
      </c>
      <c r="M63" s="15"/>
      <c r="N63" s="16">
        <f t="shared" si="0"/>
        <v>131231.14099746471</v>
      </c>
      <c r="O63" s="17">
        <f t="shared" si="1"/>
        <v>208753.70039479871</v>
      </c>
      <c r="P63" s="18">
        <f t="shared" si="2"/>
        <v>8843872.262402799</v>
      </c>
      <c r="Q63" s="19">
        <f t="shared" si="3"/>
        <v>4.2763568699654125E-3</v>
      </c>
      <c r="R63" s="20">
        <f t="shared" si="4"/>
        <v>8.0000881152093861E-2</v>
      </c>
      <c r="S63" s="20">
        <f t="shared" si="5"/>
        <v>4.0783899346994281E-4</v>
      </c>
      <c r="T63" s="20">
        <f t="shared" si="6"/>
        <v>0</v>
      </c>
      <c r="U63" s="20">
        <f t="shared" si="7"/>
        <v>9.5370663831721186E-2</v>
      </c>
      <c r="V63" s="21">
        <f t="shared" si="8"/>
        <v>295193973.32136136</v>
      </c>
      <c r="W63" s="21" t="str">
        <f t="shared" si="9"/>
        <v/>
      </c>
      <c r="X63" s="19" t="str">
        <f t="shared" si="10"/>
        <v/>
      </c>
      <c r="Y63" s="17">
        <f t="shared" si="11"/>
        <v>446.35266040699946</v>
      </c>
      <c r="Z63" s="17">
        <f t="shared" si="12"/>
        <v>207414.64241357771</v>
      </c>
      <c r="AA63" s="20">
        <f t="shared" si="13"/>
        <v>6.3673340699261297E-2</v>
      </c>
      <c r="AB63" s="17">
        <f t="shared" si="14"/>
        <v>207414.64241357771</v>
      </c>
      <c r="AC63" s="18">
        <f t="shared" si="15"/>
        <v>8787142.931543164</v>
      </c>
      <c r="AD63" s="19">
        <f t="shared" si="16"/>
        <v>2.1473613183085531E-3</v>
      </c>
    </row>
    <row r="64" spans="1:30" x14ac:dyDescent="0.25">
      <c r="A64" s="8">
        <v>212</v>
      </c>
      <c r="B64" s="9">
        <v>44422</v>
      </c>
      <c r="C64" s="10">
        <v>2.875</v>
      </c>
      <c r="D64" s="11">
        <v>207761.81922133971</v>
      </c>
      <c r="E64" s="11">
        <v>871.37504429799901</v>
      </c>
      <c r="F64" s="11"/>
      <c r="G64" s="11">
        <v>77132.725858413003</v>
      </c>
      <c r="H64" s="12">
        <v>7.9292416912114735E-2</v>
      </c>
      <c r="I64" s="13">
        <v>818</v>
      </c>
      <c r="J64" s="13">
        <v>145010</v>
      </c>
      <c r="K64" s="12">
        <v>8.9328549348900999E-2</v>
      </c>
      <c r="L64" s="14">
        <v>43.955555555555499</v>
      </c>
      <c r="M64" s="15"/>
      <c r="N64" s="16">
        <f t="shared" si="0"/>
        <v>130629.09336292671</v>
      </c>
      <c r="O64" s="17">
        <f t="shared" si="1"/>
        <v>208633.19426563772</v>
      </c>
      <c r="P64" s="18">
        <f t="shared" si="2"/>
        <v>9170587.9612762425</v>
      </c>
      <c r="Q64" s="19">
        <f t="shared" si="3"/>
        <v>4.1765887128610013E-3</v>
      </c>
      <c r="R64" s="20">
        <f t="shared" si="4"/>
        <v>7.9292416912114735E-2</v>
      </c>
      <c r="S64" s="20">
        <f t="shared" si="5"/>
        <v>3.7465338404189135E-4</v>
      </c>
      <c r="T64" s="20">
        <f t="shared" si="6"/>
        <v>0</v>
      </c>
      <c r="U64" s="20">
        <f t="shared" si="7"/>
        <v>8.9703202732942897E-2</v>
      </c>
      <c r="V64" s="21">
        <f t="shared" si="8"/>
        <v>295479825.38697428</v>
      </c>
      <c r="W64" s="21" t="str">
        <f t="shared" si="9"/>
        <v/>
      </c>
      <c r="X64" s="19" t="str">
        <f t="shared" si="10"/>
        <v/>
      </c>
      <c r="Y64" s="17">
        <f t="shared" si="11"/>
        <v>435.68752214899951</v>
      </c>
      <c r="Z64" s="17">
        <f t="shared" si="12"/>
        <v>207326.13169919071</v>
      </c>
      <c r="AA64" s="20">
        <f t="shared" si="13"/>
        <v>6.3588402550563514E-2</v>
      </c>
      <c r="AB64" s="17">
        <f t="shared" si="14"/>
        <v>207326.13169919071</v>
      </c>
      <c r="AC64" s="18">
        <f t="shared" si="15"/>
        <v>9113135.3000221923</v>
      </c>
      <c r="AD64" s="19">
        <f t="shared" si="16"/>
        <v>2.0970528838354001E-3</v>
      </c>
    </row>
    <row r="65" spans="1:30" x14ac:dyDescent="0.25">
      <c r="A65" s="8">
        <v>213</v>
      </c>
      <c r="B65" s="9">
        <v>44425</v>
      </c>
      <c r="C65" s="10">
        <v>2.875</v>
      </c>
      <c r="D65" s="11">
        <v>207662.62302952961</v>
      </c>
      <c r="E65" s="11">
        <v>877.50030396399859</v>
      </c>
      <c r="F65" s="11"/>
      <c r="G65" s="11">
        <v>76887.587623475003</v>
      </c>
      <c r="H65" s="12">
        <v>7.935264450747001E-2</v>
      </c>
      <c r="I65" s="13">
        <v>820</v>
      </c>
      <c r="J65" s="13">
        <v>179319</v>
      </c>
      <c r="K65" s="12">
        <v>8.8882119696850823E-2</v>
      </c>
      <c r="L65" s="14">
        <v>68.715416666666428</v>
      </c>
      <c r="M65" s="15"/>
      <c r="N65" s="16">
        <f t="shared" si="0"/>
        <v>130775.03540605461</v>
      </c>
      <c r="O65" s="17">
        <f t="shared" si="1"/>
        <v>208540.1233334936</v>
      </c>
      <c r="P65" s="18">
        <f t="shared" si="2"/>
        <v>14329921.466579018</v>
      </c>
      <c r="Q65" s="19">
        <f t="shared" si="3"/>
        <v>4.2078248057843331E-3</v>
      </c>
      <c r="R65" s="20">
        <f t="shared" si="4"/>
        <v>7.935264450747001E-2</v>
      </c>
      <c r="S65" s="20">
        <f t="shared" si="5"/>
        <v>3.7558076611533678E-4</v>
      </c>
      <c r="T65" s="20">
        <f t="shared" si="6"/>
        <v>0</v>
      </c>
      <c r="U65" s="20">
        <f t="shared" si="7"/>
        <v>8.9257700462966161E-2</v>
      </c>
      <c r="V65" s="21">
        <f t="shared" si="8"/>
        <v>296822150.78160363</v>
      </c>
      <c r="W65" s="21" t="str">
        <f t="shared" si="9"/>
        <v/>
      </c>
      <c r="X65" s="19" t="str">
        <f t="shared" si="10"/>
        <v/>
      </c>
      <c r="Y65" s="17">
        <f t="shared" si="11"/>
        <v>438.7501519819993</v>
      </c>
      <c r="Z65" s="17">
        <f t="shared" si="12"/>
        <v>207223.8728775476</v>
      </c>
      <c r="AA65" s="20">
        <f t="shared" si="13"/>
        <v>6.3503577706571071E-2</v>
      </c>
      <c r="AB65" s="17">
        <f t="shared" si="14"/>
        <v>207223.8728775476</v>
      </c>
      <c r="AC65" s="18">
        <f t="shared" si="15"/>
        <v>14239474.768060999</v>
      </c>
      <c r="AD65" s="19">
        <f t="shared" si="16"/>
        <v>2.1128027065304335E-3</v>
      </c>
    </row>
    <row r="66" spans="1:30" x14ac:dyDescent="0.25">
      <c r="A66" s="8">
        <v>214</v>
      </c>
      <c r="B66" s="9">
        <v>44428</v>
      </c>
      <c r="C66" s="10">
        <v>2.958333333333333</v>
      </c>
      <c r="D66" s="11">
        <v>207563.39541934451</v>
      </c>
      <c r="E66" s="11">
        <v>951.35677764599814</v>
      </c>
      <c r="F66" s="11"/>
      <c r="G66" s="11">
        <v>77541.748515261002</v>
      </c>
      <c r="H66" s="12">
        <v>7.9683240055925322E-2</v>
      </c>
      <c r="I66" s="13">
        <v>842</v>
      </c>
      <c r="J66" s="13">
        <v>183364</v>
      </c>
      <c r="K66" s="12">
        <v>8.6422357644451192E-2</v>
      </c>
      <c r="L66" s="14">
        <v>73.83114583333321</v>
      </c>
      <c r="M66" s="15"/>
      <c r="N66" s="16">
        <f t="shared" ref="N66:N129" si="17">D66-G66</f>
        <v>130021.64690408351</v>
      </c>
      <c r="O66" s="17">
        <f t="shared" ref="O66:O129" si="18">D66+E66+F66</f>
        <v>208514.75219699051</v>
      </c>
      <c r="P66" s="18">
        <f t="shared" ref="P66:P129" si="19">O66*L66</f>
        <v>15394883.077857342</v>
      </c>
      <c r="Q66" s="19">
        <f t="shared" ref="Q66:Q129" si="20">IF(O66&gt;0,E66/O66,"")</f>
        <v>4.5625394252547715E-3</v>
      </c>
      <c r="R66" s="20">
        <f t="shared" ref="R66:R129" si="21">IF(H66&lt;&gt;"",H66,IF(D66&gt;0,G66/D66,""))</f>
        <v>7.9683240055925322E-2</v>
      </c>
      <c r="S66" s="20">
        <f t="shared" ref="S66:S129" si="22">IF(AND(K66&lt;&gt;"",D66&gt;0),E66*K66/D66,"")</f>
        <v>3.9611269375839319E-4</v>
      </c>
      <c r="T66" s="20">
        <f t="shared" ref="T66:T129" si="23">IF(AND(K66&lt;&gt;"",D66&gt;0),F66*K66/D66,"")</f>
        <v>0</v>
      </c>
      <c r="U66" s="20">
        <f t="shared" ref="U66:U129" si="24">IF(K66&lt;&gt;"",K66+S66+T66,"")</f>
        <v>8.681847033820958E-2</v>
      </c>
      <c r="V66" s="21">
        <f t="shared" ref="V66:V129" si="25">IF(AND(K66&lt;&gt;"",K66&gt;0,C66&gt;0),D66*(365.25/C66)/K66,"")</f>
        <v>296529410.47336942</v>
      </c>
      <c r="W66" s="21" t="str">
        <f t="shared" ref="W66:W129" si="26">IF(AND(M66&lt;&gt;"",L66&gt;0),M66/L66,"")</f>
        <v/>
      </c>
      <c r="X66" s="19" t="str">
        <f t="shared" ref="X66:X129" si="27">IF(AND(V66&lt;&gt;"",W66&lt;&gt;"",W66&gt;0),V66/W66,"")</f>
        <v/>
      </c>
      <c r="Y66" s="17">
        <f t="shared" ref="Y66:Y129" si="28">IF(A66&lt;620,E66*0.5,"")</f>
        <v>475.67838882299907</v>
      </c>
      <c r="Z66" s="17">
        <f t="shared" ref="Z66:Z129" si="29">IF(Y66&lt;&gt;"",D66-Y66,"")</f>
        <v>207087.71703052151</v>
      </c>
      <c r="AA66" s="20">
        <f t="shared" ref="AA66:AA129" si="30">IF(B66&lt;&gt;"",MAX(0.08*0.85^((B66-DATE(2020,3,16))/365.25),0.015),"")</f>
        <v>6.3418866016139164E-2</v>
      </c>
      <c r="AB66" s="17">
        <f t="shared" ref="AB66:AB129" si="31">IF(Z66&lt;&gt;"",Z66,"")</f>
        <v>207087.71703052151</v>
      </c>
      <c r="AC66" s="18">
        <f t="shared" ref="AC66:AC129" si="32">IF(AB66&lt;&gt;"",AB66*L66,"")</f>
        <v>15289523.436372476</v>
      </c>
      <c r="AD66" s="19">
        <f t="shared" ref="AD66:AD129" si="33">IF(AND(Y66&lt;&gt;"",D66&gt;0),Y66/D66,"")</f>
        <v>2.2917258019506592E-3</v>
      </c>
    </row>
    <row r="67" spans="1:30" x14ac:dyDescent="0.25">
      <c r="A67" s="8">
        <v>215</v>
      </c>
      <c r="B67" s="9">
        <v>44430</v>
      </c>
      <c r="C67" s="10">
        <v>2.833333333333333</v>
      </c>
      <c r="D67" s="11">
        <v>207464.1085276244</v>
      </c>
      <c r="E67" s="11">
        <v>963.94074392399841</v>
      </c>
      <c r="F67" s="11"/>
      <c r="G67" s="11">
        <v>76618.131987122004</v>
      </c>
      <c r="H67" s="12">
        <v>7.9473593475160115E-2</v>
      </c>
      <c r="I67" s="13">
        <v>848</v>
      </c>
      <c r="J67" s="13">
        <v>187847</v>
      </c>
      <c r="K67" s="12">
        <v>9.007175324212556E-2</v>
      </c>
      <c r="L67" s="14">
        <v>74.676249999999541</v>
      </c>
      <c r="M67" s="15"/>
      <c r="N67" s="16">
        <f t="shared" si="17"/>
        <v>130845.97654050239</v>
      </c>
      <c r="O67" s="17">
        <f t="shared" si="18"/>
        <v>208428.0492715484</v>
      </c>
      <c r="P67" s="18">
        <f t="shared" si="19"/>
        <v>15564625.11441437</v>
      </c>
      <c r="Q67" s="19">
        <f t="shared" si="20"/>
        <v>4.6248129620411011E-3</v>
      </c>
      <c r="R67" s="20">
        <f t="shared" si="21"/>
        <v>7.9473593475160115E-2</v>
      </c>
      <c r="S67" s="20">
        <f t="shared" si="22"/>
        <v>4.1850049843774549E-4</v>
      </c>
      <c r="T67" s="20">
        <f t="shared" si="23"/>
        <v>0</v>
      </c>
      <c r="U67" s="20">
        <f t="shared" si="24"/>
        <v>9.0490253740563312E-2</v>
      </c>
      <c r="V67" s="21">
        <f t="shared" si="25"/>
        <v>296925100.0536828</v>
      </c>
      <c r="W67" s="21" t="str">
        <f t="shared" si="26"/>
        <v/>
      </c>
      <c r="X67" s="19" t="str">
        <f t="shared" si="27"/>
        <v/>
      </c>
      <c r="Y67" s="17">
        <f t="shared" si="28"/>
        <v>481.97037196199921</v>
      </c>
      <c r="Z67" s="17">
        <f t="shared" si="29"/>
        <v>206982.1381556624</v>
      </c>
      <c r="AA67" s="20">
        <f t="shared" si="30"/>
        <v>6.3362454344392305E-2</v>
      </c>
      <c r="AB67" s="17">
        <f t="shared" si="31"/>
        <v>206982.1381556624</v>
      </c>
      <c r="AC67" s="18">
        <f t="shared" si="32"/>
        <v>15456649.89444669</v>
      </c>
      <c r="AD67" s="19">
        <f t="shared" si="33"/>
        <v>2.3231506181119687E-3</v>
      </c>
    </row>
    <row r="68" spans="1:30" x14ac:dyDescent="0.25">
      <c r="A68" s="8">
        <v>216</v>
      </c>
      <c r="B68" s="9">
        <v>44433</v>
      </c>
      <c r="C68" s="10">
        <v>2.833333333333333</v>
      </c>
      <c r="D68" s="11">
        <v>207364.78746266209</v>
      </c>
      <c r="E68" s="11">
        <v>962.78240879799864</v>
      </c>
      <c r="F68" s="11"/>
      <c r="G68" s="11">
        <v>75880.473603339997</v>
      </c>
      <c r="H68" s="12">
        <v>7.9466407940491854E-2</v>
      </c>
      <c r="I68" s="13">
        <v>861</v>
      </c>
      <c r="J68" s="13">
        <v>146582</v>
      </c>
      <c r="K68" s="12">
        <v>8.8098752336426958E-2</v>
      </c>
      <c r="L68" s="14">
        <v>70.309513888888972</v>
      </c>
      <c r="M68" s="15"/>
      <c r="N68" s="16">
        <f t="shared" si="17"/>
        <v>131484.31385932211</v>
      </c>
      <c r="O68" s="17">
        <f t="shared" si="18"/>
        <v>208327.56987146009</v>
      </c>
      <c r="P68" s="18">
        <f t="shared" si="19"/>
        <v>14647410.167315912</v>
      </c>
      <c r="Q68" s="19">
        <f t="shared" si="20"/>
        <v>4.6214834137989691E-3</v>
      </c>
      <c r="R68" s="20">
        <f t="shared" si="21"/>
        <v>7.9466407940491854E-2</v>
      </c>
      <c r="S68" s="20">
        <f t="shared" si="22"/>
        <v>4.0903728171223888E-4</v>
      </c>
      <c r="T68" s="20">
        <f t="shared" si="23"/>
        <v>0</v>
      </c>
      <c r="U68" s="20">
        <f t="shared" si="24"/>
        <v>8.8507789618139196E-2</v>
      </c>
      <c r="V68" s="21">
        <f t="shared" si="25"/>
        <v>303429503.60511506</v>
      </c>
      <c r="W68" s="21" t="str">
        <f t="shared" si="26"/>
        <v/>
      </c>
      <c r="X68" s="19" t="str">
        <f t="shared" si="27"/>
        <v/>
      </c>
      <c r="Y68" s="17">
        <f t="shared" si="28"/>
        <v>481.39120439899932</v>
      </c>
      <c r="Z68" s="17">
        <f t="shared" si="29"/>
        <v>206883.39625826309</v>
      </c>
      <c r="AA68" s="20">
        <f t="shared" si="30"/>
        <v>6.3277930907898239E-2</v>
      </c>
      <c r="AB68" s="17">
        <f t="shared" si="31"/>
        <v>206883.39625826309</v>
      </c>
      <c r="AC68" s="18">
        <f t="shared" si="32"/>
        <v>14545871.022600871</v>
      </c>
      <c r="AD68" s="19">
        <f t="shared" si="33"/>
        <v>2.3214703435880026E-3</v>
      </c>
    </row>
    <row r="69" spans="1:30" x14ac:dyDescent="0.25">
      <c r="A69" s="8">
        <v>217</v>
      </c>
      <c r="B69" s="9">
        <v>44436</v>
      </c>
      <c r="C69" s="10">
        <v>2.791666666666667</v>
      </c>
      <c r="D69" s="11">
        <v>207265.43880175761</v>
      </c>
      <c r="E69" s="11">
        <v>988.97160270299844</v>
      </c>
      <c r="F69" s="11"/>
      <c r="G69" s="11">
        <v>75161.494839163002</v>
      </c>
      <c r="H69" s="12">
        <v>7.9747381180499954E-2</v>
      </c>
      <c r="I69" s="13">
        <v>872</v>
      </c>
      <c r="J69" s="13">
        <v>196107</v>
      </c>
      <c r="K69" s="12">
        <v>8.8897043338478102E-2</v>
      </c>
      <c r="L69" s="14">
        <v>91.317222222222014</v>
      </c>
      <c r="M69" s="15"/>
      <c r="N69" s="16">
        <f t="shared" si="17"/>
        <v>132103.94396259461</v>
      </c>
      <c r="O69" s="17">
        <f t="shared" si="18"/>
        <v>208254.41040446062</v>
      </c>
      <c r="P69" s="18">
        <f t="shared" si="19"/>
        <v>19017214.273661956</v>
      </c>
      <c r="Q69" s="19">
        <f t="shared" si="20"/>
        <v>4.7488627049111255E-3</v>
      </c>
      <c r="R69" s="20">
        <f t="shared" si="21"/>
        <v>7.9747381180499954E-2</v>
      </c>
      <c r="S69" s="20">
        <f t="shared" si="22"/>
        <v>4.2417419871965193E-4</v>
      </c>
      <c r="T69" s="20">
        <f t="shared" si="23"/>
        <v>0</v>
      </c>
      <c r="U69" s="20">
        <f t="shared" si="24"/>
        <v>8.9321217537197753E-2</v>
      </c>
      <c r="V69" s="21">
        <f t="shared" si="25"/>
        <v>305046633.84188163</v>
      </c>
      <c r="W69" s="21" t="str">
        <f t="shared" si="26"/>
        <v/>
      </c>
      <c r="X69" s="19" t="str">
        <f t="shared" si="27"/>
        <v/>
      </c>
      <c r="Y69" s="17">
        <f t="shared" si="28"/>
        <v>494.48580135149922</v>
      </c>
      <c r="Z69" s="17">
        <f t="shared" si="29"/>
        <v>206770.95300040612</v>
      </c>
      <c r="AA69" s="20">
        <f t="shared" si="30"/>
        <v>6.3193520222896982E-2</v>
      </c>
      <c r="AB69" s="17">
        <f t="shared" si="31"/>
        <v>206770.95300040612</v>
      </c>
      <c r="AC69" s="18">
        <f t="shared" si="32"/>
        <v>18881749.064238708</v>
      </c>
      <c r="AD69" s="19">
        <f t="shared" si="33"/>
        <v>2.3857610039098617E-3</v>
      </c>
    </row>
    <row r="70" spans="1:30" x14ac:dyDescent="0.25">
      <c r="A70" s="8">
        <v>218</v>
      </c>
      <c r="B70" s="9">
        <v>44439</v>
      </c>
      <c r="C70" s="10">
        <v>2.708333333333333</v>
      </c>
      <c r="D70" s="11">
        <v>207166.05115006631</v>
      </c>
      <c r="E70" s="11">
        <v>1039.5335213189981</v>
      </c>
      <c r="F70" s="11"/>
      <c r="G70" s="11">
        <v>78092.249054671003</v>
      </c>
      <c r="H70" s="12">
        <v>7.9411251637042934E-2</v>
      </c>
      <c r="I70" s="13">
        <v>897</v>
      </c>
      <c r="J70" s="13">
        <v>200697</v>
      </c>
      <c r="K70" s="12">
        <v>8.8551412560881351E-2</v>
      </c>
      <c r="L70" s="14">
        <v>115.76368055555621</v>
      </c>
      <c r="M70" s="15"/>
      <c r="N70" s="16">
        <f t="shared" si="17"/>
        <v>129073.80209539531</v>
      </c>
      <c r="O70" s="17">
        <f t="shared" si="18"/>
        <v>208205.58467138532</v>
      </c>
      <c r="P70" s="18">
        <f t="shared" si="19"/>
        <v>24102644.793781061</v>
      </c>
      <c r="Q70" s="19">
        <f t="shared" si="20"/>
        <v>4.9928224690020334E-3</v>
      </c>
      <c r="R70" s="20">
        <f t="shared" si="21"/>
        <v>7.9411251637042934E-2</v>
      </c>
      <c r="S70" s="20">
        <f t="shared" si="22"/>
        <v>4.4433999299674774E-4</v>
      </c>
      <c r="T70" s="20">
        <f t="shared" si="23"/>
        <v>0</v>
      </c>
      <c r="U70" s="20">
        <f t="shared" si="24"/>
        <v>8.8995752553878094E-2</v>
      </c>
      <c r="V70" s="21">
        <f t="shared" si="25"/>
        <v>315508601.91971672</v>
      </c>
      <c r="W70" s="21" t="str">
        <f t="shared" si="26"/>
        <v/>
      </c>
      <c r="X70" s="19" t="str">
        <f t="shared" si="27"/>
        <v/>
      </c>
      <c r="Y70" s="17">
        <f t="shared" si="28"/>
        <v>519.76676065949903</v>
      </c>
      <c r="Z70" s="17">
        <f t="shared" si="29"/>
        <v>206646.28438940682</v>
      </c>
      <c r="AA70" s="20">
        <f t="shared" si="30"/>
        <v>6.3109222138981777E-2</v>
      </c>
      <c r="AB70" s="17">
        <f t="shared" si="31"/>
        <v>206646.28438940682</v>
      </c>
      <c r="AC70" s="18">
        <f t="shared" si="32"/>
        <v>23922134.454047911</v>
      </c>
      <c r="AD70" s="19">
        <f t="shared" si="33"/>
        <v>2.5089379161018616E-3</v>
      </c>
    </row>
    <row r="71" spans="1:30" x14ac:dyDescent="0.25">
      <c r="A71" s="8">
        <v>219</v>
      </c>
      <c r="B71" s="9">
        <v>44441</v>
      </c>
      <c r="C71" s="10">
        <v>2.583333333333333</v>
      </c>
      <c r="D71" s="11">
        <v>207066.6146540755</v>
      </c>
      <c r="E71" s="11">
        <v>1101.025710117998</v>
      </c>
      <c r="F71" s="11"/>
      <c r="G71" s="11">
        <v>78067.575589557993</v>
      </c>
      <c r="H71" s="12">
        <v>7.9774790362781067E-2</v>
      </c>
      <c r="I71" s="13">
        <v>909</v>
      </c>
      <c r="J71" s="13">
        <v>162125</v>
      </c>
      <c r="K71" s="12">
        <v>9.2356073148886136E-2</v>
      </c>
      <c r="L71" s="14">
        <v>118.7503472222224</v>
      </c>
      <c r="M71" s="15"/>
      <c r="N71" s="16">
        <f t="shared" si="17"/>
        <v>128999.03906451751</v>
      </c>
      <c r="O71" s="17">
        <f t="shared" si="18"/>
        <v>208167.6403641935</v>
      </c>
      <c r="P71" s="18">
        <f t="shared" si="19"/>
        <v>24719979.573678698</v>
      </c>
      <c r="Q71" s="19">
        <f t="shared" si="20"/>
        <v>5.2891299924989841E-3</v>
      </c>
      <c r="R71" s="20">
        <f t="shared" si="21"/>
        <v>7.9774790362781067E-2</v>
      </c>
      <c r="S71" s="20">
        <f t="shared" si="22"/>
        <v>4.9108066596027062E-4</v>
      </c>
      <c r="T71" s="20">
        <f t="shared" si="23"/>
        <v>0</v>
      </c>
      <c r="U71" s="20">
        <f t="shared" si="24"/>
        <v>9.28471538148464E-2</v>
      </c>
      <c r="V71" s="21">
        <f t="shared" si="25"/>
        <v>316996451.73960614</v>
      </c>
      <c r="W71" s="21" t="str">
        <f t="shared" si="26"/>
        <v/>
      </c>
      <c r="X71" s="19" t="str">
        <f t="shared" si="27"/>
        <v/>
      </c>
      <c r="Y71" s="17">
        <f t="shared" si="28"/>
        <v>550.51285505899898</v>
      </c>
      <c r="Z71" s="17">
        <f t="shared" si="29"/>
        <v>206516.1017990165</v>
      </c>
      <c r="AA71" s="20">
        <f t="shared" si="30"/>
        <v>6.305308589834642E-2</v>
      </c>
      <c r="AB71" s="17">
        <f t="shared" si="31"/>
        <v>206516.1017990165</v>
      </c>
      <c r="AC71" s="18">
        <f t="shared" si="32"/>
        <v>24523858.795613039</v>
      </c>
      <c r="AD71" s="19">
        <f t="shared" si="33"/>
        <v>2.6586268190972413E-3</v>
      </c>
    </row>
    <row r="72" spans="1:30" x14ac:dyDescent="0.25">
      <c r="A72" s="8">
        <v>220</v>
      </c>
      <c r="B72" s="9">
        <v>44444</v>
      </c>
      <c r="C72" s="10">
        <v>2.5</v>
      </c>
      <c r="D72" s="11">
        <v>206967.1248986141</v>
      </c>
      <c r="E72" s="11">
        <v>1106.0792362649979</v>
      </c>
      <c r="F72" s="11"/>
      <c r="G72" s="11">
        <v>78675.758775651004</v>
      </c>
      <c r="H72" s="12">
        <v>7.9602738752497251E-2</v>
      </c>
      <c r="I72" s="13">
        <v>920</v>
      </c>
      <c r="J72" s="13">
        <v>165851</v>
      </c>
      <c r="K72" s="12">
        <v>9.5496834189281579E-2</v>
      </c>
      <c r="L72" s="14">
        <v>139.8354166666671</v>
      </c>
      <c r="M72" s="15"/>
      <c r="N72" s="16">
        <f t="shared" si="17"/>
        <v>128291.3661229631</v>
      </c>
      <c r="O72" s="17">
        <f t="shared" si="18"/>
        <v>208073.20413487911</v>
      </c>
      <c r="P72" s="18">
        <f t="shared" si="19"/>
        <v>29096003.1973693</v>
      </c>
      <c r="Q72" s="19">
        <f t="shared" si="20"/>
        <v>5.3158177712686406E-3</v>
      </c>
      <c r="R72" s="20">
        <f t="shared" si="21"/>
        <v>7.9602738752497251E-2</v>
      </c>
      <c r="S72" s="20">
        <f t="shared" si="22"/>
        <v>5.1035673166716056E-4</v>
      </c>
      <c r="T72" s="20">
        <f t="shared" si="23"/>
        <v>0</v>
      </c>
      <c r="U72" s="20">
        <f t="shared" si="24"/>
        <v>9.600719092094874E-2</v>
      </c>
      <c r="V72" s="21">
        <f t="shared" si="25"/>
        <v>316637689.6615634</v>
      </c>
      <c r="W72" s="21" t="str">
        <f t="shared" si="26"/>
        <v/>
      </c>
      <c r="X72" s="19" t="str">
        <f t="shared" si="27"/>
        <v/>
      </c>
      <c r="Y72" s="17">
        <f t="shared" si="28"/>
        <v>553.03961813249896</v>
      </c>
      <c r="Z72" s="17">
        <f t="shared" si="29"/>
        <v>206414.08528048161</v>
      </c>
      <c r="AA72" s="20">
        <f t="shared" si="30"/>
        <v>6.2968975149215442E-2</v>
      </c>
      <c r="AB72" s="17">
        <f t="shared" si="31"/>
        <v>206414.08528048161</v>
      </c>
      <c r="AC72" s="18">
        <f t="shared" si="32"/>
        <v>28863999.621065103</v>
      </c>
      <c r="AD72" s="19">
        <f t="shared" si="33"/>
        <v>2.6721133532845547E-3</v>
      </c>
    </row>
    <row r="73" spans="1:30" x14ac:dyDescent="0.25">
      <c r="A73" s="8">
        <v>221</v>
      </c>
      <c r="B73" s="9">
        <v>44446</v>
      </c>
      <c r="C73" s="10">
        <v>2.583333333333333</v>
      </c>
      <c r="D73" s="11">
        <v>206867.60534268679</v>
      </c>
      <c r="E73" s="11">
        <v>1141.830388541998</v>
      </c>
      <c r="F73" s="11"/>
      <c r="G73" s="11">
        <v>78774.677912580999</v>
      </c>
      <c r="H73" s="12">
        <v>7.9781865414077988E-2</v>
      </c>
      <c r="I73" s="13">
        <v>928</v>
      </c>
      <c r="J73" s="13">
        <v>170920</v>
      </c>
      <c r="K73" s="12">
        <v>9.2884458712492859E-2</v>
      </c>
      <c r="L73" s="14">
        <v>177.13722222222179</v>
      </c>
      <c r="M73" s="15"/>
      <c r="N73" s="16">
        <f t="shared" si="17"/>
        <v>128092.92743010579</v>
      </c>
      <c r="O73" s="17">
        <f t="shared" si="18"/>
        <v>208009.43573122879</v>
      </c>
      <c r="P73" s="18">
        <f t="shared" si="19"/>
        <v>36846213.641441636</v>
      </c>
      <c r="Q73" s="19">
        <f t="shared" si="20"/>
        <v>5.4893201576555846E-3</v>
      </c>
      <c r="R73" s="20">
        <f t="shared" si="21"/>
        <v>7.9781865414077988E-2</v>
      </c>
      <c r="S73" s="20">
        <f t="shared" si="22"/>
        <v>5.1268683371428732E-4</v>
      </c>
      <c r="T73" s="20">
        <f t="shared" si="23"/>
        <v>0</v>
      </c>
      <c r="U73" s="20">
        <f t="shared" si="24"/>
        <v>9.339714554620715E-2</v>
      </c>
      <c r="V73" s="21">
        <f t="shared" si="25"/>
        <v>314890246.88796788</v>
      </c>
      <c r="W73" s="21" t="str">
        <f t="shared" si="26"/>
        <v/>
      </c>
      <c r="X73" s="19" t="str">
        <f t="shared" si="27"/>
        <v/>
      </c>
      <c r="Y73" s="17">
        <f t="shared" si="28"/>
        <v>570.915194270999</v>
      </c>
      <c r="Z73" s="17">
        <f t="shared" si="29"/>
        <v>206296.6901484158</v>
      </c>
      <c r="AA73" s="20">
        <f t="shared" si="30"/>
        <v>6.2912963659583168E-2</v>
      </c>
      <c r="AB73" s="17">
        <f t="shared" si="31"/>
        <v>206296.6901484158</v>
      </c>
      <c r="AC73" s="18">
        <f t="shared" si="32"/>
        <v>36542822.646528766</v>
      </c>
      <c r="AD73" s="19">
        <f t="shared" si="33"/>
        <v>2.7598095570606561E-3</v>
      </c>
    </row>
    <row r="74" spans="1:30" x14ac:dyDescent="0.25">
      <c r="A74" s="8">
        <v>222</v>
      </c>
      <c r="B74" s="9">
        <v>44449</v>
      </c>
      <c r="C74" s="10">
        <v>2.625</v>
      </c>
      <c r="D74" s="11">
        <v>206768.04354204261</v>
      </c>
      <c r="E74" s="11">
        <v>1158.259075512997</v>
      </c>
      <c r="F74" s="11"/>
      <c r="G74" s="11">
        <v>79394.138337807002</v>
      </c>
      <c r="H74" s="12">
        <v>8.02175717189446E-2</v>
      </c>
      <c r="I74" s="13">
        <v>927</v>
      </c>
      <c r="J74" s="13">
        <v>174453</v>
      </c>
      <c r="K74" s="12">
        <v>9.2413550557093521E-2</v>
      </c>
      <c r="L74" s="14">
        <v>182.3723958333326</v>
      </c>
      <c r="M74" s="15"/>
      <c r="N74" s="16">
        <f t="shared" si="17"/>
        <v>127373.90520423561</v>
      </c>
      <c r="O74" s="17">
        <f t="shared" si="18"/>
        <v>207926.3026175556</v>
      </c>
      <c r="P74" s="18">
        <f t="shared" si="19"/>
        <v>37920017.96513015</v>
      </c>
      <c r="Q74" s="19">
        <f t="shared" si="20"/>
        <v>5.5705269652363987E-3</v>
      </c>
      <c r="R74" s="20">
        <f t="shared" si="21"/>
        <v>8.02175717189446E-2</v>
      </c>
      <c r="S74" s="20">
        <f t="shared" si="22"/>
        <v>5.1767590290792832E-4</v>
      </c>
      <c r="T74" s="20">
        <f t="shared" si="23"/>
        <v>0</v>
      </c>
      <c r="U74" s="20">
        <f t="shared" si="24"/>
        <v>9.2931226460001445E-2</v>
      </c>
      <c r="V74" s="21">
        <f t="shared" si="25"/>
        <v>311321187.97344637</v>
      </c>
      <c r="W74" s="21" t="str">
        <f t="shared" si="26"/>
        <v/>
      </c>
      <c r="X74" s="19" t="str">
        <f t="shared" si="27"/>
        <v/>
      </c>
      <c r="Y74" s="17">
        <f t="shared" si="28"/>
        <v>579.12953775649851</v>
      </c>
      <c r="Z74" s="17">
        <f t="shared" si="29"/>
        <v>206188.91400428611</v>
      </c>
      <c r="AA74" s="20">
        <f t="shared" si="30"/>
        <v>6.282903982892421E-2</v>
      </c>
      <c r="AB74" s="17">
        <f t="shared" si="31"/>
        <v>206188.91400428611</v>
      </c>
      <c r="AC74" s="18">
        <f t="shared" si="32"/>
        <v>37603166.241234645</v>
      </c>
      <c r="AD74" s="19">
        <f t="shared" si="33"/>
        <v>2.8008657809771402E-3</v>
      </c>
    </row>
    <row r="75" spans="1:30" x14ac:dyDescent="0.25">
      <c r="A75" s="8">
        <v>223</v>
      </c>
      <c r="B75" s="9">
        <v>44452</v>
      </c>
      <c r="C75" s="10">
        <v>2.625</v>
      </c>
      <c r="D75" s="11">
        <v>206668.44758306729</v>
      </c>
      <c r="E75" s="11">
        <v>1138.4903364379979</v>
      </c>
      <c r="F75" s="11"/>
      <c r="G75" s="11">
        <v>79361.790212125998</v>
      </c>
      <c r="H75" s="12">
        <v>8.2757388046042948E-2</v>
      </c>
      <c r="I75" s="13">
        <v>958</v>
      </c>
      <c r="J75" s="13">
        <v>187732</v>
      </c>
      <c r="K75" s="12">
        <v>9.2643045799907051E-2</v>
      </c>
      <c r="L75" s="14">
        <v>161.58017361111121</v>
      </c>
      <c r="M75" s="15"/>
      <c r="N75" s="16">
        <f t="shared" si="17"/>
        <v>127306.65737094129</v>
      </c>
      <c r="O75" s="17">
        <f t="shared" si="18"/>
        <v>207806.93791950529</v>
      </c>
      <c r="P75" s="18">
        <f t="shared" si="19"/>
        <v>33577481.106627077</v>
      </c>
      <c r="Q75" s="19">
        <f t="shared" si="20"/>
        <v>5.4785963733270347E-3</v>
      </c>
      <c r="R75" s="20">
        <f t="shared" si="21"/>
        <v>8.2757388046042948E-2</v>
      </c>
      <c r="S75" s="20">
        <f t="shared" si="22"/>
        <v>5.1034985560136678E-4</v>
      </c>
      <c r="T75" s="20">
        <f t="shared" si="23"/>
        <v>0</v>
      </c>
      <c r="U75" s="20">
        <f t="shared" si="24"/>
        <v>9.3153395655508411E-2</v>
      </c>
      <c r="V75" s="21">
        <f t="shared" si="25"/>
        <v>310400397.88950509</v>
      </c>
      <c r="W75" s="21" t="str">
        <f t="shared" si="26"/>
        <v/>
      </c>
      <c r="X75" s="19" t="str">
        <f t="shared" si="27"/>
        <v/>
      </c>
      <c r="Y75" s="17">
        <f t="shared" si="28"/>
        <v>569.24516821899897</v>
      </c>
      <c r="Z75" s="17">
        <f t="shared" si="29"/>
        <v>206099.20241484829</v>
      </c>
      <c r="AA75" s="20">
        <f t="shared" si="30"/>
        <v>6.2745227949903559E-2</v>
      </c>
      <c r="AB75" s="17">
        <f t="shared" si="31"/>
        <v>206099.20241484829</v>
      </c>
      <c r="AC75" s="18">
        <f t="shared" si="32"/>
        <v>33301544.907302737</v>
      </c>
      <c r="AD75" s="19">
        <f t="shared" si="33"/>
        <v>2.7543883687915129E-3</v>
      </c>
    </row>
    <row r="76" spans="1:30" x14ac:dyDescent="0.25">
      <c r="A76" s="8">
        <v>224</v>
      </c>
      <c r="B76" s="9">
        <v>44455</v>
      </c>
      <c r="C76" s="10">
        <v>3.208333333333333</v>
      </c>
      <c r="D76" s="11">
        <v>206568.83250730301</v>
      </c>
      <c r="E76" s="11">
        <v>1220.7359982449971</v>
      </c>
      <c r="F76" s="11"/>
      <c r="G76" s="11">
        <v>79270.956591954004</v>
      </c>
      <c r="H76" s="12">
        <v>8.2176372322567609E-2</v>
      </c>
      <c r="I76" s="13">
        <v>965</v>
      </c>
      <c r="J76" s="13">
        <v>200404</v>
      </c>
      <c r="K76" s="12">
        <v>7.5653135676923319E-2</v>
      </c>
      <c r="L76" s="14">
        <v>156.11454861111079</v>
      </c>
      <c r="M76" s="15"/>
      <c r="N76" s="16">
        <f t="shared" si="17"/>
        <v>127297.87591534901</v>
      </c>
      <c r="O76" s="17">
        <f t="shared" si="18"/>
        <v>207789.568505548</v>
      </c>
      <c r="P76" s="18">
        <f t="shared" si="19"/>
        <v>32438974.69334111</v>
      </c>
      <c r="Q76" s="19">
        <f t="shared" si="20"/>
        <v>5.8748666115662268E-3</v>
      </c>
      <c r="R76" s="20">
        <f t="shared" si="21"/>
        <v>8.2176372322567609E-2</v>
      </c>
      <c r="S76" s="20">
        <f t="shared" si="22"/>
        <v>4.4707860803574112E-4</v>
      </c>
      <c r="T76" s="20">
        <f t="shared" si="23"/>
        <v>0</v>
      </c>
      <c r="U76" s="20">
        <f t="shared" si="24"/>
        <v>7.6100214284959056E-2</v>
      </c>
      <c r="V76" s="21">
        <f t="shared" si="25"/>
        <v>310848375.94749004</v>
      </c>
      <c r="W76" s="21" t="str">
        <f t="shared" si="26"/>
        <v/>
      </c>
      <c r="X76" s="19" t="str">
        <f t="shared" si="27"/>
        <v/>
      </c>
      <c r="Y76" s="17">
        <f t="shared" si="28"/>
        <v>610.36799912249853</v>
      </c>
      <c r="Z76" s="17">
        <f t="shared" si="29"/>
        <v>205958.46450818051</v>
      </c>
      <c r="AA76" s="20">
        <f t="shared" si="30"/>
        <v>6.2661527873181397E-2</v>
      </c>
      <c r="AB76" s="17">
        <f t="shared" si="31"/>
        <v>205958.46450818051</v>
      </c>
      <c r="AC76" s="18">
        <f t="shared" si="32"/>
        <v>32153112.719332084</v>
      </c>
      <c r="AD76" s="19">
        <f t="shared" si="33"/>
        <v>2.9547923165074751E-3</v>
      </c>
    </row>
    <row r="77" spans="1:30" x14ac:dyDescent="0.25">
      <c r="A77" s="8">
        <v>225</v>
      </c>
      <c r="B77" s="9">
        <v>44457</v>
      </c>
      <c r="C77" s="10">
        <v>2.458333333333333</v>
      </c>
      <c r="D77" s="11">
        <v>206469.15666761491</v>
      </c>
      <c r="E77" s="11">
        <v>1230.275338215996</v>
      </c>
      <c r="F77" s="11"/>
      <c r="G77" s="11">
        <v>78569.730188015004</v>
      </c>
      <c r="H77" s="12">
        <v>8.1950991721056743E-2</v>
      </c>
      <c r="I77" s="13">
        <v>969</v>
      </c>
      <c r="J77" s="13">
        <v>203677</v>
      </c>
      <c r="K77" s="12">
        <v>9.8504006051983062E-2</v>
      </c>
      <c r="L77" s="14">
        <v>157.4901736111112</v>
      </c>
      <c r="M77" s="15"/>
      <c r="N77" s="16">
        <f t="shared" si="17"/>
        <v>127899.4264795999</v>
      </c>
      <c r="O77" s="17">
        <f t="shared" si="18"/>
        <v>207699.43200583089</v>
      </c>
      <c r="P77" s="18">
        <f t="shared" si="19"/>
        <v>32710619.605527494</v>
      </c>
      <c r="Q77" s="19">
        <f t="shared" si="20"/>
        <v>5.9233447406897947E-3</v>
      </c>
      <c r="R77" s="20">
        <f t="shared" si="21"/>
        <v>8.1950991721056743E-2</v>
      </c>
      <c r="S77" s="20">
        <f t="shared" si="22"/>
        <v>5.869498927451299E-4</v>
      </c>
      <c r="T77" s="20">
        <f t="shared" si="23"/>
        <v>0</v>
      </c>
      <c r="U77" s="20">
        <f t="shared" si="24"/>
        <v>9.9090955944728193E-2</v>
      </c>
      <c r="V77" s="21">
        <f t="shared" si="25"/>
        <v>311423044.01807314</v>
      </c>
      <c r="W77" s="21" t="str">
        <f t="shared" si="26"/>
        <v/>
      </c>
      <c r="X77" s="19" t="str">
        <f t="shared" si="27"/>
        <v/>
      </c>
      <c r="Y77" s="17">
        <f t="shared" si="28"/>
        <v>615.13766910799802</v>
      </c>
      <c r="Z77" s="17">
        <f t="shared" si="29"/>
        <v>205854.01899850692</v>
      </c>
      <c r="AA77" s="20">
        <f t="shared" si="30"/>
        <v>6.2605789860763469E-2</v>
      </c>
      <c r="AB77" s="17">
        <f t="shared" si="31"/>
        <v>205854.01899850692</v>
      </c>
      <c r="AC77" s="18">
        <f t="shared" si="32"/>
        <v>32419985.190619837</v>
      </c>
      <c r="AD77" s="19">
        <f t="shared" si="33"/>
        <v>2.9793199092602463E-3</v>
      </c>
    </row>
    <row r="78" spans="1:30" x14ac:dyDescent="0.25">
      <c r="A78" s="8">
        <v>226</v>
      </c>
      <c r="B78" s="9">
        <v>44460</v>
      </c>
      <c r="C78" s="10">
        <v>2.5</v>
      </c>
      <c r="D78" s="11">
        <v>206369.45004708861</v>
      </c>
      <c r="E78" s="11">
        <v>1245.7838412469971</v>
      </c>
      <c r="F78" s="11"/>
      <c r="G78" s="11">
        <v>78571.503146080999</v>
      </c>
      <c r="H78" s="12">
        <v>8.2145438796466658E-2</v>
      </c>
      <c r="I78" s="13">
        <v>980</v>
      </c>
      <c r="J78" s="13">
        <v>210463</v>
      </c>
      <c r="K78" s="12">
        <v>9.6294068728965024E-2</v>
      </c>
      <c r="L78" s="14">
        <v>135.529027777778</v>
      </c>
      <c r="M78" s="15"/>
      <c r="N78" s="16">
        <f t="shared" si="17"/>
        <v>127797.94690100761</v>
      </c>
      <c r="O78" s="17">
        <f t="shared" si="18"/>
        <v>207615.23388833561</v>
      </c>
      <c r="P78" s="18">
        <f t="shared" si="19"/>
        <v>28137890.800742112</v>
      </c>
      <c r="Q78" s="19">
        <f t="shared" si="20"/>
        <v>6.0004452366777339E-3</v>
      </c>
      <c r="R78" s="20">
        <f t="shared" si="21"/>
        <v>8.2145438796466658E-2</v>
      </c>
      <c r="S78" s="20">
        <f t="shared" si="22"/>
        <v>5.8129531673946897E-4</v>
      </c>
      <c r="T78" s="20">
        <f t="shared" si="23"/>
        <v>0</v>
      </c>
      <c r="U78" s="20">
        <f t="shared" si="24"/>
        <v>9.6875364045704487E-2</v>
      </c>
      <c r="V78" s="21">
        <f t="shared" si="25"/>
        <v>313109385.13506204</v>
      </c>
      <c r="W78" s="21" t="str">
        <f t="shared" si="26"/>
        <v/>
      </c>
      <c r="X78" s="19" t="str">
        <f t="shared" si="27"/>
        <v/>
      </c>
      <c r="Y78" s="17">
        <f t="shared" si="28"/>
        <v>622.89192062349855</v>
      </c>
      <c r="Z78" s="17">
        <f t="shared" si="29"/>
        <v>205746.55812646513</v>
      </c>
      <c r="AA78" s="20">
        <f t="shared" si="30"/>
        <v>6.2522275789880177E-2</v>
      </c>
      <c r="AB78" s="17">
        <f t="shared" si="31"/>
        <v>205746.55812646513</v>
      </c>
      <c r="AC78" s="18">
        <f t="shared" si="32"/>
        <v>27884630.991503909</v>
      </c>
      <c r="AD78" s="19">
        <f t="shared" si="33"/>
        <v>3.0183339660079019E-3</v>
      </c>
    </row>
    <row r="79" spans="1:30" x14ac:dyDescent="0.25">
      <c r="A79" s="8">
        <v>227</v>
      </c>
      <c r="B79" s="9">
        <v>44463</v>
      </c>
      <c r="C79" s="10">
        <v>2.625</v>
      </c>
      <c r="D79" s="11">
        <v>206269.71033807189</v>
      </c>
      <c r="E79" s="11">
        <v>1252.681588707997</v>
      </c>
      <c r="F79" s="11"/>
      <c r="G79" s="11">
        <v>78462.493650047007</v>
      </c>
      <c r="H79" s="12">
        <v>8.2254087321537273E-2</v>
      </c>
      <c r="I79" s="13">
        <v>980</v>
      </c>
      <c r="J79" s="13">
        <v>213719</v>
      </c>
      <c r="K79" s="12">
        <v>9.153474915227823E-2</v>
      </c>
      <c r="L79" s="14">
        <v>140.95440972222289</v>
      </c>
      <c r="M79" s="15"/>
      <c r="N79" s="16">
        <f t="shared" si="17"/>
        <v>127807.21668802488</v>
      </c>
      <c r="O79" s="17">
        <f t="shared" si="18"/>
        <v>207522.39192677988</v>
      </c>
      <c r="P79" s="18">
        <f t="shared" si="19"/>
        <v>29251196.258183051</v>
      </c>
      <c r="Q79" s="19">
        <f t="shared" si="20"/>
        <v>6.0363683026069814E-3</v>
      </c>
      <c r="R79" s="20">
        <f t="shared" si="21"/>
        <v>8.2254087321537273E-2</v>
      </c>
      <c r="S79" s="20">
        <f t="shared" si="22"/>
        <v>5.5589303345669153E-4</v>
      </c>
      <c r="T79" s="20">
        <f t="shared" si="23"/>
        <v>0</v>
      </c>
      <c r="U79" s="20">
        <f t="shared" si="24"/>
        <v>9.2090642185734928E-2</v>
      </c>
      <c r="V79" s="21">
        <f t="shared" si="25"/>
        <v>313552580.89713699</v>
      </c>
      <c r="W79" s="21" t="str">
        <f t="shared" si="26"/>
        <v/>
      </c>
      <c r="X79" s="19" t="str">
        <f t="shared" si="27"/>
        <v/>
      </c>
      <c r="Y79" s="17">
        <f t="shared" si="28"/>
        <v>626.34079435399849</v>
      </c>
      <c r="Z79" s="17">
        <f t="shared" si="29"/>
        <v>205643.36954371788</v>
      </c>
      <c r="AA79" s="20">
        <f t="shared" si="30"/>
        <v>6.2438873124029071E-2</v>
      </c>
      <c r="AB79" s="17">
        <f t="shared" si="31"/>
        <v>205643.36954371788</v>
      </c>
      <c r="AC79" s="18">
        <f t="shared" si="32"/>
        <v>28986339.767323703</v>
      </c>
      <c r="AD79" s="19">
        <f t="shared" si="33"/>
        <v>3.0365136661482609E-3</v>
      </c>
    </row>
    <row r="80" spans="1:30" x14ac:dyDescent="0.25">
      <c r="A80" s="8">
        <v>228</v>
      </c>
      <c r="B80" s="9">
        <v>44465</v>
      </c>
      <c r="C80" s="10">
        <v>2.708333333333333</v>
      </c>
      <c r="D80" s="11">
        <v>206169.9412472937</v>
      </c>
      <c r="E80" s="11">
        <v>1276.939565605998</v>
      </c>
      <c r="F80" s="11"/>
      <c r="G80" s="11">
        <v>78190.438401977997</v>
      </c>
      <c r="H80" s="12">
        <v>8.2077534013575898E-2</v>
      </c>
      <c r="I80" s="13">
        <v>982</v>
      </c>
      <c r="J80" s="13">
        <v>221661</v>
      </c>
      <c r="K80" s="12">
        <v>8.8612087918075996E-2</v>
      </c>
      <c r="L80" s="14">
        <v>134.29357638888879</v>
      </c>
      <c r="M80" s="15"/>
      <c r="N80" s="16">
        <f t="shared" si="17"/>
        <v>127979.5028453157</v>
      </c>
      <c r="O80" s="17">
        <f t="shared" si="18"/>
        <v>207446.8808128997</v>
      </c>
      <c r="P80" s="18">
        <f t="shared" si="19"/>
        <v>27858783.535083856</v>
      </c>
      <c r="Q80" s="19">
        <f t="shared" si="20"/>
        <v>6.1555014016223949E-3</v>
      </c>
      <c r="R80" s="20">
        <f t="shared" si="21"/>
        <v>8.2077534013575898E-2</v>
      </c>
      <c r="S80" s="20">
        <f t="shared" si="22"/>
        <v>5.4883015617599763E-4</v>
      </c>
      <c r="T80" s="20">
        <f t="shared" si="23"/>
        <v>0</v>
      </c>
      <c r="U80" s="20">
        <f t="shared" si="24"/>
        <v>8.9160918074251999E-2</v>
      </c>
      <c r="V80" s="21">
        <f t="shared" si="25"/>
        <v>313776552.54936391</v>
      </c>
      <c r="W80" s="21" t="str">
        <f t="shared" si="26"/>
        <v/>
      </c>
      <c r="X80" s="19" t="str">
        <f t="shared" si="27"/>
        <v/>
      </c>
      <c r="Y80" s="17">
        <f t="shared" si="28"/>
        <v>638.46978280299902</v>
      </c>
      <c r="Z80" s="17">
        <f t="shared" si="29"/>
        <v>205531.47146449069</v>
      </c>
      <c r="AA80" s="20">
        <f t="shared" si="30"/>
        <v>6.2383333165083425E-2</v>
      </c>
      <c r="AB80" s="17">
        <f t="shared" si="31"/>
        <v>205531.47146449069</v>
      </c>
      <c r="AC80" s="18">
        <f t="shared" si="32"/>
        <v>27601556.363437299</v>
      </c>
      <c r="AD80" s="19">
        <f t="shared" si="33"/>
        <v>3.0968131384253375E-3</v>
      </c>
    </row>
    <row r="81" spans="1:30" x14ac:dyDescent="0.25">
      <c r="A81" s="8">
        <v>229</v>
      </c>
      <c r="B81" s="9">
        <v>44468</v>
      </c>
      <c r="C81" s="10">
        <v>2.666666666666667</v>
      </c>
      <c r="D81" s="11">
        <v>206070.13582035579</v>
      </c>
      <c r="E81" s="11">
        <v>1267.691060039999</v>
      </c>
      <c r="F81" s="11"/>
      <c r="G81" s="11">
        <v>78186.357173780998</v>
      </c>
      <c r="H81" s="12">
        <v>8.2606773604131808E-2</v>
      </c>
      <c r="I81" s="13">
        <v>1001</v>
      </c>
      <c r="J81" s="13">
        <v>227340</v>
      </c>
      <c r="K81" s="12">
        <v>8.9748577144720745E-2</v>
      </c>
      <c r="L81" s="14">
        <v>136.63857638888879</v>
      </c>
      <c r="M81" s="15"/>
      <c r="N81" s="16">
        <f t="shared" si="17"/>
        <v>127883.77864657479</v>
      </c>
      <c r="O81" s="17">
        <f t="shared" si="18"/>
        <v>207337.82688039579</v>
      </c>
      <c r="P81" s="18">
        <f t="shared" si="19"/>
        <v>28330345.496503159</v>
      </c>
      <c r="Q81" s="19">
        <f t="shared" si="20"/>
        <v>6.1141330509423882E-3</v>
      </c>
      <c r="R81" s="20">
        <f t="shared" si="21"/>
        <v>8.2606773604131808E-2</v>
      </c>
      <c r="S81" s="20">
        <f t="shared" si="22"/>
        <v>5.5211041835220658E-4</v>
      </c>
      <c r="T81" s="20">
        <f t="shared" si="23"/>
        <v>0</v>
      </c>
      <c r="U81" s="20">
        <f t="shared" si="24"/>
        <v>9.0300687563072954E-2</v>
      </c>
      <c r="V81" s="21">
        <f t="shared" si="25"/>
        <v>314491547.53875262</v>
      </c>
      <c r="W81" s="21" t="str">
        <f t="shared" si="26"/>
        <v/>
      </c>
      <c r="X81" s="19" t="str">
        <f t="shared" si="27"/>
        <v/>
      </c>
      <c r="Y81" s="17">
        <f t="shared" si="28"/>
        <v>633.8455300199995</v>
      </c>
      <c r="Z81" s="17">
        <f t="shared" si="29"/>
        <v>205436.2902903358</v>
      </c>
      <c r="AA81" s="20">
        <f t="shared" si="30"/>
        <v>6.2300115844137985E-2</v>
      </c>
      <c r="AB81" s="17">
        <f t="shared" si="31"/>
        <v>205436.2902903358</v>
      </c>
      <c r="AC81" s="18">
        <f t="shared" si="32"/>
        <v>28070522.243885983</v>
      </c>
      <c r="AD81" s="19">
        <f t="shared" si="33"/>
        <v>3.0758728211474672E-3</v>
      </c>
    </row>
    <row r="82" spans="1:30" x14ac:dyDescent="0.25">
      <c r="A82" s="8">
        <v>230</v>
      </c>
      <c r="B82" s="9">
        <v>44471</v>
      </c>
      <c r="C82" s="10">
        <v>2.666666666666667</v>
      </c>
      <c r="D82" s="11">
        <v>205970.30792794959</v>
      </c>
      <c r="E82" s="11">
        <v>1285.9854972359981</v>
      </c>
      <c r="F82" s="11"/>
      <c r="G82" s="11">
        <v>77792.505195214006</v>
      </c>
      <c r="H82" s="12">
        <v>8.2564241806900598E-2</v>
      </c>
      <c r="I82" s="13">
        <v>1008</v>
      </c>
      <c r="J82" s="13">
        <v>233548</v>
      </c>
      <c r="K82" s="12">
        <v>8.9689961002155275E-2</v>
      </c>
      <c r="L82" s="14">
        <v>164.351180555555</v>
      </c>
      <c r="M82" s="15"/>
      <c r="N82" s="16">
        <f t="shared" si="17"/>
        <v>128177.80273273558</v>
      </c>
      <c r="O82" s="17">
        <f t="shared" si="18"/>
        <v>207256.29342518558</v>
      </c>
      <c r="P82" s="18">
        <f t="shared" si="19"/>
        <v>34062816.501997761</v>
      </c>
      <c r="Q82" s="19">
        <f t="shared" si="20"/>
        <v>6.2048079505011853E-3</v>
      </c>
      <c r="R82" s="20">
        <f t="shared" si="21"/>
        <v>8.2564241806900598E-2</v>
      </c>
      <c r="S82" s="20">
        <f t="shared" si="22"/>
        <v>5.5998357363616202E-4</v>
      </c>
      <c r="T82" s="20">
        <f t="shared" si="23"/>
        <v>0</v>
      </c>
      <c r="U82" s="20">
        <f t="shared" si="24"/>
        <v>9.0249944575791441E-2</v>
      </c>
      <c r="V82" s="21">
        <f t="shared" si="25"/>
        <v>314544630.1769315</v>
      </c>
      <c r="W82" s="21" t="str">
        <f t="shared" si="26"/>
        <v/>
      </c>
      <c r="X82" s="19" t="str">
        <f t="shared" si="27"/>
        <v/>
      </c>
      <c r="Y82" s="17">
        <f t="shared" si="28"/>
        <v>642.99274861799904</v>
      </c>
      <c r="Z82" s="17">
        <f t="shared" si="29"/>
        <v>205327.31517933158</v>
      </c>
      <c r="AA82" s="20">
        <f t="shared" si="30"/>
        <v>6.2217009532370068E-2</v>
      </c>
      <c r="AB82" s="17">
        <f t="shared" si="31"/>
        <v>205327.31517933158</v>
      </c>
      <c r="AC82" s="18">
        <f t="shared" si="32"/>
        <v>33745786.650025673</v>
      </c>
      <c r="AD82" s="19">
        <f t="shared" si="33"/>
        <v>3.1217739832817269E-3</v>
      </c>
    </row>
    <row r="83" spans="1:30" x14ac:dyDescent="0.25">
      <c r="A83" s="8">
        <v>231</v>
      </c>
      <c r="B83" s="9">
        <v>44473</v>
      </c>
      <c r="C83" s="10">
        <v>2.75</v>
      </c>
      <c r="D83" s="11">
        <v>205870.4464676257</v>
      </c>
      <c r="E83" s="11">
        <v>1279.271971507997</v>
      </c>
      <c r="F83" s="11"/>
      <c r="G83" s="11">
        <v>77405.681967063996</v>
      </c>
      <c r="H83" s="12">
        <v>8.2443341339562007E-2</v>
      </c>
      <c r="I83" s="13">
        <v>1018</v>
      </c>
      <c r="J83" s="13">
        <v>237396</v>
      </c>
      <c r="K83" s="12">
        <v>8.6702628620803787E-2</v>
      </c>
      <c r="L83" s="14">
        <v>168.36756944444431</v>
      </c>
      <c r="M83" s="15"/>
      <c r="N83" s="16">
        <f t="shared" si="17"/>
        <v>128464.76450056171</v>
      </c>
      <c r="O83" s="17">
        <f t="shared" si="18"/>
        <v>207149.71843913369</v>
      </c>
      <c r="P83" s="18">
        <f t="shared" si="19"/>
        <v>34877294.604697928</v>
      </c>
      <c r="Q83" s="19">
        <f t="shared" si="20"/>
        <v>6.1755911673318665E-3</v>
      </c>
      <c r="R83" s="20">
        <f t="shared" si="21"/>
        <v>8.2443341339562007E-2</v>
      </c>
      <c r="S83" s="20">
        <f t="shared" si="22"/>
        <v>5.3876719341599893E-4</v>
      </c>
      <c r="T83" s="20">
        <f t="shared" si="23"/>
        <v>0</v>
      </c>
      <c r="U83" s="20">
        <f t="shared" si="24"/>
        <v>8.7241395814219788E-2</v>
      </c>
      <c r="V83" s="21">
        <f t="shared" si="25"/>
        <v>315369197.27675366</v>
      </c>
      <c r="W83" s="21" t="str">
        <f t="shared" si="26"/>
        <v/>
      </c>
      <c r="X83" s="19" t="str">
        <f t="shared" si="27"/>
        <v/>
      </c>
      <c r="Y83" s="17">
        <f t="shared" si="28"/>
        <v>639.63598575399851</v>
      </c>
      <c r="Z83" s="17">
        <f t="shared" si="29"/>
        <v>205230.81048187171</v>
      </c>
      <c r="AA83" s="20">
        <f t="shared" si="30"/>
        <v>6.2161666923154738E-2</v>
      </c>
      <c r="AB83" s="17">
        <f t="shared" si="31"/>
        <v>205230.81048187171</v>
      </c>
      <c r="AC83" s="18">
        <f t="shared" si="32"/>
        <v>34554212.735946126</v>
      </c>
      <c r="AD83" s="19">
        <f t="shared" si="33"/>
        <v>3.1069830406890622E-3</v>
      </c>
    </row>
    <row r="84" spans="1:30" x14ac:dyDescent="0.25">
      <c r="A84" s="8">
        <v>232</v>
      </c>
      <c r="B84" s="9">
        <v>44476</v>
      </c>
      <c r="C84" s="10">
        <v>2.666666666666667</v>
      </c>
      <c r="D84" s="11">
        <v>205770.56180140571</v>
      </c>
      <c r="E84" s="11">
        <v>1327.399462392998</v>
      </c>
      <c r="F84" s="11"/>
      <c r="G84" s="11">
        <v>77431.378178690997</v>
      </c>
      <c r="H84" s="12">
        <v>8.2792715231910397E-2</v>
      </c>
      <c r="I84" s="13">
        <v>1024</v>
      </c>
      <c r="J84" s="13">
        <v>243885</v>
      </c>
      <c r="K84" s="12">
        <v>8.9083668112389214E-2</v>
      </c>
      <c r="L84" s="14">
        <v>155.76197916666729</v>
      </c>
      <c r="M84" s="15"/>
      <c r="N84" s="16">
        <f t="shared" si="17"/>
        <v>128339.18362271471</v>
      </c>
      <c r="O84" s="17">
        <f t="shared" si="18"/>
        <v>207097.9612637987</v>
      </c>
      <c r="P84" s="18">
        <f t="shared" si="19"/>
        <v>32257988.327831082</v>
      </c>
      <c r="Q84" s="19">
        <f t="shared" si="20"/>
        <v>6.4095245278739067E-3</v>
      </c>
      <c r="R84" s="20">
        <f t="shared" si="21"/>
        <v>8.2792715231910397E-2</v>
      </c>
      <c r="S84" s="20">
        <f t="shared" si="22"/>
        <v>5.7466729995375796E-4</v>
      </c>
      <c r="T84" s="20">
        <f t="shared" si="23"/>
        <v>0</v>
      </c>
      <c r="U84" s="20">
        <f t="shared" si="24"/>
        <v>8.9658335412342971E-2</v>
      </c>
      <c r="V84" s="21">
        <f t="shared" si="25"/>
        <v>316378268.13753086</v>
      </c>
      <c r="W84" s="21" t="str">
        <f t="shared" si="26"/>
        <v/>
      </c>
      <c r="X84" s="19" t="str">
        <f t="shared" si="27"/>
        <v/>
      </c>
      <c r="Y84" s="17">
        <f t="shared" si="28"/>
        <v>663.69973119649899</v>
      </c>
      <c r="Z84" s="17">
        <f t="shared" si="29"/>
        <v>205106.8620702092</v>
      </c>
      <c r="AA84" s="20">
        <f t="shared" si="30"/>
        <v>6.207874529770778E-2</v>
      </c>
      <c r="AB84" s="17">
        <f t="shared" si="31"/>
        <v>205106.8620702092</v>
      </c>
      <c r="AC84" s="18">
        <f t="shared" si="32"/>
        <v>31947850.776720427</v>
      </c>
      <c r="AD84" s="19">
        <f t="shared" si="33"/>
        <v>3.2254357736411885E-3</v>
      </c>
    </row>
    <row r="85" spans="1:30" x14ac:dyDescent="0.25">
      <c r="A85" s="8">
        <v>233</v>
      </c>
      <c r="B85" s="9">
        <v>44479</v>
      </c>
      <c r="C85" s="10">
        <v>2.416666666666667</v>
      </c>
      <c r="D85" s="11">
        <v>205670.63169422999</v>
      </c>
      <c r="E85" s="11">
        <v>1349.8633729929991</v>
      </c>
      <c r="F85" s="11"/>
      <c r="G85" s="11">
        <v>77269.873170439998</v>
      </c>
      <c r="H85" s="12">
        <v>8.2516147683988988E-2</v>
      </c>
      <c r="I85" s="13">
        <v>1030</v>
      </c>
      <c r="J85" s="13">
        <v>290776</v>
      </c>
      <c r="K85" s="12">
        <v>9.8615772951830785E-2</v>
      </c>
      <c r="L85" s="14">
        <v>154.1330902777778</v>
      </c>
      <c r="M85" s="15"/>
      <c r="N85" s="16">
        <f t="shared" si="17"/>
        <v>128400.75852378999</v>
      </c>
      <c r="O85" s="17">
        <f t="shared" si="18"/>
        <v>207020.49506722298</v>
      </c>
      <c r="P85" s="18">
        <f t="shared" si="19"/>
        <v>31908708.655546531</v>
      </c>
      <c r="Q85" s="19">
        <f t="shared" si="20"/>
        <v>6.5204335085503303E-3</v>
      </c>
      <c r="R85" s="20">
        <f t="shared" si="21"/>
        <v>8.2516147683988988E-2</v>
      </c>
      <c r="S85" s="20">
        <f t="shared" si="22"/>
        <v>6.4723786186924345E-4</v>
      </c>
      <c r="T85" s="20">
        <f t="shared" si="23"/>
        <v>0</v>
      </c>
      <c r="U85" s="20">
        <f t="shared" si="24"/>
        <v>9.9263010813700023E-2</v>
      </c>
      <c r="V85" s="21">
        <f t="shared" si="25"/>
        <v>315209553.38457292</v>
      </c>
      <c r="W85" s="21" t="str">
        <f t="shared" si="26"/>
        <v/>
      </c>
      <c r="X85" s="19" t="str">
        <f t="shared" si="27"/>
        <v/>
      </c>
      <c r="Y85" s="17">
        <f t="shared" si="28"/>
        <v>674.93168649649954</v>
      </c>
      <c r="Z85" s="17">
        <f t="shared" si="29"/>
        <v>204995.70000773348</v>
      </c>
      <c r="AA85" s="20">
        <f t="shared" si="30"/>
        <v>6.1995934286990247E-2</v>
      </c>
      <c r="AB85" s="17">
        <f t="shared" si="31"/>
        <v>204995.70000773348</v>
      </c>
      <c r="AC85" s="18">
        <f t="shared" si="32"/>
        <v>31596620.735848241</v>
      </c>
      <c r="AD85" s="19">
        <f t="shared" si="33"/>
        <v>3.2816143021329306E-3</v>
      </c>
    </row>
    <row r="86" spans="1:30" x14ac:dyDescent="0.25">
      <c r="A86" s="8">
        <v>234</v>
      </c>
      <c r="B86" s="9">
        <v>44481</v>
      </c>
      <c r="C86" s="10">
        <v>2.416666666666667</v>
      </c>
      <c r="D86" s="11">
        <v>205570.66690066431</v>
      </c>
      <c r="E86" s="11">
        <v>1409.4379228239959</v>
      </c>
      <c r="F86" s="11"/>
      <c r="G86" s="11">
        <v>77401.308361240997</v>
      </c>
      <c r="H86" s="12">
        <v>8.2448960345616829E-2</v>
      </c>
      <c r="I86" s="13">
        <v>1043</v>
      </c>
      <c r="J86" s="13">
        <v>305925</v>
      </c>
      <c r="K86" s="12">
        <v>9.7633363963107261E-2</v>
      </c>
      <c r="L86" s="14">
        <v>145.21881944444459</v>
      </c>
      <c r="M86" s="15"/>
      <c r="N86" s="16">
        <f t="shared" si="17"/>
        <v>128169.35853942331</v>
      </c>
      <c r="O86" s="17">
        <f t="shared" si="18"/>
        <v>206980.10482348831</v>
      </c>
      <c r="P86" s="18">
        <f t="shared" si="19"/>
        <v>30057406.470954362</v>
      </c>
      <c r="Q86" s="19">
        <f t="shared" si="20"/>
        <v>6.8095333318434551E-3</v>
      </c>
      <c r="R86" s="20">
        <f t="shared" si="21"/>
        <v>8.2448960345616829E-2</v>
      </c>
      <c r="S86" s="20">
        <f t="shared" si="22"/>
        <v>6.6939592003647087E-4</v>
      </c>
      <c r="T86" s="20">
        <f t="shared" si="23"/>
        <v>0</v>
      </c>
      <c r="U86" s="20">
        <f t="shared" si="24"/>
        <v>9.8302759883143728E-2</v>
      </c>
      <c r="V86" s="21">
        <f t="shared" si="25"/>
        <v>318226516.17827559</v>
      </c>
      <c r="W86" s="21" t="str">
        <f t="shared" si="26"/>
        <v/>
      </c>
      <c r="X86" s="19" t="str">
        <f t="shared" si="27"/>
        <v/>
      </c>
      <c r="Y86" s="17">
        <f t="shared" si="28"/>
        <v>704.71896141199795</v>
      </c>
      <c r="Z86" s="17">
        <f t="shared" si="29"/>
        <v>204865.94793925231</v>
      </c>
      <c r="AA86" s="20">
        <f t="shared" si="30"/>
        <v>6.1940788326263881E-2</v>
      </c>
      <c r="AB86" s="17">
        <f t="shared" si="31"/>
        <v>204865.94793925231</v>
      </c>
      <c r="AC86" s="18">
        <f t="shared" si="32"/>
        <v>29750391.104105268</v>
      </c>
      <c r="AD86" s="19">
        <f t="shared" si="33"/>
        <v>3.4281104986273732E-3</v>
      </c>
    </row>
    <row r="87" spans="1:30" x14ac:dyDescent="0.25">
      <c r="A87" s="8">
        <v>235</v>
      </c>
      <c r="B87" s="9">
        <v>44483</v>
      </c>
      <c r="C87" s="10">
        <v>2.291666666666667</v>
      </c>
      <c r="D87" s="11">
        <v>205470.65246237119</v>
      </c>
      <c r="E87" s="11">
        <v>1434.3958373879959</v>
      </c>
      <c r="F87" s="11"/>
      <c r="G87" s="11">
        <v>76345.000301941996</v>
      </c>
      <c r="H87" s="12">
        <v>8.264253981391162E-2</v>
      </c>
      <c r="I87" s="13">
        <v>1048</v>
      </c>
      <c r="J87" s="13">
        <v>322635</v>
      </c>
      <c r="K87" s="12">
        <v>0.1027419082431673</v>
      </c>
      <c r="L87" s="14">
        <v>150.94982638888951</v>
      </c>
      <c r="M87" s="15"/>
      <c r="N87" s="16">
        <f t="shared" si="17"/>
        <v>129125.65216042919</v>
      </c>
      <c r="O87" s="17">
        <f t="shared" si="18"/>
        <v>206905.04829975919</v>
      </c>
      <c r="P87" s="18">
        <f t="shared" si="19"/>
        <v>31232281.119833447</v>
      </c>
      <c r="Q87" s="19">
        <f t="shared" si="20"/>
        <v>6.9326285132969637E-3</v>
      </c>
      <c r="R87" s="20">
        <f t="shared" si="21"/>
        <v>8.264253981391162E-2</v>
      </c>
      <c r="S87" s="20">
        <f t="shared" si="22"/>
        <v>7.172438678866201E-4</v>
      </c>
      <c r="T87" s="20">
        <f t="shared" si="23"/>
        <v>0</v>
      </c>
      <c r="U87" s="20">
        <f t="shared" si="24"/>
        <v>0.10345915211105391</v>
      </c>
      <c r="V87" s="21">
        <f t="shared" si="25"/>
        <v>318743215.23160017</v>
      </c>
      <c r="W87" s="21" t="str">
        <f t="shared" si="26"/>
        <v/>
      </c>
      <c r="X87" s="19" t="str">
        <f t="shared" si="27"/>
        <v/>
      </c>
      <c r="Y87" s="17">
        <f t="shared" si="28"/>
        <v>717.19791869399796</v>
      </c>
      <c r="Z87" s="17">
        <f t="shared" si="29"/>
        <v>204753.45454367719</v>
      </c>
      <c r="AA87" s="20">
        <f t="shared" si="30"/>
        <v>6.1885691418382967E-2</v>
      </c>
      <c r="AB87" s="17">
        <f t="shared" si="31"/>
        <v>204753.45454367719</v>
      </c>
      <c r="AC87" s="18">
        <f t="shared" si="32"/>
        <v>30907498.41589345</v>
      </c>
      <c r="AD87" s="19">
        <f t="shared" si="33"/>
        <v>3.4905126844104505E-3</v>
      </c>
    </row>
    <row r="88" spans="1:30" x14ac:dyDescent="0.25">
      <c r="A88" s="8">
        <v>236</v>
      </c>
      <c r="B88" s="9">
        <v>44486</v>
      </c>
      <c r="C88" s="10">
        <v>2.333333333333333</v>
      </c>
      <c r="D88" s="11">
        <v>205370.60272380791</v>
      </c>
      <c r="E88" s="11">
        <v>1440.6315215919949</v>
      </c>
      <c r="F88" s="11"/>
      <c r="G88" s="11">
        <v>75986.249539937999</v>
      </c>
      <c r="H88" s="12">
        <v>8.2650439620588448E-2</v>
      </c>
      <c r="I88" s="13">
        <v>1061</v>
      </c>
      <c r="J88" s="13">
        <v>276504</v>
      </c>
      <c r="K88" s="12">
        <v>0.100430771574752</v>
      </c>
      <c r="L88" s="14">
        <v>161.48930555555469</v>
      </c>
      <c r="M88" s="15"/>
      <c r="N88" s="16">
        <f t="shared" si="17"/>
        <v>129384.35318386991</v>
      </c>
      <c r="O88" s="17">
        <f t="shared" si="18"/>
        <v>206811.23424539992</v>
      </c>
      <c r="P88" s="18">
        <f t="shared" si="19"/>
        <v>33397802.599376783</v>
      </c>
      <c r="Q88" s="19">
        <f t="shared" si="20"/>
        <v>6.9659248775748688E-3</v>
      </c>
      <c r="R88" s="20">
        <f t="shared" si="21"/>
        <v>8.2650439620588448E-2</v>
      </c>
      <c r="S88" s="20">
        <f t="shared" si="22"/>
        <v>7.04500709203111E-4</v>
      </c>
      <c r="T88" s="20">
        <f t="shared" si="23"/>
        <v>0</v>
      </c>
      <c r="U88" s="20">
        <f t="shared" si="24"/>
        <v>0.10113527228395511</v>
      </c>
      <c r="V88" s="21">
        <f t="shared" si="25"/>
        <v>320099442.49737108</v>
      </c>
      <c r="W88" s="21" t="str">
        <f t="shared" si="26"/>
        <v/>
      </c>
      <c r="X88" s="19" t="str">
        <f t="shared" si="27"/>
        <v/>
      </c>
      <c r="Y88" s="17">
        <f t="shared" si="28"/>
        <v>720.31576079599745</v>
      </c>
      <c r="Z88" s="17">
        <f t="shared" si="29"/>
        <v>204650.28696301192</v>
      </c>
      <c r="AA88" s="20">
        <f t="shared" si="30"/>
        <v>6.1803137935210389E-2</v>
      </c>
      <c r="AB88" s="17">
        <f t="shared" si="31"/>
        <v>204650.28696301192</v>
      </c>
      <c r="AC88" s="18">
        <f t="shared" si="32"/>
        <v>33048832.723401785</v>
      </c>
      <c r="AD88" s="19">
        <f t="shared" si="33"/>
        <v>3.5073946866909286E-3</v>
      </c>
    </row>
    <row r="89" spans="1:30" x14ac:dyDescent="0.25">
      <c r="A89" s="8">
        <v>237</v>
      </c>
      <c r="B89" s="9">
        <v>44488</v>
      </c>
      <c r="C89" s="10">
        <v>2.333333333333333</v>
      </c>
      <c r="D89" s="11">
        <v>205270.52527075779</v>
      </c>
      <c r="E89" s="11">
        <v>1433.8279251089959</v>
      </c>
      <c r="F89" s="11"/>
      <c r="G89" s="11">
        <v>75743.121825868002</v>
      </c>
      <c r="H89" s="12">
        <v>8.2666979714217617E-2</v>
      </c>
      <c r="I89" s="13">
        <v>1067</v>
      </c>
      <c r="J89" s="13">
        <v>277666</v>
      </c>
      <c r="K89" s="12">
        <v>0.1002019340305621</v>
      </c>
      <c r="L89" s="14">
        <v>156.6980208333334</v>
      </c>
      <c r="M89" s="15"/>
      <c r="N89" s="16">
        <f t="shared" si="17"/>
        <v>129527.40344488979</v>
      </c>
      <c r="O89" s="17">
        <f t="shared" si="18"/>
        <v>206704.35319586677</v>
      </c>
      <c r="P89" s="18">
        <f t="shared" si="19"/>
        <v>32390163.043426637</v>
      </c>
      <c r="Q89" s="19">
        <f t="shared" si="20"/>
        <v>6.9366121368055764E-3</v>
      </c>
      <c r="R89" s="20">
        <f t="shared" si="21"/>
        <v>8.2666979714217617E-2</v>
      </c>
      <c r="S89" s="20">
        <f t="shared" si="22"/>
        <v>6.9991700451607153E-4</v>
      </c>
      <c r="T89" s="20">
        <f t="shared" si="23"/>
        <v>0</v>
      </c>
      <c r="U89" s="20">
        <f t="shared" si="24"/>
        <v>0.10090185103507818</v>
      </c>
      <c r="V89" s="21">
        <f t="shared" si="25"/>
        <v>320674132.7493875</v>
      </c>
      <c r="W89" s="21" t="str">
        <f t="shared" si="26"/>
        <v/>
      </c>
      <c r="X89" s="19" t="str">
        <f t="shared" si="27"/>
        <v/>
      </c>
      <c r="Y89" s="17">
        <f t="shared" si="28"/>
        <v>716.91396255449797</v>
      </c>
      <c r="Z89" s="17">
        <f t="shared" si="29"/>
        <v>204553.61130820328</v>
      </c>
      <c r="AA89" s="20">
        <f t="shared" si="30"/>
        <v>6.1748163468633842E-2</v>
      </c>
      <c r="AB89" s="17">
        <f t="shared" si="31"/>
        <v>204553.61130820328</v>
      </c>
      <c r="AC89" s="18">
        <f t="shared" si="32"/>
        <v>32053146.04630642</v>
      </c>
      <c r="AD89" s="19">
        <f t="shared" si="33"/>
        <v>3.4925324111139073E-3</v>
      </c>
    </row>
    <row r="90" spans="1:30" x14ac:dyDescent="0.25">
      <c r="A90" s="8">
        <v>238</v>
      </c>
      <c r="B90" s="9">
        <v>44491</v>
      </c>
      <c r="C90" s="10">
        <v>2.416666666666667</v>
      </c>
      <c r="D90" s="11">
        <v>205170.4256200144</v>
      </c>
      <c r="E90" s="11">
        <v>1424.4401249829959</v>
      </c>
      <c r="F90" s="11"/>
      <c r="G90" s="11">
        <v>75413.957668183997</v>
      </c>
      <c r="H90" s="12">
        <v>8.1839852219848644E-2</v>
      </c>
      <c r="I90" s="13">
        <v>1076</v>
      </c>
      <c r="J90" s="13">
        <v>281059</v>
      </c>
      <c r="K90" s="12">
        <v>9.6346936783657397E-2</v>
      </c>
      <c r="L90" s="14">
        <v>202.48145833333351</v>
      </c>
      <c r="M90" s="15"/>
      <c r="N90" s="16">
        <f t="shared" si="17"/>
        <v>129756.4679518304</v>
      </c>
      <c r="O90" s="17">
        <f t="shared" si="18"/>
        <v>206594.8657449974</v>
      </c>
      <c r="P90" s="18">
        <f t="shared" si="19"/>
        <v>41831629.700226322</v>
      </c>
      <c r="Q90" s="19">
        <f t="shared" si="20"/>
        <v>6.8948476519314862E-3</v>
      </c>
      <c r="R90" s="20">
        <f t="shared" si="21"/>
        <v>8.1839852219848644E-2</v>
      </c>
      <c r="S90" s="20">
        <f t="shared" si="22"/>
        <v>6.6890947980981295E-4</v>
      </c>
      <c r="T90" s="20">
        <f t="shared" si="23"/>
        <v>0</v>
      </c>
      <c r="U90" s="20">
        <f t="shared" si="24"/>
        <v>9.7015846263467209E-2</v>
      </c>
      <c r="V90" s="21">
        <f t="shared" si="25"/>
        <v>321847633.90353096</v>
      </c>
      <c r="W90" s="21" t="str">
        <f t="shared" si="26"/>
        <v/>
      </c>
      <c r="X90" s="19" t="str">
        <f t="shared" si="27"/>
        <v/>
      </c>
      <c r="Y90" s="17">
        <f t="shared" si="28"/>
        <v>712.22006249149797</v>
      </c>
      <c r="Z90" s="17">
        <f t="shared" si="29"/>
        <v>204458.20555752292</v>
      </c>
      <c r="AA90" s="20">
        <f t="shared" si="30"/>
        <v>6.1665793443236798E-2</v>
      </c>
      <c r="AB90" s="17">
        <f t="shared" si="31"/>
        <v>204458.20555752292</v>
      </c>
      <c r="AC90" s="18">
        <f t="shared" si="32"/>
        <v>41398995.629503712</v>
      </c>
      <c r="AD90" s="19">
        <f t="shared" si="33"/>
        <v>3.4713583126769164E-3</v>
      </c>
    </row>
    <row r="91" spans="1:30" x14ac:dyDescent="0.25">
      <c r="A91" s="8">
        <v>239</v>
      </c>
      <c r="B91" s="9">
        <v>44493</v>
      </c>
      <c r="C91" s="10">
        <v>2.416666666666667</v>
      </c>
      <c r="D91" s="11">
        <v>205070.3049268355</v>
      </c>
      <c r="E91" s="11">
        <v>1451.246174301996</v>
      </c>
      <c r="F91" s="11"/>
      <c r="G91" s="11">
        <v>75225.365298856996</v>
      </c>
      <c r="H91" s="12">
        <v>8.2127633960480839E-2</v>
      </c>
      <c r="I91" s="13">
        <v>1099</v>
      </c>
      <c r="J91" s="13">
        <v>284924</v>
      </c>
      <c r="K91" s="12">
        <v>9.6418921283297016E-2</v>
      </c>
      <c r="L91" s="14">
        <v>194.38993055555599</v>
      </c>
      <c r="M91" s="15"/>
      <c r="N91" s="16">
        <f t="shared" si="17"/>
        <v>129844.9396279785</v>
      </c>
      <c r="O91" s="17">
        <f t="shared" si="18"/>
        <v>206521.55110113751</v>
      </c>
      <c r="P91" s="18">
        <f t="shared" si="19"/>
        <v>40145709.976775825</v>
      </c>
      <c r="Q91" s="19">
        <f t="shared" si="20"/>
        <v>7.0270931365961579E-3</v>
      </c>
      <c r="R91" s="20">
        <f t="shared" si="21"/>
        <v>8.2127633960480839E-2</v>
      </c>
      <c r="S91" s="20">
        <f t="shared" si="22"/>
        <v>6.823396039355047E-4</v>
      </c>
      <c r="T91" s="20">
        <f t="shared" si="23"/>
        <v>0</v>
      </c>
      <c r="U91" s="20">
        <f t="shared" si="24"/>
        <v>9.7101260887232518E-2</v>
      </c>
      <c r="V91" s="21">
        <f t="shared" si="25"/>
        <v>321450408.18478423</v>
      </c>
      <c r="W91" s="21" t="str">
        <f t="shared" si="26"/>
        <v/>
      </c>
      <c r="X91" s="19" t="str">
        <f t="shared" si="27"/>
        <v/>
      </c>
      <c r="Y91" s="17">
        <f t="shared" si="28"/>
        <v>725.623087150998</v>
      </c>
      <c r="Z91" s="17">
        <f t="shared" si="29"/>
        <v>204344.68183968449</v>
      </c>
      <c r="AA91" s="20">
        <f t="shared" si="30"/>
        <v>6.1610941145864524E-2</v>
      </c>
      <c r="AB91" s="17">
        <f t="shared" si="31"/>
        <v>204344.68183968449</v>
      </c>
      <c r="AC91" s="18">
        <f t="shared" si="32"/>
        <v>39722548.512213454</v>
      </c>
      <c r="AD91" s="19">
        <f t="shared" si="33"/>
        <v>3.5384113141582545E-3</v>
      </c>
    </row>
    <row r="92" spans="1:30" x14ac:dyDescent="0.25">
      <c r="A92" s="8">
        <v>240</v>
      </c>
      <c r="B92" s="9">
        <v>44495</v>
      </c>
      <c r="C92" s="10">
        <v>2.416666666666667</v>
      </c>
      <c r="D92" s="11">
        <v>204970.1487570669</v>
      </c>
      <c r="E92" s="11">
        <v>1460.3549303829959</v>
      </c>
      <c r="F92" s="11"/>
      <c r="G92" s="11">
        <v>75097.745742893007</v>
      </c>
      <c r="H92" s="12">
        <v>8.2159094940522939E-2</v>
      </c>
      <c r="I92" s="13">
        <v>1101</v>
      </c>
      <c r="J92" s="13">
        <v>287662</v>
      </c>
      <c r="K92" s="12">
        <v>9.6055238338964705E-2</v>
      </c>
      <c r="L92" s="14">
        <v>209.3146180555554</v>
      </c>
      <c r="M92" s="15"/>
      <c r="N92" s="16">
        <f t="shared" si="17"/>
        <v>129872.40301417389</v>
      </c>
      <c r="O92" s="17">
        <f t="shared" si="18"/>
        <v>206430.50368744991</v>
      </c>
      <c r="P92" s="18">
        <f t="shared" si="19"/>
        <v>43208922.0343545</v>
      </c>
      <c r="Q92" s="19">
        <f t="shared" si="20"/>
        <v>7.0743175271910132E-3</v>
      </c>
      <c r="R92" s="20">
        <f t="shared" si="21"/>
        <v>8.2159094940522939E-2</v>
      </c>
      <c r="S92" s="20">
        <f t="shared" si="22"/>
        <v>6.8436668338313106E-4</v>
      </c>
      <c r="T92" s="20">
        <f t="shared" si="23"/>
        <v>0</v>
      </c>
      <c r="U92" s="20">
        <f t="shared" si="24"/>
        <v>9.6739605022347838E-2</v>
      </c>
      <c r="V92" s="21">
        <f t="shared" si="25"/>
        <v>322509888.50450587</v>
      </c>
      <c r="W92" s="21" t="str">
        <f t="shared" si="26"/>
        <v/>
      </c>
      <c r="X92" s="19" t="str">
        <f t="shared" si="27"/>
        <v/>
      </c>
      <c r="Y92" s="17">
        <f t="shared" si="28"/>
        <v>730.17746519149796</v>
      </c>
      <c r="Z92" s="17">
        <f t="shared" si="29"/>
        <v>204239.97129187541</v>
      </c>
      <c r="AA92" s="20">
        <f t="shared" si="30"/>
        <v>6.1556137640121439E-2</v>
      </c>
      <c r="AB92" s="17">
        <f t="shared" si="31"/>
        <v>204239.97129187541</v>
      </c>
      <c r="AC92" s="18">
        <f t="shared" si="32"/>
        <v>42750411.582636498</v>
      </c>
      <c r="AD92" s="19">
        <f t="shared" si="33"/>
        <v>3.5623600295910073E-3</v>
      </c>
    </row>
    <row r="93" spans="1:30" x14ac:dyDescent="0.25">
      <c r="A93" s="8">
        <v>241</v>
      </c>
      <c r="B93" s="9">
        <v>44498</v>
      </c>
      <c r="C93" s="10">
        <v>2.5</v>
      </c>
      <c r="D93" s="11">
        <v>204869.96437237659</v>
      </c>
      <c r="E93" s="11">
        <v>1495.384034929996</v>
      </c>
      <c r="F93" s="11"/>
      <c r="G93" s="11">
        <v>75794.381595391998</v>
      </c>
      <c r="H93" s="12">
        <v>8.1872961933246613E-2</v>
      </c>
      <c r="I93" s="13">
        <v>1099</v>
      </c>
      <c r="J93" s="13">
        <v>306803</v>
      </c>
      <c r="K93" s="12">
        <v>9.299217398018865E-2</v>
      </c>
      <c r="L93" s="14">
        <v>200.11267361111129</v>
      </c>
      <c r="M93" s="15"/>
      <c r="N93" s="16">
        <f t="shared" si="17"/>
        <v>129075.58277698459</v>
      </c>
      <c r="O93" s="17">
        <f t="shared" si="18"/>
        <v>206365.34840730659</v>
      </c>
      <c r="P93" s="18">
        <f t="shared" si="19"/>
        <v>41296321.610474609</v>
      </c>
      <c r="Q93" s="19">
        <f t="shared" si="20"/>
        <v>7.2462942372405106E-3</v>
      </c>
      <c r="R93" s="20">
        <f t="shared" si="21"/>
        <v>8.1872961933246613E-2</v>
      </c>
      <c r="S93" s="20">
        <f t="shared" si="22"/>
        <v>6.7876720128017237E-4</v>
      </c>
      <c r="T93" s="20">
        <f t="shared" si="23"/>
        <v>0</v>
      </c>
      <c r="U93" s="20">
        <f t="shared" si="24"/>
        <v>9.367094118146882E-2</v>
      </c>
      <c r="V93" s="21">
        <f t="shared" si="25"/>
        <v>321871191.02281576</v>
      </c>
      <c r="W93" s="21" t="str">
        <f t="shared" si="26"/>
        <v/>
      </c>
      <c r="X93" s="19" t="str">
        <f t="shared" si="27"/>
        <v/>
      </c>
      <c r="Y93" s="17">
        <f t="shared" si="28"/>
        <v>747.692017464998</v>
      </c>
      <c r="Z93" s="17">
        <f t="shared" si="29"/>
        <v>204122.27235491161</v>
      </c>
      <c r="AA93" s="20">
        <f t="shared" si="30"/>
        <v>6.1474023770883263E-2</v>
      </c>
      <c r="AB93" s="17">
        <f t="shared" si="31"/>
        <v>204122.27235491161</v>
      </c>
      <c r="AC93" s="18">
        <f t="shared" si="32"/>
        <v>40847453.664516792</v>
      </c>
      <c r="AD93" s="19">
        <f t="shared" si="33"/>
        <v>3.6495931443907264E-3</v>
      </c>
    </row>
    <row r="94" spans="1:30" x14ac:dyDescent="0.25">
      <c r="A94" s="8">
        <v>242</v>
      </c>
      <c r="B94" s="9">
        <v>44500</v>
      </c>
      <c r="C94" s="10">
        <v>2.458333333333333</v>
      </c>
      <c r="D94" s="11">
        <v>204769.74153884751</v>
      </c>
      <c r="E94" s="11">
        <v>1491.219428816001</v>
      </c>
      <c r="F94" s="11"/>
      <c r="G94" s="11">
        <v>75841.993545637</v>
      </c>
      <c r="H94" s="12">
        <v>8.183763415817287E-2</v>
      </c>
      <c r="I94" s="13">
        <v>1114</v>
      </c>
      <c r="J94" s="13">
        <v>311641</v>
      </c>
      <c r="K94" s="12">
        <v>9.4138420569307379E-2</v>
      </c>
      <c r="L94" s="14">
        <v>193.75503472222189</v>
      </c>
      <c r="M94" s="15"/>
      <c r="N94" s="16">
        <f t="shared" si="17"/>
        <v>128927.74799321051</v>
      </c>
      <c r="O94" s="17">
        <f t="shared" si="18"/>
        <v>206260.9609676635</v>
      </c>
      <c r="P94" s="18">
        <f t="shared" si="19"/>
        <v>39964099.654128499</v>
      </c>
      <c r="Q94" s="19">
        <f t="shared" si="20"/>
        <v>7.2297705868333778E-3</v>
      </c>
      <c r="R94" s="20">
        <f t="shared" si="21"/>
        <v>8.183763415817287E-2</v>
      </c>
      <c r="S94" s="20">
        <f t="shared" si="22"/>
        <v>6.8555559379055483E-4</v>
      </c>
      <c r="T94" s="20">
        <f t="shared" si="23"/>
        <v>0</v>
      </c>
      <c r="U94" s="20">
        <f t="shared" si="24"/>
        <v>9.4823976163097928E-2</v>
      </c>
      <c r="V94" s="21">
        <f t="shared" si="25"/>
        <v>323182866.94914562</v>
      </c>
      <c r="W94" s="21" t="str">
        <f t="shared" si="26"/>
        <v/>
      </c>
      <c r="X94" s="19" t="str">
        <f t="shared" si="27"/>
        <v/>
      </c>
      <c r="Y94" s="17">
        <f t="shared" si="28"/>
        <v>745.60971440800051</v>
      </c>
      <c r="Z94" s="17">
        <f t="shared" si="29"/>
        <v>204024.13182443951</v>
      </c>
      <c r="AA94" s="20">
        <f t="shared" si="30"/>
        <v>6.1419342054419922E-2</v>
      </c>
      <c r="AB94" s="17">
        <f t="shared" si="31"/>
        <v>204024.13182443951</v>
      </c>
      <c r="AC94" s="18">
        <f t="shared" si="32"/>
        <v>39530702.745815456</v>
      </c>
      <c r="AD94" s="19">
        <f t="shared" si="33"/>
        <v>3.6412104093345673E-3</v>
      </c>
    </row>
    <row r="95" spans="1:30" x14ac:dyDescent="0.25">
      <c r="A95" s="8">
        <v>243</v>
      </c>
      <c r="B95" s="9">
        <v>44503</v>
      </c>
      <c r="C95" s="10">
        <v>2.5</v>
      </c>
      <c r="D95" s="11">
        <v>204669.49669901899</v>
      </c>
      <c r="E95" s="11">
        <v>1523.3015469940019</v>
      </c>
      <c r="F95" s="11"/>
      <c r="G95" s="11">
        <v>75868.200070990002</v>
      </c>
      <c r="H95" s="12">
        <v>8.1759831100558025E-2</v>
      </c>
      <c r="I95" s="13">
        <v>1119</v>
      </c>
      <c r="J95" s="13">
        <v>298103</v>
      </c>
      <c r="K95" s="12">
        <v>9.2150362883855391E-2</v>
      </c>
      <c r="L95" s="14">
        <v>230.3703819444454</v>
      </c>
      <c r="M95" s="15"/>
      <c r="N95" s="16">
        <f t="shared" si="17"/>
        <v>128801.29662802898</v>
      </c>
      <c r="O95" s="17">
        <f t="shared" si="18"/>
        <v>206192.798246013</v>
      </c>
      <c r="P95" s="18">
        <f t="shared" si="19"/>
        <v>47500713.686127983</v>
      </c>
      <c r="Q95" s="19">
        <f t="shared" si="20"/>
        <v>7.3877534033779321E-3</v>
      </c>
      <c r="R95" s="20">
        <f t="shared" si="21"/>
        <v>8.1759831100558025E-2</v>
      </c>
      <c r="S95" s="20">
        <f t="shared" si="22"/>
        <v>6.8585105548709942E-4</v>
      </c>
      <c r="T95" s="20">
        <f t="shared" si="23"/>
        <v>0</v>
      </c>
      <c r="U95" s="20">
        <f t="shared" si="24"/>
        <v>9.2836213939342493E-2</v>
      </c>
      <c r="V95" s="21">
        <f t="shared" si="25"/>
        <v>324493713.66464251</v>
      </c>
      <c r="W95" s="21" t="str">
        <f t="shared" si="26"/>
        <v/>
      </c>
      <c r="X95" s="19" t="str">
        <f t="shared" si="27"/>
        <v/>
      </c>
      <c r="Y95" s="17">
        <f t="shared" si="28"/>
        <v>761.65077349700096</v>
      </c>
      <c r="Z95" s="17">
        <f t="shared" si="29"/>
        <v>203907.84592552198</v>
      </c>
      <c r="AA95" s="20">
        <f t="shared" si="30"/>
        <v>6.1337410666007668E-2</v>
      </c>
      <c r="AB95" s="17">
        <f t="shared" si="31"/>
        <v>203907.84592552198</v>
      </c>
      <c r="AC95" s="18">
        <f t="shared" si="32"/>
        <v>46974328.347331621</v>
      </c>
      <c r="AD95" s="19">
        <f t="shared" si="33"/>
        <v>3.7213692601055369E-3</v>
      </c>
    </row>
    <row r="96" spans="1:30" x14ac:dyDescent="0.25">
      <c r="A96" s="8">
        <v>244</v>
      </c>
      <c r="B96" s="9">
        <v>44505</v>
      </c>
      <c r="C96" s="10">
        <v>2.5</v>
      </c>
      <c r="D96" s="11">
        <v>204569.21435045489</v>
      </c>
      <c r="E96" s="11">
        <v>1500.089493221001</v>
      </c>
      <c r="F96" s="11"/>
      <c r="G96" s="11">
        <v>75479.386081482997</v>
      </c>
      <c r="H96" s="12">
        <v>8.1574183806877087E-2</v>
      </c>
      <c r="I96" s="13">
        <v>1125</v>
      </c>
      <c r="J96" s="13">
        <v>336164</v>
      </c>
      <c r="K96" s="12">
        <v>9.2117487181363117E-2</v>
      </c>
      <c r="L96" s="14">
        <v>239.15034722222109</v>
      </c>
      <c r="M96" s="15"/>
      <c r="N96" s="16">
        <f t="shared" si="17"/>
        <v>129089.82826897189</v>
      </c>
      <c r="O96" s="17">
        <f t="shared" si="18"/>
        <v>206069.30384367588</v>
      </c>
      <c r="P96" s="18">
        <f t="shared" si="19"/>
        <v>49281545.566056468</v>
      </c>
      <c r="Q96" s="19">
        <f t="shared" si="20"/>
        <v>7.2795388019506703E-3</v>
      </c>
      <c r="R96" s="20">
        <f t="shared" si="21"/>
        <v>8.1574183806877087E-2</v>
      </c>
      <c r="S96" s="20">
        <f t="shared" si="22"/>
        <v>6.7549007851178545E-4</v>
      </c>
      <c r="T96" s="20">
        <f t="shared" si="23"/>
        <v>0</v>
      </c>
      <c r="U96" s="20">
        <f t="shared" si="24"/>
        <v>9.2792977259874898E-2</v>
      </c>
      <c r="V96" s="21">
        <f t="shared" si="25"/>
        <v>324450472.22964418</v>
      </c>
      <c r="W96" s="21" t="str">
        <f t="shared" si="26"/>
        <v/>
      </c>
      <c r="X96" s="19" t="str">
        <f t="shared" si="27"/>
        <v/>
      </c>
      <c r="Y96" s="17">
        <f t="shared" si="28"/>
        <v>750.04474661050051</v>
      </c>
      <c r="Z96" s="17">
        <f t="shared" si="29"/>
        <v>203819.16960384438</v>
      </c>
      <c r="AA96" s="20">
        <f t="shared" si="30"/>
        <v>6.1282850468172965E-2</v>
      </c>
      <c r="AB96" s="17">
        <f t="shared" si="31"/>
        <v>203819.16960384438</v>
      </c>
      <c r="AC96" s="18">
        <f t="shared" si="32"/>
        <v>48743425.181304149</v>
      </c>
      <c r="AD96" s="19">
        <f t="shared" si="33"/>
        <v>3.6664595354292747E-3</v>
      </c>
    </row>
    <row r="97" spans="1:30" x14ac:dyDescent="0.25">
      <c r="A97" s="8">
        <v>245</v>
      </c>
      <c r="B97" s="9">
        <v>44508</v>
      </c>
      <c r="C97" s="10">
        <v>2.458333333333333</v>
      </c>
      <c r="D97" s="11">
        <v>204468.9174885159</v>
      </c>
      <c r="E97" s="11">
        <v>1509.8929338519999</v>
      </c>
      <c r="F97" s="11"/>
      <c r="G97" s="11">
        <v>75604.209259266005</v>
      </c>
      <c r="H97" s="12">
        <v>8.1404703195307668E-2</v>
      </c>
      <c r="I97" s="13">
        <v>1134</v>
      </c>
      <c r="J97" s="13">
        <v>359823</v>
      </c>
      <c r="K97" s="12">
        <v>9.3246618798249317E-2</v>
      </c>
      <c r="L97" s="14">
        <v>246.23124999999979</v>
      </c>
      <c r="M97" s="15"/>
      <c r="N97" s="16">
        <f t="shared" si="17"/>
        <v>128864.7082292499</v>
      </c>
      <c r="O97" s="17">
        <f t="shared" si="18"/>
        <v>205978.81042236791</v>
      </c>
      <c r="P97" s="18">
        <f t="shared" si="19"/>
        <v>50718419.963812634</v>
      </c>
      <c r="Q97" s="19">
        <f t="shared" si="20"/>
        <v>7.33033136154104E-3</v>
      </c>
      <c r="R97" s="20">
        <f t="shared" si="21"/>
        <v>8.1404703195307668E-2</v>
      </c>
      <c r="S97" s="20">
        <f t="shared" si="22"/>
        <v>6.8857610515287923E-4</v>
      </c>
      <c r="T97" s="20">
        <f t="shared" si="23"/>
        <v>0</v>
      </c>
      <c r="U97" s="20">
        <f t="shared" si="24"/>
        <v>9.39351949034022E-2</v>
      </c>
      <c r="V97" s="21">
        <f t="shared" si="25"/>
        <v>325794433.35850018</v>
      </c>
      <c r="W97" s="21" t="str">
        <f t="shared" si="26"/>
        <v/>
      </c>
      <c r="X97" s="19" t="str">
        <f t="shared" si="27"/>
        <v/>
      </c>
      <c r="Y97" s="17">
        <f t="shared" si="28"/>
        <v>754.94646692599997</v>
      </c>
      <c r="Z97" s="17">
        <f t="shared" si="29"/>
        <v>203713.97102158991</v>
      </c>
      <c r="AA97" s="20">
        <f t="shared" si="30"/>
        <v>6.1201101155061312E-2</v>
      </c>
      <c r="AB97" s="17">
        <f t="shared" si="31"/>
        <v>203713.97102158991</v>
      </c>
      <c r="AC97" s="18">
        <f t="shared" si="32"/>
        <v>50160745.72710982</v>
      </c>
      <c r="AD97" s="19">
        <f t="shared" si="33"/>
        <v>3.6922309571497678E-3</v>
      </c>
    </row>
    <row r="98" spans="1:30" x14ac:dyDescent="0.25">
      <c r="A98" s="8">
        <v>246</v>
      </c>
      <c r="B98" s="9">
        <v>44511</v>
      </c>
      <c r="C98" s="10">
        <v>2.583333333333333</v>
      </c>
      <c r="D98" s="11">
        <v>204368.5929736165</v>
      </c>
      <c r="E98" s="11">
        <v>1569.3888229759989</v>
      </c>
      <c r="F98" s="11"/>
      <c r="G98" s="11">
        <v>75423.077454963</v>
      </c>
      <c r="H98" s="12">
        <v>8.1584152727324208E-2</v>
      </c>
      <c r="I98" s="13">
        <v>1140</v>
      </c>
      <c r="J98" s="13">
        <v>368779</v>
      </c>
      <c r="K98" s="12">
        <v>8.8690985878431536E-2</v>
      </c>
      <c r="L98" s="14">
        <v>239.2451388888901</v>
      </c>
      <c r="M98" s="15"/>
      <c r="N98" s="16">
        <f t="shared" si="17"/>
        <v>128945.5155186535</v>
      </c>
      <c r="O98" s="17">
        <f t="shared" si="18"/>
        <v>205937.9817965925</v>
      </c>
      <c r="P98" s="18">
        <f t="shared" si="19"/>
        <v>49269661.057423495</v>
      </c>
      <c r="Q98" s="19">
        <f t="shared" si="20"/>
        <v>7.6206866226653791E-3</v>
      </c>
      <c r="R98" s="20">
        <f t="shared" si="21"/>
        <v>8.1584152727324208E-2</v>
      </c>
      <c r="S98" s="20">
        <f t="shared" si="22"/>
        <v>6.8107648005533703E-4</v>
      </c>
      <c r="T98" s="20">
        <f t="shared" si="23"/>
        <v>0</v>
      </c>
      <c r="U98" s="20">
        <f t="shared" si="24"/>
        <v>8.9372062358486867E-2</v>
      </c>
      <c r="V98" s="21">
        <f t="shared" si="25"/>
        <v>325795025.79859573</v>
      </c>
      <c r="W98" s="21" t="str">
        <f t="shared" si="26"/>
        <v/>
      </c>
      <c r="X98" s="19" t="str">
        <f t="shared" si="27"/>
        <v/>
      </c>
      <c r="Y98" s="17">
        <f t="shared" si="28"/>
        <v>784.69441148799945</v>
      </c>
      <c r="Z98" s="17">
        <f t="shared" si="29"/>
        <v>203583.89856212851</v>
      </c>
      <c r="AA98" s="20">
        <f t="shared" si="30"/>
        <v>6.1119460892852855E-2</v>
      </c>
      <c r="AB98" s="17">
        <f t="shared" si="31"/>
        <v>203583.89856212851</v>
      </c>
      <c r="AC98" s="18">
        <f t="shared" si="32"/>
        <v>48706458.087038152</v>
      </c>
      <c r="AD98" s="19">
        <f t="shared" si="33"/>
        <v>3.8396037280997559E-3</v>
      </c>
    </row>
    <row r="99" spans="1:30" x14ac:dyDescent="0.25">
      <c r="A99" s="8">
        <v>247</v>
      </c>
      <c r="B99" s="9">
        <v>44513</v>
      </c>
      <c r="C99" s="10">
        <v>2.625</v>
      </c>
      <c r="D99" s="11">
        <v>204268.22107633311</v>
      </c>
      <c r="E99" s="11">
        <v>1619.313950055001</v>
      </c>
      <c r="F99" s="11"/>
      <c r="G99" s="11">
        <v>75426.946442244996</v>
      </c>
      <c r="H99" s="12">
        <v>8.1577888265287155E-2</v>
      </c>
      <c r="I99" s="13">
        <v>1166</v>
      </c>
      <c r="J99" s="13">
        <v>308408</v>
      </c>
      <c r="K99" s="12">
        <v>8.7202818678193988E-2</v>
      </c>
      <c r="L99" s="14">
        <v>231.72656250000091</v>
      </c>
      <c r="M99" s="15"/>
      <c r="N99" s="16">
        <f t="shared" si="17"/>
        <v>128841.27463408811</v>
      </c>
      <c r="O99" s="17">
        <f t="shared" si="18"/>
        <v>205887.5350263881</v>
      </c>
      <c r="P99" s="18">
        <f t="shared" si="19"/>
        <v>47709610.753263451</v>
      </c>
      <c r="Q99" s="19">
        <f t="shared" si="20"/>
        <v>7.8650412218858098E-3</v>
      </c>
      <c r="R99" s="20">
        <f t="shared" si="21"/>
        <v>8.1577888265287155E-2</v>
      </c>
      <c r="S99" s="20">
        <f t="shared" si="22"/>
        <v>6.9129079416101603E-4</v>
      </c>
      <c r="T99" s="20">
        <f t="shared" si="23"/>
        <v>0</v>
      </c>
      <c r="U99" s="20">
        <f t="shared" si="24"/>
        <v>8.7894109472355E-2</v>
      </c>
      <c r="V99" s="21">
        <f t="shared" si="25"/>
        <v>325935151.35029829</v>
      </c>
      <c r="W99" s="21" t="str">
        <f t="shared" si="26"/>
        <v/>
      </c>
      <c r="X99" s="19" t="str">
        <f t="shared" si="27"/>
        <v/>
      </c>
      <c r="Y99" s="17">
        <f t="shared" si="28"/>
        <v>809.65697502750049</v>
      </c>
      <c r="Z99" s="17">
        <f t="shared" si="29"/>
        <v>203458.56410130562</v>
      </c>
      <c r="AA99" s="20">
        <f t="shared" si="30"/>
        <v>6.1065094563370483E-2</v>
      </c>
      <c r="AB99" s="17">
        <f t="shared" si="31"/>
        <v>203458.56410130562</v>
      </c>
      <c r="AC99" s="18">
        <f t="shared" si="32"/>
        <v>47146753.670381635</v>
      </c>
      <c r="AD99" s="19">
        <f t="shared" si="33"/>
        <v>3.9636952373758583E-3</v>
      </c>
    </row>
    <row r="100" spans="1:30" x14ac:dyDescent="0.25">
      <c r="A100" s="8">
        <v>248</v>
      </c>
      <c r="B100" s="9">
        <v>44516</v>
      </c>
      <c r="C100" s="10">
        <v>2.583333333333333</v>
      </c>
      <c r="D100" s="11">
        <v>204167.8056626886</v>
      </c>
      <c r="E100" s="11">
        <v>1601.3133648549999</v>
      </c>
      <c r="F100" s="11"/>
      <c r="G100" s="11">
        <v>75450.934698839003</v>
      </c>
      <c r="H100" s="12">
        <v>8.1528021202670026E-2</v>
      </c>
      <c r="I100" s="13">
        <v>1169</v>
      </c>
      <c r="J100" s="13">
        <v>315238</v>
      </c>
      <c r="K100" s="12">
        <v>8.8479333885371894E-2</v>
      </c>
      <c r="L100" s="14">
        <v>226.00513888888909</v>
      </c>
      <c r="M100" s="15"/>
      <c r="N100" s="16">
        <f t="shared" si="17"/>
        <v>128716.87096384959</v>
      </c>
      <c r="O100" s="17">
        <f t="shared" si="18"/>
        <v>205769.11902754361</v>
      </c>
      <c r="P100" s="18">
        <f t="shared" si="19"/>
        <v>46504878.324864343</v>
      </c>
      <c r="Q100" s="19">
        <f t="shared" si="20"/>
        <v>7.7820878682998739E-3</v>
      </c>
      <c r="R100" s="20">
        <f t="shared" si="21"/>
        <v>8.1528021202670026E-2</v>
      </c>
      <c r="S100" s="20">
        <f t="shared" si="22"/>
        <v>6.9395436466703571E-4</v>
      </c>
      <c r="T100" s="20">
        <f t="shared" si="23"/>
        <v>0</v>
      </c>
      <c r="U100" s="20">
        <f t="shared" si="24"/>
        <v>8.9173288250038923E-2</v>
      </c>
      <c r="V100" s="21">
        <f t="shared" si="25"/>
        <v>326253510.61981457</v>
      </c>
      <c r="W100" s="21" t="str">
        <f t="shared" si="26"/>
        <v/>
      </c>
      <c r="X100" s="19" t="str">
        <f t="shared" si="27"/>
        <v/>
      </c>
      <c r="Y100" s="17">
        <f t="shared" si="28"/>
        <v>800.65668242749996</v>
      </c>
      <c r="Z100" s="17">
        <f t="shared" si="29"/>
        <v>203367.14898026109</v>
      </c>
      <c r="AA100" s="20">
        <f t="shared" si="30"/>
        <v>6.0983635729495805E-2</v>
      </c>
      <c r="AB100" s="17">
        <f t="shared" si="31"/>
        <v>203367.14898026109</v>
      </c>
      <c r="AC100" s="18">
        <f t="shared" si="32"/>
        <v>45962020.750721306</v>
      </c>
      <c r="AD100" s="19">
        <f t="shared" si="33"/>
        <v>3.9215618732283755E-3</v>
      </c>
    </row>
    <row r="101" spans="1:30" x14ac:dyDescent="0.25">
      <c r="A101" s="8">
        <v>249</v>
      </c>
      <c r="B101" s="9">
        <v>44519</v>
      </c>
      <c r="C101" s="10">
        <v>2.666666666666667</v>
      </c>
      <c r="D101" s="11">
        <v>204067.37421886419</v>
      </c>
      <c r="E101" s="11">
        <v>1636.996481317</v>
      </c>
      <c r="F101" s="11"/>
      <c r="G101" s="11">
        <v>76031.865369046005</v>
      </c>
      <c r="H101" s="12">
        <v>8.1524097173322763E-2</v>
      </c>
      <c r="I101" s="13">
        <v>1173</v>
      </c>
      <c r="J101" s="13">
        <v>333082</v>
      </c>
      <c r="K101" s="12">
        <v>8.5344929995965685E-2</v>
      </c>
      <c r="L101" s="14">
        <v>206.033263888889</v>
      </c>
      <c r="M101" s="15"/>
      <c r="N101" s="16">
        <f t="shared" si="17"/>
        <v>128035.50884981819</v>
      </c>
      <c r="O101" s="17">
        <f t="shared" si="18"/>
        <v>205704.3707001812</v>
      </c>
      <c r="P101" s="18">
        <f t="shared" si="19"/>
        <v>42381942.891568281</v>
      </c>
      <c r="Q101" s="19">
        <f t="shared" si="20"/>
        <v>7.9580053440038937E-3</v>
      </c>
      <c r="R101" s="20">
        <f t="shared" si="21"/>
        <v>8.1524097173322763E-2</v>
      </c>
      <c r="S101" s="20">
        <f t="shared" si="22"/>
        <v>6.8462364763806837E-4</v>
      </c>
      <c r="T101" s="20">
        <f t="shared" si="23"/>
        <v>0</v>
      </c>
      <c r="U101" s="20">
        <f t="shared" si="24"/>
        <v>8.6029553643603748E-2</v>
      </c>
      <c r="V101" s="21">
        <f t="shared" si="25"/>
        <v>327504553.15695149</v>
      </c>
      <c r="W101" s="21" t="str">
        <f t="shared" si="26"/>
        <v/>
      </c>
      <c r="X101" s="19" t="str">
        <f t="shared" si="27"/>
        <v/>
      </c>
      <c r="Y101" s="17">
        <f t="shared" si="28"/>
        <v>818.49824065849998</v>
      </c>
      <c r="Z101" s="17">
        <f t="shared" si="29"/>
        <v>203248.8759782057</v>
      </c>
      <c r="AA101" s="20">
        <f t="shared" si="30"/>
        <v>6.0902285559034548E-2</v>
      </c>
      <c r="AB101" s="17">
        <f t="shared" si="31"/>
        <v>203248.8759782057</v>
      </c>
      <c r="AC101" s="18">
        <f t="shared" si="32"/>
        <v>41876029.299537726</v>
      </c>
      <c r="AD101" s="19">
        <f t="shared" si="33"/>
        <v>4.0109216075895253E-3</v>
      </c>
    </row>
    <row r="102" spans="1:30" x14ac:dyDescent="0.25">
      <c r="A102" s="8">
        <v>250</v>
      </c>
      <c r="B102" s="9">
        <v>44521</v>
      </c>
      <c r="C102" s="10">
        <v>2.541666666666667</v>
      </c>
      <c r="D102" s="11">
        <v>203966.9054208392</v>
      </c>
      <c r="E102" s="11">
        <v>1600.600082779998</v>
      </c>
      <c r="F102" s="11"/>
      <c r="G102" s="11">
        <v>75465.870813367001</v>
      </c>
      <c r="H102" s="12">
        <v>8.1479950128469911E-2</v>
      </c>
      <c r="I102" s="13">
        <v>1194</v>
      </c>
      <c r="J102" s="13">
        <v>334938</v>
      </c>
      <c r="K102" s="12">
        <v>8.949303976248113E-2</v>
      </c>
      <c r="L102" s="14">
        <v>218.09520833333369</v>
      </c>
      <c r="M102" s="15"/>
      <c r="N102" s="16">
        <f t="shared" si="17"/>
        <v>128501.0346074722</v>
      </c>
      <c r="O102" s="17">
        <f t="shared" si="18"/>
        <v>205567.50550361921</v>
      </c>
      <c r="P102" s="18">
        <f t="shared" si="19"/>
        <v>44833287.93937555</v>
      </c>
      <c r="Q102" s="19">
        <f t="shared" si="20"/>
        <v>7.7862504526612451E-3</v>
      </c>
      <c r="R102" s="20">
        <f t="shared" si="21"/>
        <v>8.1479950128469911E-2</v>
      </c>
      <c r="S102" s="20">
        <f t="shared" si="22"/>
        <v>7.0228337561190415E-4</v>
      </c>
      <c r="T102" s="20">
        <f t="shared" si="23"/>
        <v>0</v>
      </c>
      <c r="U102" s="20">
        <f t="shared" si="24"/>
        <v>9.0195323138093031E-2</v>
      </c>
      <c r="V102" s="21">
        <f t="shared" si="25"/>
        <v>327523207.42144674</v>
      </c>
      <c r="W102" s="21" t="str">
        <f t="shared" si="26"/>
        <v/>
      </c>
      <c r="X102" s="19" t="str">
        <f t="shared" si="27"/>
        <v/>
      </c>
      <c r="Y102" s="17">
        <f t="shared" si="28"/>
        <v>800.30004138999902</v>
      </c>
      <c r="Z102" s="17">
        <f t="shared" si="29"/>
        <v>203166.6053794492</v>
      </c>
      <c r="AA102" s="20">
        <f t="shared" si="30"/>
        <v>6.0848112409033484E-2</v>
      </c>
      <c r="AB102" s="17">
        <f t="shared" si="31"/>
        <v>203166.6053794492</v>
      </c>
      <c r="AC102" s="18">
        <f t="shared" si="32"/>
        <v>44309663.126607165</v>
      </c>
      <c r="AD102" s="19">
        <f t="shared" si="33"/>
        <v>3.9236759499721901E-3</v>
      </c>
    </row>
    <row r="103" spans="1:30" x14ac:dyDescent="0.25">
      <c r="A103" s="8">
        <v>251</v>
      </c>
      <c r="B103" s="9">
        <v>44524</v>
      </c>
      <c r="C103" s="10">
        <v>2.625</v>
      </c>
      <c r="D103" s="11">
        <v>203866.4282458284</v>
      </c>
      <c r="E103" s="11">
        <v>1633.7315051189969</v>
      </c>
      <c r="F103" s="11"/>
      <c r="G103" s="11">
        <v>74568.954475560997</v>
      </c>
      <c r="H103" s="12">
        <v>7.9855824168990119E-2</v>
      </c>
      <c r="I103" s="13">
        <v>1197</v>
      </c>
      <c r="J103" s="13">
        <v>338872</v>
      </c>
      <c r="K103" s="12">
        <v>8.6516460043080862E-2</v>
      </c>
      <c r="L103" s="14">
        <v>212.95194444444451</v>
      </c>
      <c r="M103" s="15"/>
      <c r="N103" s="16">
        <f t="shared" si="17"/>
        <v>129297.4737702674</v>
      </c>
      <c r="O103" s="17">
        <f t="shared" si="18"/>
        <v>205500.15975094741</v>
      </c>
      <c r="P103" s="18">
        <f t="shared" si="19"/>
        <v>43761658.602608226</v>
      </c>
      <c r="Q103" s="19">
        <f t="shared" si="20"/>
        <v>7.950025474914333E-3</v>
      </c>
      <c r="R103" s="20">
        <f t="shared" si="21"/>
        <v>7.9855824168990119E-2</v>
      </c>
      <c r="S103" s="20">
        <f t="shared" si="22"/>
        <v>6.9331997278783105E-4</v>
      </c>
      <c r="T103" s="20">
        <f t="shared" si="23"/>
        <v>0</v>
      </c>
      <c r="U103" s="20">
        <f t="shared" si="24"/>
        <v>8.7209780015868696E-2</v>
      </c>
      <c r="V103" s="21">
        <f t="shared" si="25"/>
        <v>327874687.51621032</v>
      </c>
      <c r="W103" s="21" t="str">
        <f t="shared" si="26"/>
        <v/>
      </c>
      <c r="X103" s="19" t="str">
        <f t="shared" si="27"/>
        <v/>
      </c>
      <c r="Y103" s="17">
        <f t="shared" si="28"/>
        <v>816.86575255949845</v>
      </c>
      <c r="Z103" s="17">
        <f t="shared" si="29"/>
        <v>203049.5624932689</v>
      </c>
      <c r="AA103" s="20">
        <f t="shared" si="30"/>
        <v>6.0766943022238035E-2</v>
      </c>
      <c r="AB103" s="17">
        <f t="shared" si="31"/>
        <v>203049.5624932689</v>
      </c>
      <c r="AC103" s="18">
        <f t="shared" si="32"/>
        <v>43239799.151535362</v>
      </c>
      <c r="AD103" s="19">
        <f t="shared" si="33"/>
        <v>4.0068674356451501E-3</v>
      </c>
    </row>
    <row r="104" spans="1:30" x14ac:dyDescent="0.25">
      <c r="A104" s="8">
        <v>252</v>
      </c>
      <c r="B104" s="9">
        <v>44527</v>
      </c>
      <c r="C104" s="10">
        <v>2.75</v>
      </c>
      <c r="D104" s="11">
        <v>203765.91505229319</v>
      </c>
      <c r="E104" s="11">
        <v>1648.1591403409959</v>
      </c>
      <c r="F104" s="11"/>
      <c r="G104" s="11">
        <v>75072.618558543007</v>
      </c>
      <c r="H104" s="12">
        <v>7.9826521832800243E-2</v>
      </c>
      <c r="I104" s="13">
        <v>1200</v>
      </c>
      <c r="J104" s="13">
        <v>341367</v>
      </c>
      <c r="K104" s="12">
        <v>8.2720004985028295E-2</v>
      </c>
      <c r="L104" s="14">
        <v>196.11326388888921</v>
      </c>
      <c r="M104" s="15"/>
      <c r="N104" s="16">
        <f t="shared" si="17"/>
        <v>128693.29649375018</v>
      </c>
      <c r="O104" s="17">
        <f t="shared" si="18"/>
        <v>205414.07419263417</v>
      </c>
      <c r="P104" s="18">
        <f t="shared" si="19"/>
        <v>40284424.538631931</v>
      </c>
      <c r="Q104" s="19">
        <f t="shared" si="20"/>
        <v>8.023594034727034E-3</v>
      </c>
      <c r="R104" s="20">
        <f t="shared" si="21"/>
        <v>7.9826521832800243E-2</v>
      </c>
      <c r="S104" s="20">
        <f t="shared" si="22"/>
        <v>6.6908016618058412E-4</v>
      </c>
      <c r="T104" s="20">
        <f t="shared" si="23"/>
        <v>0</v>
      </c>
      <c r="U104" s="20">
        <f t="shared" si="24"/>
        <v>8.338908515120888E-2</v>
      </c>
      <c r="V104" s="21">
        <f t="shared" si="25"/>
        <v>327173799.84034109</v>
      </c>
      <c r="W104" s="21" t="str">
        <f t="shared" si="26"/>
        <v/>
      </c>
      <c r="X104" s="19" t="str">
        <f t="shared" si="27"/>
        <v/>
      </c>
      <c r="Y104" s="17">
        <f t="shared" si="28"/>
        <v>824.07957017049796</v>
      </c>
      <c r="Z104" s="17">
        <f t="shared" si="29"/>
        <v>202941.8354821227</v>
      </c>
      <c r="AA104" s="20">
        <f t="shared" si="30"/>
        <v>6.0685881912743087E-2</v>
      </c>
      <c r="AB104" s="17">
        <f t="shared" si="31"/>
        <v>202941.8354821227</v>
      </c>
      <c r="AC104" s="18">
        <f t="shared" si="32"/>
        <v>39799585.736001067</v>
      </c>
      <c r="AD104" s="19">
        <f t="shared" si="33"/>
        <v>4.0442464087235173E-3</v>
      </c>
    </row>
    <row r="105" spans="1:30" x14ac:dyDescent="0.25">
      <c r="A105" s="8">
        <v>253</v>
      </c>
      <c r="B105" s="9">
        <v>44529</v>
      </c>
      <c r="C105" s="10">
        <v>2.708333333333333</v>
      </c>
      <c r="D105" s="11">
        <v>203665.37344504081</v>
      </c>
      <c r="E105" s="11">
        <v>1627.5787753289969</v>
      </c>
      <c r="F105" s="11"/>
      <c r="G105" s="11">
        <v>74655.236659585993</v>
      </c>
      <c r="H105" s="12">
        <v>7.9965991248206678E-2</v>
      </c>
      <c r="I105" s="13">
        <v>1214</v>
      </c>
      <c r="J105" s="13">
        <v>343932</v>
      </c>
      <c r="K105" s="12">
        <v>8.4081878948054731E-2</v>
      </c>
      <c r="L105" s="14">
        <v>205.2461458333338</v>
      </c>
      <c r="M105" s="15"/>
      <c r="N105" s="16">
        <f t="shared" si="17"/>
        <v>129010.13678545482</v>
      </c>
      <c r="O105" s="17">
        <f t="shared" si="18"/>
        <v>205292.9522203698</v>
      </c>
      <c r="P105" s="18">
        <f t="shared" si="19"/>
        <v>42135587.209977649</v>
      </c>
      <c r="Q105" s="19">
        <f t="shared" si="20"/>
        <v>7.9280791557904424E-3</v>
      </c>
      <c r="R105" s="20">
        <f t="shared" si="21"/>
        <v>7.9965991248206678E-2</v>
      </c>
      <c r="S105" s="20">
        <f t="shared" si="22"/>
        <v>6.7193494530166117E-4</v>
      </c>
      <c r="T105" s="20">
        <f t="shared" si="23"/>
        <v>0</v>
      </c>
      <c r="U105" s="20">
        <f t="shared" si="24"/>
        <v>8.4753813893356386E-2</v>
      </c>
      <c r="V105" s="21">
        <f t="shared" si="25"/>
        <v>326665221.30304301</v>
      </c>
      <c r="W105" s="21" t="str">
        <f t="shared" si="26"/>
        <v/>
      </c>
      <c r="X105" s="19" t="str">
        <f t="shared" si="27"/>
        <v/>
      </c>
      <c r="Y105" s="17">
        <f t="shared" si="28"/>
        <v>813.78938766449846</v>
      </c>
      <c r="Z105" s="17">
        <f t="shared" si="29"/>
        <v>202851.58405737631</v>
      </c>
      <c r="AA105" s="20">
        <f t="shared" si="30"/>
        <v>6.0631901255800098E-2</v>
      </c>
      <c r="AB105" s="17">
        <f t="shared" si="31"/>
        <v>202851.58405737631</v>
      </c>
      <c r="AC105" s="18">
        <f t="shared" si="32"/>
        <v>41634505.803963028</v>
      </c>
      <c r="AD105" s="19">
        <f t="shared" si="33"/>
        <v>3.9957179460557634E-3</v>
      </c>
    </row>
    <row r="106" spans="1:30" x14ac:dyDescent="0.25">
      <c r="A106" s="8">
        <v>254</v>
      </c>
      <c r="B106" s="9">
        <v>44532</v>
      </c>
      <c r="C106" s="10">
        <v>2.875</v>
      </c>
      <c r="D106" s="11">
        <v>203564.81759081859</v>
      </c>
      <c r="E106" s="11">
        <v>1573.2862907689971</v>
      </c>
      <c r="F106" s="11"/>
      <c r="G106" s="11">
        <v>74808.353271301996</v>
      </c>
      <c r="H106" s="12">
        <v>8.0051496497298785E-2</v>
      </c>
      <c r="I106" s="13">
        <v>1226</v>
      </c>
      <c r="J106" s="13">
        <v>347559</v>
      </c>
      <c r="K106" s="12">
        <v>7.8770707394334755E-2</v>
      </c>
      <c r="L106" s="14">
        <v>229.13920138888861</v>
      </c>
      <c r="M106" s="15"/>
      <c r="N106" s="16">
        <f t="shared" si="17"/>
        <v>128756.4643195166</v>
      </c>
      <c r="O106" s="17">
        <f t="shared" si="18"/>
        <v>205138.10388158759</v>
      </c>
      <c r="P106" s="18">
        <f t="shared" si="19"/>
        <v>47005181.297857851</v>
      </c>
      <c r="Q106" s="19">
        <f t="shared" si="20"/>
        <v>7.6694005696628124E-3</v>
      </c>
      <c r="R106" s="20">
        <f t="shared" si="21"/>
        <v>8.0051496497298785E-2</v>
      </c>
      <c r="S106" s="20">
        <f t="shared" si="22"/>
        <v>6.0879318697786857E-4</v>
      </c>
      <c r="T106" s="20">
        <f t="shared" si="23"/>
        <v>0</v>
      </c>
      <c r="U106" s="20">
        <f t="shared" si="24"/>
        <v>7.9379500581312629E-2</v>
      </c>
      <c r="V106" s="21">
        <f t="shared" si="25"/>
        <v>328314716.64728278</v>
      </c>
      <c r="W106" s="21" t="str">
        <f t="shared" si="26"/>
        <v/>
      </c>
      <c r="X106" s="19" t="str">
        <f t="shared" si="27"/>
        <v/>
      </c>
      <c r="Y106" s="17">
        <f t="shared" si="28"/>
        <v>786.64314538449855</v>
      </c>
      <c r="Z106" s="17">
        <f t="shared" si="29"/>
        <v>202778.1744454341</v>
      </c>
      <c r="AA106" s="20">
        <f t="shared" si="30"/>
        <v>6.0551020287593682E-2</v>
      </c>
      <c r="AB106" s="17">
        <f t="shared" si="31"/>
        <v>202778.1744454341</v>
      </c>
      <c r="AC106" s="18">
        <f t="shared" si="32"/>
        <v>46464428.951523505</v>
      </c>
      <c r="AD106" s="19">
        <f t="shared" si="33"/>
        <v>3.8643374365687965E-3</v>
      </c>
    </row>
    <row r="107" spans="1:30" x14ac:dyDescent="0.25">
      <c r="A107" s="8">
        <v>255</v>
      </c>
      <c r="B107" s="9">
        <v>44535</v>
      </c>
      <c r="C107" s="10">
        <v>2.916666666666667</v>
      </c>
      <c r="D107" s="11">
        <v>203464.26101467459</v>
      </c>
      <c r="E107" s="11">
        <v>1637.6962765099991</v>
      </c>
      <c r="F107" s="11"/>
      <c r="G107" s="11">
        <v>75468.408704312998</v>
      </c>
      <c r="H107" s="12">
        <v>8.1754785828966003E-2</v>
      </c>
      <c r="I107" s="13">
        <v>1239</v>
      </c>
      <c r="J107" s="13">
        <v>351666</v>
      </c>
      <c r="K107" s="12">
        <v>7.7810060260185915E-2</v>
      </c>
      <c r="L107" s="14">
        <v>194.82975694444411</v>
      </c>
      <c r="M107" s="15"/>
      <c r="N107" s="16">
        <f t="shared" si="17"/>
        <v>127995.85231036159</v>
      </c>
      <c r="O107" s="17">
        <f t="shared" si="18"/>
        <v>205101.95729118458</v>
      </c>
      <c r="P107" s="18">
        <f t="shared" si="19"/>
        <v>39959964.487871245</v>
      </c>
      <c r="Q107" s="19">
        <f t="shared" si="20"/>
        <v>7.9847910675223399E-3</v>
      </c>
      <c r="R107" s="20">
        <f t="shared" si="21"/>
        <v>8.1754785828966003E-2</v>
      </c>
      <c r="S107" s="20">
        <f t="shared" si="22"/>
        <v>6.2629793226405724E-4</v>
      </c>
      <c r="T107" s="20">
        <f t="shared" si="23"/>
        <v>0</v>
      </c>
      <c r="U107" s="20">
        <f t="shared" si="24"/>
        <v>7.843635819244997E-2</v>
      </c>
      <c r="V107" s="21">
        <f t="shared" si="25"/>
        <v>327458154.61956555</v>
      </c>
      <c r="W107" s="21" t="str">
        <f t="shared" si="26"/>
        <v/>
      </c>
      <c r="X107" s="19" t="str">
        <f t="shared" si="27"/>
        <v/>
      </c>
      <c r="Y107" s="17">
        <f t="shared" si="28"/>
        <v>818.84813825499953</v>
      </c>
      <c r="Z107" s="17">
        <f t="shared" si="29"/>
        <v>202645.41287641958</v>
      </c>
      <c r="AA107" s="20">
        <f t="shared" si="30"/>
        <v>6.0470247211946833E-2</v>
      </c>
      <c r="AB107" s="17">
        <f t="shared" si="31"/>
        <v>202645.41287641958</v>
      </c>
      <c r="AC107" s="18">
        <f t="shared" si="32"/>
        <v>39481356.53661935</v>
      </c>
      <c r="AD107" s="19">
        <f t="shared" si="33"/>
        <v>4.0245305695035122E-3</v>
      </c>
    </row>
    <row r="108" spans="1:30" x14ac:dyDescent="0.25">
      <c r="A108" s="8">
        <v>256</v>
      </c>
      <c r="B108" s="9">
        <v>44538</v>
      </c>
      <c r="C108" s="10">
        <v>2.833333333333333</v>
      </c>
      <c r="D108" s="11">
        <v>203363.65657211089</v>
      </c>
      <c r="E108" s="11">
        <v>1627.518651823998</v>
      </c>
      <c r="F108" s="11"/>
      <c r="G108" s="11">
        <v>74931.867154683001</v>
      </c>
      <c r="H108" s="12">
        <v>7.9877343196584141E-2</v>
      </c>
      <c r="I108" s="13">
        <v>1253</v>
      </c>
      <c r="J108" s="13">
        <v>355859</v>
      </c>
      <c r="K108" s="12">
        <v>7.9934961384216144E-2</v>
      </c>
      <c r="L108" s="14">
        <v>190.6116319444441</v>
      </c>
      <c r="M108" s="15"/>
      <c r="N108" s="16">
        <f t="shared" si="17"/>
        <v>128431.78941742789</v>
      </c>
      <c r="O108" s="17">
        <f t="shared" si="18"/>
        <v>204991.1752239349</v>
      </c>
      <c r="P108" s="18">
        <f t="shared" si="19"/>
        <v>39073702.443643726</v>
      </c>
      <c r="Q108" s="19">
        <f t="shared" si="20"/>
        <v>7.9394571500264657E-3</v>
      </c>
      <c r="R108" s="20">
        <f t="shared" si="21"/>
        <v>7.9877343196584141E-2</v>
      </c>
      <c r="S108" s="20">
        <f t="shared" si="22"/>
        <v>6.3971922406652864E-4</v>
      </c>
      <c r="T108" s="20">
        <f t="shared" si="23"/>
        <v>0</v>
      </c>
      <c r="U108" s="20">
        <f t="shared" si="24"/>
        <v>8.057468060828267E-2</v>
      </c>
      <c r="V108" s="21">
        <f t="shared" si="25"/>
        <v>327966228.94132531</v>
      </c>
      <c r="W108" s="21" t="str">
        <f t="shared" si="26"/>
        <v/>
      </c>
      <c r="X108" s="19" t="str">
        <f t="shared" si="27"/>
        <v/>
      </c>
      <c r="Y108" s="17">
        <f t="shared" si="28"/>
        <v>813.75932591199899</v>
      </c>
      <c r="Z108" s="17">
        <f t="shared" si="29"/>
        <v>202549.8972461989</v>
      </c>
      <c r="AA108" s="20">
        <f t="shared" si="30"/>
        <v>6.0389581884934415E-2</v>
      </c>
      <c r="AB108" s="17">
        <f t="shared" si="31"/>
        <v>202549.8972461989</v>
      </c>
      <c r="AC108" s="18">
        <f t="shared" si="32"/>
        <v>38608366.464277439</v>
      </c>
      <c r="AD108" s="19">
        <f t="shared" si="33"/>
        <v>4.0014982992964002E-3</v>
      </c>
    </row>
    <row r="109" spans="1:30" x14ac:dyDescent="0.25">
      <c r="A109" s="8">
        <v>257</v>
      </c>
      <c r="B109" s="9">
        <v>44541</v>
      </c>
      <c r="C109" s="10">
        <v>2.833333333333333</v>
      </c>
      <c r="D109" s="11">
        <v>203263.03413855881</v>
      </c>
      <c r="E109" s="11">
        <v>1517.7362744449961</v>
      </c>
      <c r="F109" s="11"/>
      <c r="G109" s="11">
        <v>74824.720013116006</v>
      </c>
      <c r="H109" s="12">
        <v>7.9834250496269063E-2</v>
      </c>
      <c r="I109" s="13">
        <v>1262</v>
      </c>
      <c r="J109" s="13">
        <v>355088</v>
      </c>
      <c r="K109" s="12">
        <v>7.976154812169875E-2</v>
      </c>
      <c r="L109" s="14">
        <v>169.91677083333391</v>
      </c>
      <c r="M109" s="15"/>
      <c r="N109" s="16">
        <f t="shared" si="17"/>
        <v>128438.3141254428</v>
      </c>
      <c r="O109" s="17">
        <f t="shared" si="18"/>
        <v>204780.7704130038</v>
      </c>
      <c r="P109" s="18">
        <f t="shared" si="19"/>
        <v>34795687.237339936</v>
      </c>
      <c r="Q109" s="19">
        <f t="shared" si="20"/>
        <v>7.4115175530593581E-3</v>
      </c>
      <c r="R109" s="20">
        <f t="shared" si="21"/>
        <v>7.9834250496269063E-2</v>
      </c>
      <c r="S109" s="20">
        <f t="shared" si="22"/>
        <v>5.9556817796821394E-4</v>
      </c>
      <c r="T109" s="20">
        <f t="shared" si="23"/>
        <v>0</v>
      </c>
      <c r="U109" s="20">
        <f t="shared" si="24"/>
        <v>8.0357116299666964E-2</v>
      </c>
      <c r="V109" s="21">
        <f t="shared" si="25"/>
        <v>328516648.02560711</v>
      </c>
      <c r="W109" s="21" t="str">
        <f t="shared" si="26"/>
        <v/>
      </c>
      <c r="X109" s="19" t="str">
        <f t="shared" si="27"/>
        <v/>
      </c>
      <c r="Y109" s="17">
        <f t="shared" si="28"/>
        <v>758.86813722249804</v>
      </c>
      <c r="Z109" s="17">
        <f t="shared" si="29"/>
        <v>202504.1660013363</v>
      </c>
      <c r="AA109" s="20">
        <f t="shared" si="30"/>
        <v>6.0309024162823271E-2</v>
      </c>
      <c r="AB109" s="17">
        <f t="shared" si="31"/>
        <v>202504.1660013363</v>
      </c>
      <c r="AC109" s="18">
        <f t="shared" si="32"/>
        <v>34408853.967244469</v>
      </c>
      <c r="AD109" s="19">
        <f t="shared" si="33"/>
        <v>3.7334291522244942E-3</v>
      </c>
    </row>
    <row r="110" spans="1:30" x14ac:dyDescent="0.25">
      <c r="A110" s="8">
        <v>258</v>
      </c>
      <c r="B110" s="9">
        <v>44544</v>
      </c>
      <c r="C110" s="10">
        <v>2.958333333333333</v>
      </c>
      <c r="D110" s="11">
        <v>203162.43344802011</v>
      </c>
      <c r="E110" s="11">
        <v>1731.0207150089991</v>
      </c>
      <c r="F110" s="11"/>
      <c r="G110" s="11">
        <v>75056.554635314998</v>
      </c>
      <c r="H110" s="12">
        <v>8.0111506933746093E-2</v>
      </c>
      <c r="I110" s="13">
        <v>1274</v>
      </c>
      <c r="J110" s="13">
        <v>357875</v>
      </c>
      <c r="K110" s="12">
        <v>7.5593587235077933E-2</v>
      </c>
      <c r="L110" s="14">
        <v>156.24840277777761</v>
      </c>
      <c r="M110" s="15"/>
      <c r="N110" s="16">
        <f t="shared" si="17"/>
        <v>128105.87881270511</v>
      </c>
      <c r="O110" s="17">
        <f t="shared" si="18"/>
        <v>204893.45416302909</v>
      </c>
      <c r="P110" s="18">
        <f t="shared" si="19"/>
        <v>32014274.952595085</v>
      </c>
      <c r="Q110" s="19">
        <f t="shared" si="20"/>
        <v>8.4483944207981634E-3</v>
      </c>
      <c r="R110" s="20">
        <f t="shared" si="21"/>
        <v>8.0111506933746093E-2</v>
      </c>
      <c r="S110" s="20">
        <f t="shared" si="22"/>
        <v>6.4408593264482267E-4</v>
      </c>
      <c r="T110" s="20">
        <f t="shared" si="23"/>
        <v>0</v>
      </c>
      <c r="U110" s="20">
        <f t="shared" si="24"/>
        <v>7.6237673167722758E-2</v>
      </c>
      <c r="V110" s="21">
        <f t="shared" si="25"/>
        <v>331819243.42359298</v>
      </c>
      <c r="W110" s="21" t="str">
        <f t="shared" si="26"/>
        <v/>
      </c>
      <c r="X110" s="19" t="str">
        <f t="shared" si="27"/>
        <v/>
      </c>
      <c r="Y110" s="17">
        <f t="shared" si="28"/>
        <v>865.51035750449955</v>
      </c>
      <c r="Z110" s="17">
        <f t="shared" si="29"/>
        <v>202296.9230905156</v>
      </c>
      <c r="AA110" s="20">
        <f t="shared" si="30"/>
        <v>6.0228573902072022E-2</v>
      </c>
      <c r="AB110" s="17">
        <f t="shared" si="31"/>
        <v>202296.9230905156</v>
      </c>
      <c r="AC110" s="18">
        <f t="shared" si="32"/>
        <v>31608571.119751982</v>
      </c>
      <c r="AD110" s="19">
        <f t="shared" si="33"/>
        <v>4.2601889671002773E-3</v>
      </c>
    </row>
    <row r="111" spans="1:30" x14ac:dyDescent="0.25">
      <c r="A111" s="8">
        <v>259</v>
      </c>
      <c r="B111" s="9">
        <v>44547</v>
      </c>
      <c r="C111" s="10">
        <v>2.708333333333333</v>
      </c>
      <c r="D111" s="11">
        <v>203061.72620264729</v>
      </c>
      <c r="E111" s="11">
        <v>1739.310069982999</v>
      </c>
      <c r="F111" s="11"/>
      <c r="G111" s="11">
        <v>73854.823475536003</v>
      </c>
      <c r="H111" s="12">
        <v>7.9405243639482259E-2</v>
      </c>
      <c r="I111" s="13">
        <v>1277</v>
      </c>
      <c r="J111" s="13">
        <v>358477</v>
      </c>
      <c r="K111" s="12">
        <v>8.280679523928873E-2</v>
      </c>
      <c r="L111" s="14">
        <v>177.19062499999961</v>
      </c>
      <c r="M111" s="15"/>
      <c r="N111" s="16">
        <f t="shared" si="17"/>
        <v>129206.90272711129</v>
      </c>
      <c r="O111" s="17">
        <f t="shared" si="18"/>
        <v>204801.0362726303</v>
      </c>
      <c r="P111" s="18">
        <f t="shared" si="19"/>
        <v>36288823.617794953</v>
      </c>
      <c r="Q111" s="19">
        <f t="shared" si="20"/>
        <v>8.4926819787554033E-3</v>
      </c>
      <c r="R111" s="20">
        <f t="shared" si="21"/>
        <v>7.9405243639482259E-2</v>
      </c>
      <c r="S111" s="20">
        <f t="shared" si="22"/>
        <v>7.0927542829505154E-4</v>
      </c>
      <c r="T111" s="20">
        <f t="shared" si="23"/>
        <v>0</v>
      </c>
      <c r="U111" s="20">
        <f t="shared" si="24"/>
        <v>8.3516070667583778E-2</v>
      </c>
      <c r="V111" s="21">
        <f t="shared" si="25"/>
        <v>330712192.38963437</v>
      </c>
      <c r="W111" s="21" t="str">
        <f t="shared" si="26"/>
        <v/>
      </c>
      <c r="X111" s="19" t="str">
        <f t="shared" si="27"/>
        <v/>
      </c>
      <c r="Y111" s="17">
        <f t="shared" si="28"/>
        <v>869.65503499149952</v>
      </c>
      <c r="Z111" s="17">
        <f t="shared" si="29"/>
        <v>202192.07116765578</v>
      </c>
      <c r="AA111" s="20">
        <f t="shared" si="30"/>
        <v>6.0148230959330702E-2</v>
      </c>
      <c r="AB111" s="17">
        <f t="shared" si="31"/>
        <v>202192.07116765578</v>
      </c>
      <c r="AC111" s="18">
        <f t="shared" si="32"/>
        <v>35826539.460241333</v>
      </c>
      <c r="AD111" s="19">
        <f t="shared" si="33"/>
        <v>4.2827127063995276E-3</v>
      </c>
    </row>
    <row r="112" spans="1:30" x14ac:dyDescent="0.25">
      <c r="A112" s="8">
        <v>260</v>
      </c>
      <c r="B112" s="9">
        <v>44549</v>
      </c>
      <c r="C112" s="10">
        <v>2.708333333333333</v>
      </c>
      <c r="D112" s="11">
        <v>202960.9941270868</v>
      </c>
      <c r="E112" s="11">
        <v>1728.5514601559989</v>
      </c>
      <c r="F112" s="11"/>
      <c r="G112" s="11">
        <v>74099.126681406007</v>
      </c>
      <c r="H112" s="12">
        <v>7.9938483658225576E-2</v>
      </c>
      <c r="I112" s="13">
        <v>1295</v>
      </c>
      <c r="J112" s="13">
        <v>358081</v>
      </c>
      <c r="K112" s="12">
        <v>8.305589866367738E-2</v>
      </c>
      <c r="L112" s="14">
        <v>183.9006250000003</v>
      </c>
      <c r="M112" s="15"/>
      <c r="N112" s="16">
        <f t="shared" si="17"/>
        <v>128861.86744568079</v>
      </c>
      <c r="O112" s="17">
        <f t="shared" si="18"/>
        <v>204689.54558724281</v>
      </c>
      <c r="P112" s="18">
        <f t="shared" si="19"/>
        <v>37642535.364460006</v>
      </c>
      <c r="Q112" s="19">
        <f t="shared" si="20"/>
        <v>8.4447471667245238E-3</v>
      </c>
      <c r="R112" s="20">
        <f t="shared" si="21"/>
        <v>7.9938483658225576E-2</v>
      </c>
      <c r="S112" s="20">
        <f t="shared" si="22"/>
        <v>7.0735953736890031E-4</v>
      </c>
      <c r="T112" s="20">
        <f t="shared" si="23"/>
        <v>0</v>
      </c>
      <c r="U112" s="20">
        <f t="shared" si="24"/>
        <v>8.3763258201046284E-2</v>
      </c>
      <c r="V112" s="21">
        <f t="shared" si="25"/>
        <v>329556748.6001156</v>
      </c>
      <c r="W112" s="21" t="str">
        <f t="shared" si="26"/>
        <v/>
      </c>
      <c r="X112" s="19" t="str">
        <f t="shared" si="27"/>
        <v/>
      </c>
      <c r="Y112" s="17">
        <f t="shared" si="28"/>
        <v>864.27573007799947</v>
      </c>
      <c r="Z112" s="17">
        <f t="shared" si="29"/>
        <v>202096.71839700881</v>
      </c>
      <c r="AA112" s="20">
        <f t="shared" si="30"/>
        <v>6.0094728547916282E-2</v>
      </c>
      <c r="AB112" s="17">
        <f t="shared" si="31"/>
        <v>202096.71839700881</v>
      </c>
      <c r="AC112" s="18">
        <f t="shared" si="32"/>
        <v>37165712.82365898</v>
      </c>
      <c r="AD112" s="19">
        <f t="shared" si="33"/>
        <v>4.2583341385134393E-3</v>
      </c>
    </row>
    <row r="113" spans="1:30" x14ac:dyDescent="0.25">
      <c r="A113" s="8">
        <v>261</v>
      </c>
      <c r="B113" s="9">
        <v>44552</v>
      </c>
      <c r="C113" s="10">
        <v>2.791666666666667</v>
      </c>
      <c r="D113" s="11">
        <v>202860.2448485115</v>
      </c>
      <c r="E113" s="11">
        <v>1823.316564054998</v>
      </c>
      <c r="F113" s="11"/>
      <c r="G113" s="11">
        <v>74022.176741396994</v>
      </c>
      <c r="H113" s="12">
        <v>7.9721390831066788E-2</v>
      </c>
      <c r="I113" s="13">
        <v>1301</v>
      </c>
      <c r="J113" s="13">
        <v>400837</v>
      </c>
      <c r="K113" s="12">
        <v>8.0198637085148031E-2</v>
      </c>
      <c r="L113" s="14">
        <v>182.7536111111115</v>
      </c>
      <c r="M113" s="15"/>
      <c r="N113" s="16">
        <f t="shared" si="17"/>
        <v>128838.06810711451</v>
      </c>
      <c r="O113" s="17">
        <f t="shared" si="18"/>
        <v>204683.56141256649</v>
      </c>
      <c r="P113" s="18">
        <f t="shared" si="19"/>
        <v>37406659.983229481</v>
      </c>
      <c r="Q113" s="19">
        <f t="shared" si="20"/>
        <v>8.9079775213597393E-3</v>
      </c>
      <c r="R113" s="20">
        <f t="shared" si="21"/>
        <v>7.9721390831066788E-2</v>
      </c>
      <c r="S113" s="20">
        <f t="shared" si="22"/>
        <v>7.2082878299384442E-4</v>
      </c>
      <c r="T113" s="20">
        <f t="shared" si="23"/>
        <v>0</v>
      </c>
      <c r="U113" s="20">
        <f t="shared" si="24"/>
        <v>8.0919465868141874E-2</v>
      </c>
      <c r="V113" s="21">
        <f t="shared" si="25"/>
        <v>330945607.38784504</v>
      </c>
      <c r="W113" s="21" t="str">
        <f t="shared" si="26"/>
        <v/>
      </c>
      <c r="X113" s="19" t="str">
        <f t="shared" si="27"/>
        <v/>
      </c>
      <c r="Y113" s="17">
        <f t="shared" si="28"/>
        <v>911.65828202749901</v>
      </c>
      <c r="Z113" s="17">
        <f t="shared" si="29"/>
        <v>201948.58656648401</v>
      </c>
      <c r="AA113" s="20">
        <f t="shared" si="30"/>
        <v>6.0014564150488739E-2</v>
      </c>
      <c r="AB113" s="17">
        <f t="shared" si="31"/>
        <v>201948.58656648401</v>
      </c>
      <c r="AC113" s="18">
        <f t="shared" si="32"/>
        <v>36906833.453809857</v>
      </c>
      <c r="AD113" s="19">
        <f t="shared" si="33"/>
        <v>4.4940214023121757E-3</v>
      </c>
    </row>
    <row r="114" spans="1:30" x14ac:dyDescent="0.25">
      <c r="A114" s="8">
        <v>262</v>
      </c>
      <c r="B114" s="9">
        <v>44555</v>
      </c>
      <c r="C114" s="10">
        <v>2.666666666666667</v>
      </c>
      <c r="D114" s="11">
        <v>202759.4368578236</v>
      </c>
      <c r="E114" s="11">
        <v>1833.595222850998</v>
      </c>
      <c r="F114" s="11"/>
      <c r="G114" s="11">
        <v>74047.534911748997</v>
      </c>
      <c r="H114" s="12">
        <v>7.9499531962757969E-2</v>
      </c>
      <c r="I114" s="13">
        <v>1313</v>
      </c>
      <c r="J114" s="13">
        <v>374498</v>
      </c>
      <c r="K114" s="12">
        <v>8.4193318484264701E-2</v>
      </c>
      <c r="L114" s="14">
        <v>192.54138888888829</v>
      </c>
      <c r="M114" s="15"/>
      <c r="N114" s="16">
        <f t="shared" si="17"/>
        <v>128711.90194607461</v>
      </c>
      <c r="O114" s="17">
        <f t="shared" si="18"/>
        <v>204593.0320806746</v>
      </c>
      <c r="P114" s="18">
        <f t="shared" si="19"/>
        <v>39392626.553801969</v>
      </c>
      <c r="Q114" s="19">
        <f t="shared" si="20"/>
        <v>8.9621587021007608E-3</v>
      </c>
      <c r="R114" s="20">
        <f t="shared" si="21"/>
        <v>7.9499531962757969E-2</v>
      </c>
      <c r="S114" s="20">
        <f t="shared" si="22"/>
        <v>7.6137746760941293E-4</v>
      </c>
      <c r="T114" s="20">
        <f t="shared" si="23"/>
        <v>0</v>
      </c>
      <c r="U114" s="20">
        <f t="shared" si="24"/>
        <v>8.4954695951874118E-2</v>
      </c>
      <c r="V114" s="21">
        <f t="shared" si="25"/>
        <v>329856419.92850548</v>
      </c>
      <c r="W114" s="21" t="str">
        <f t="shared" si="26"/>
        <v/>
      </c>
      <c r="X114" s="19" t="str">
        <f t="shared" si="27"/>
        <v/>
      </c>
      <c r="Y114" s="17">
        <f t="shared" si="28"/>
        <v>916.79761142549899</v>
      </c>
      <c r="Z114" s="17">
        <f t="shared" si="29"/>
        <v>201842.63924639812</v>
      </c>
      <c r="AA114" s="20">
        <f t="shared" si="30"/>
        <v>5.9934506689738834E-2</v>
      </c>
      <c r="AB114" s="17">
        <f t="shared" si="31"/>
        <v>201842.63924639812</v>
      </c>
      <c r="AC114" s="18">
        <f t="shared" si="32"/>
        <v>38863062.097500324</v>
      </c>
      <c r="AD114" s="19">
        <f t="shared" si="33"/>
        <v>4.5216026717827401E-3</v>
      </c>
    </row>
    <row r="115" spans="1:30" x14ac:dyDescent="0.25">
      <c r="A115" s="8">
        <v>263</v>
      </c>
      <c r="B115" s="9">
        <v>44557</v>
      </c>
      <c r="C115" s="10">
        <v>2.625</v>
      </c>
      <c r="D115" s="11">
        <v>202658.60367618271</v>
      </c>
      <c r="E115" s="11">
        <v>1740.7595014149981</v>
      </c>
      <c r="F115" s="11"/>
      <c r="G115" s="11">
        <v>73843.433963688003</v>
      </c>
      <c r="H115" s="12">
        <v>7.9363163854624497E-2</v>
      </c>
      <c r="I115" s="13">
        <v>1323</v>
      </c>
      <c r="J115" s="13">
        <v>373936</v>
      </c>
      <c r="K115" s="12">
        <v>8.5247146857771391E-2</v>
      </c>
      <c r="L115" s="14">
        <v>200.13760416666551</v>
      </c>
      <c r="M115" s="15"/>
      <c r="N115" s="16">
        <f t="shared" si="17"/>
        <v>128815.16971249471</v>
      </c>
      <c r="O115" s="17">
        <f t="shared" si="18"/>
        <v>204399.3631775977</v>
      </c>
      <c r="P115" s="18">
        <f t="shared" si="19"/>
        <v>40907998.839556552</v>
      </c>
      <c r="Q115" s="19">
        <f t="shared" si="20"/>
        <v>8.5164624505336354E-3</v>
      </c>
      <c r="R115" s="20">
        <f t="shared" si="21"/>
        <v>7.9363163854624497E-2</v>
      </c>
      <c r="S115" s="20">
        <f t="shared" si="22"/>
        <v>7.3224022158120303E-4</v>
      </c>
      <c r="T115" s="20">
        <f t="shared" si="23"/>
        <v>0</v>
      </c>
      <c r="U115" s="20">
        <f t="shared" si="24"/>
        <v>8.5979387079352598E-2</v>
      </c>
      <c r="V115" s="21">
        <f t="shared" si="25"/>
        <v>330785230.70259607</v>
      </c>
      <c r="W115" s="21" t="str">
        <f t="shared" si="26"/>
        <v/>
      </c>
      <c r="X115" s="19" t="str">
        <f t="shared" si="27"/>
        <v/>
      </c>
      <c r="Y115" s="17">
        <f t="shared" si="28"/>
        <v>870.37975070749906</v>
      </c>
      <c r="Z115" s="17">
        <f t="shared" si="29"/>
        <v>201788.22392547521</v>
      </c>
      <c r="AA115" s="20">
        <f t="shared" si="30"/>
        <v>5.9881194388051978E-2</v>
      </c>
      <c r="AB115" s="17">
        <f t="shared" si="31"/>
        <v>201788.22392547521</v>
      </c>
      <c r="AC115" s="18">
        <f t="shared" si="32"/>
        <v>40385411.685491219</v>
      </c>
      <c r="AD115" s="19">
        <f t="shared" si="33"/>
        <v>4.2948077945816308E-3</v>
      </c>
    </row>
    <row r="116" spans="1:30" x14ac:dyDescent="0.25">
      <c r="A116" s="8">
        <v>264</v>
      </c>
      <c r="B116" s="9">
        <v>44560</v>
      </c>
      <c r="C116" s="10">
        <v>2.875</v>
      </c>
      <c r="D116" s="11">
        <v>202557.78622199531</v>
      </c>
      <c r="E116" s="11">
        <v>1793.449268356999</v>
      </c>
      <c r="F116" s="11"/>
      <c r="G116" s="11">
        <v>73024.744339219993</v>
      </c>
      <c r="H116" s="12">
        <v>7.9471092428960624E-2</v>
      </c>
      <c r="I116" s="13">
        <v>1329</v>
      </c>
      <c r="J116" s="13">
        <v>433954</v>
      </c>
      <c r="K116" s="12">
        <v>7.7595168466906797E-2</v>
      </c>
      <c r="L116" s="14">
        <v>172.98069444444451</v>
      </c>
      <c r="M116" s="15"/>
      <c r="N116" s="16">
        <f t="shared" si="17"/>
        <v>129533.04188277532</v>
      </c>
      <c r="O116" s="17">
        <f t="shared" si="18"/>
        <v>204351.23549035232</v>
      </c>
      <c r="P116" s="18">
        <f t="shared" si="19"/>
        <v>35348818.62570136</v>
      </c>
      <c r="Q116" s="19">
        <f t="shared" si="20"/>
        <v>8.7763074397544816E-3</v>
      </c>
      <c r="R116" s="20">
        <f t="shared" si="21"/>
        <v>7.9471092428960624E-2</v>
      </c>
      <c r="S116" s="20">
        <f t="shared" si="22"/>
        <v>6.870286287711248E-4</v>
      </c>
      <c r="T116" s="20">
        <f t="shared" si="23"/>
        <v>0</v>
      </c>
      <c r="U116" s="20">
        <f t="shared" si="24"/>
        <v>7.8282197095677922E-2</v>
      </c>
      <c r="V116" s="21">
        <f t="shared" si="25"/>
        <v>331639794.31836593</v>
      </c>
      <c r="W116" s="21" t="str">
        <f t="shared" si="26"/>
        <v/>
      </c>
      <c r="X116" s="19" t="str">
        <f t="shared" si="27"/>
        <v/>
      </c>
      <c r="Y116" s="17">
        <f t="shared" si="28"/>
        <v>896.72463417849951</v>
      </c>
      <c r="Z116" s="17">
        <f t="shared" si="29"/>
        <v>201661.0615878168</v>
      </c>
      <c r="AA116" s="20">
        <f t="shared" si="30"/>
        <v>5.9801314838192086E-2</v>
      </c>
      <c r="AB116" s="17">
        <f t="shared" si="31"/>
        <v>201661.0615878168</v>
      </c>
      <c r="AC116" s="18">
        <f t="shared" si="32"/>
        <v>34883470.475864448</v>
      </c>
      <c r="AD116" s="19">
        <f t="shared" si="33"/>
        <v>4.4270064898701295E-3</v>
      </c>
    </row>
    <row r="117" spans="1:30" x14ac:dyDescent="0.25">
      <c r="A117" s="8">
        <v>265</v>
      </c>
      <c r="B117" s="9">
        <v>44563</v>
      </c>
      <c r="C117" s="10">
        <v>2.75</v>
      </c>
      <c r="D117" s="11">
        <v>202456.92724435261</v>
      </c>
      <c r="E117" s="11">
        <v>1720.933465057999</v>
      </c>
      <c r="F117" s="11"/>
      <c r="G117" s="11">
        <v>73708.116890777994</v>
      </c>
      <c r="H117" s="12">
        <v>7.9851477148002115E-2</v>
      </c>
      <c r="I117" s="13">
        <v>1338</v>
      </c>
      <c r="J117" s="13">
        <v>389717</v>
      </c>
      <c r="K117" s="12">
        <v>8.0904009729503693E-2</v>
      </c>
      <c r="L117" s="14">
        <v>176.59243055555589</v>
      </c>
      <c r="M117" s="15"/>
      <c r="N117" s="16">
        <f t="shared" si="17"/>
        <v>128748.81035357462</v>
      </c>
      <c r="O117" s="17">
        <f t="shared" si="18"/>
        <v>204177.86070941063</v>
      </c>
      <c r="P117" s="18">
        <f t="shared" si="19"/>
        <v>36056264.688308559</v>
      </c>
      <c r="Q117" s="19">
        <f t="shared" si="20"/>
        <v>8.428599746704471E-3</v>
      </c>
      <c r="R117" s="20">
        <f t="shared" si="21"/>
        <v>7.9851477148002115E-2</v>
      </c>
      <c r="S117" s="20">
        <f t="shared" si="22"/>
        <v>6.8770389680387965E-4</v>
      </c>
      <c r="T117" s="20">
        <f t="shared" si="23"/>
        <v>0</v>
      </c>
      <c r="U117" s="20">
        <f t="shared" si="24"/>
        <v>8.1591713626307572E-2</v>
      </c>
      <c r="V117" s="21">
        <f t="shared" si="25"/>
        <v>332368705.37066507</v>
      </c>
      <c r="W117" s="21" t="str">
        <f t="shared" si="26"/>
        <v/>
      </c>
      <c r="X117" s="19" t="str">
        <f t="shared" si="27"/>
        <v/>
      </c>
      <c r="Y117" s="17">
        <f t="shared" si="28"/>
        <v>860.4667325289995</v>
      </c>
      <c r="Z117" s="17">
        <f t="shared" si="29"/>
        <v>201596.46051182362</v>
      </c>
      <c r="AA117" s="20">
        <f t="shared" si="30"/>
        <v>5.9721541845032526E-2</v>
      </c>
      <c r="AB117" s="17">
        <f t="shared" si="31"/>
        <v>201596.46051182362</v>
      </c>
      <c r="AC117" s="18">
        <f t="shared" si="32"/>
        <v>35600408.953180082</v>
      </c>
      <c r="AD117" s="19">
        <f t="shared" si="33"/>
        <v>4.2501224543948102E-3</v>
      </c>
    </row>
    <row r="118" spans="1:30" x14ac:dyDescent="0.25">
      <c r="A118" s="8">
        <v>266</v>
      </c>
      <c r="B118" s="9">
        <v>44566</v>
      </c>
      <c r="C118" s="10">
        <v>2.875</v>
      </c>
      <c r="D118" s="11">
        <v>202356.0761504918</v>
      </c>
      <c r="E118" s="11">
        <v>1498.8535010179969</v>
      </c>
      <c r="F118" s="11"/>
      <c r="G118" s="11">
        <v>73589.704090041007</v>
      </c>
      <c r="H118" s="12">
        <v>7.9678195462026369E-2</v>
      </c>
      <c r="I118" s="13">
        <v>1339</v>
      </c>
      <c r="J118" s="13">
        <v>416049</v>
      </c>
      <c r="K118" s="12">
        <v>7.7339610009580034E-2</v>
      </c>
      <c r="L118" s="14">
        <v>166.10753472222191</v>
      </c>
      <c r="M118" s="15"/>
      <c r="N118" s="16">
        <f t="shared" si="17"/>
        <v>128766.3720604508</v>
      </c>
      <c r="O118" s="17">
        <f t="shared" si="18"/>
        <v>203854.9296515098</v>
      </c>
      <c r="P118" s="18">
        <f t="shared" si="19"/>
        <v>33861839.805384271</v>
      </c>
      <c r="Q118" s="19">
        <f t="shared" si="20"/>
        <v>7.3525496959052621E-3</v>
      </c>
      <c r="R118" s="20">
        <f t="shared" si="21"/>
        <v>7.9678195462026369E-2</v>
      </c>
      <c r="S118" s="20">
        <f t="shared" si="22"/>
        <v>5.7285527292007547E-4</v>
      </c>
      <c r="T118" s="20">
        <f t="shared" si="23"/>
        <v>0</v>
      </c>
      <c r="U118" s="20">
        <f t="shared" si="24"/>
        <v>7.7912465282500107E-2</v>
      </c>
      <c r="V118" s="21">
        <f t="shared" si="25"/>
        <v>332404310.78195798</v>
      </c>
      <c r="W118" s="21" t="str">
        <f t="shared" si="26"/>
        <v/>
      </c>
      <c r="X118" s="19" t="str">
        <f t="shared" si="27"/>
        <v/>
      </c>
      <c r="Y118" s="17">
        <f t="shared" si="28"/>
        <v>749.42675050899845</v>
      </c>
      <c r="Z118" s="17">
        <f t="shared" si="29"/>
        <v>201606.64939998279</v>
      </c>
      <c r="AA118" s="20">
        <f t="shared" si="30"/>
        <v>5.9641875266430153E-2</v>
      </c>
      <c r="AB118" s="17">
        <f t="shared" si="31"/>
        <v>201606.64939998279</v>
      </c>
      <c r="AC118" s="18">
        <f t="shared" si="32"/>
        <v>33488383.515438464</v>
      </c>
      <c r="AD118" s="19">
        <f t="shared" si="33"/>
        <v>3.7035050529031373E-3</v>
      </c>
    </row>
    <row r="119" spans="1:30" x14ac:dyDescent="0.25">
      <c r="A119" s="8">
        <v>267</v>
      </c>
      <c r="B119" s="9">
        <v>44569</v>
      </c>
      <c r="C119" s="10">
        <v>3.166666666666667</v>
      </c>
      <c r="D119" s="11">
        <v>202255.29215124209</v>
      </c>
      <c r="E119" s="11">
        <v>1625.9058291959959</v>
      </c>
      <c r="F119" s="11"/>
      <c r="G119" s="11">
        <v>74044.368648257005</v>
      </c>
      <c r="H119" s="12">
        <v>7.9632679246772031E-2</v>
      </c>
      <c r="I119" s="13">
        <v>1344</v>
      </c>
      <c r="J119" s="13">
        <v>390683</v>
      </c>
      <c r="K119" s="12">
        <v>7.0653130614044629E-2</v>
      </c>
      <c r="L119" s="14">
        <v>142.0527430555552</v>
      </c>
      <c r="M119" s="15"/>
      <c r="N119" s="16">
        <f t="shared" si="17"/>
        <v>128210.92350298508</v>
      </c>
      <c r="O119" s="17">
        <f t="shared" si="18"/>
        <v>203881.1979804381</v>
      </c>
      <c r="P119" s="18">
        <f t="shared" si="19"/>
        <v>28961883.430573951</v>
      </c>
      <c r="Q119" s="19">
        <f t="shared" si="20"/>
        <v>7.9747708238991095E-3</v>
      </c>
      <c r="R119" s="20">
        <f t="shared" si="21"/>
        <v>7.9632679246772031E-2</v>
      </c>
      <c r="S119" s="20">
        <f t="shared" si="22"/>
        <v>5.6797197094066621E-4</v>
      </c>
      <c r="T119" s="20">
        <f t="shared" si="23"/>
        <v>0</v>
      </c>
      <c r="U119" s="20">
        <f t="shared" si="24"/>
        <v>7.1221102584985291E-2</v>
      </c>
      <c r="V119" s="21">
        <f t="shared" si="25"/>
        <v>330184253.61468697</v>
      </c>
      <c r="W119" s="21" t="str">
        <f t="shared" si="26"/>
        <v/>
      </c>
      <c r="X119" s="19" t="str">
        <f t="shared" si="27"/>
        <v/>
      </c>
      <c r="Y119" s="17">
        <f t="shared" si="28"/>
        <v>812.95291459799796</v>
      </c>
      <c r="Z119" s="17">
        <f t="shared" si="29"/>
        <v>201442.3392366441</v>
      </c>
      <c r="AA119" s="20">
        <f t="shared" si="30"/>
        <v>5.9562314960431434E-2</v>
      </c>
      <c r="AB119" s="17">
        <f t="shared" si="31"/>
        <v>201442.3392366441</v>
      </c>
      <c r="AC119" s="18">
        <f t="shared" si="32"/>
        <v>28615436.856092989</v>
      </c>
      <c r="AD119" s="19">
        <f t="shared" si="33"/>
        <v>4.0194395209698121E-3</v>
      </c>
    </row>
    <row r="120" spans="1:30" x14ac:dyDescent="0.25">
      <c r="A120" s="8">
        <v>268</v>
      </c>
      <c r="B120" s="9">
        <v>44572</v>
      </c>
      <c r="C120" s="10">
        <v>2.916666666666667</v>
      </c>
      <c r="D120" s="11">
        <v>202154.437530617</v>
      </c>
      <c r="E120" s="11">
        <v>1783.272458408999</v>
      </c>
      <c r="F120" s="11"/>
      <c r="G120" s="11">
        <v>73098.754305640003</v>
      </c>
      <c r="H120" s="12">
        <v>7.9752993777483225E-2</v>
      </c>
      <c r="I120" s="13">
        <v>1357</v>
      </c>
      <c r="J120" s="13">
        <v>398901</v>
      </c>
      <c r="K120" s="12">
        <v>7.6927231523301429E-2</v>
      </c>
      <c r="L120" s="14">
        <v>138.04013888888841</v>
      </c>
      <c r="M120" s="15"/>
      <c r="N120" s="16">
        <f t="shared" si="17"/>
        <v>129055.68322497699</v>
      </c>
      <c r="O120" s="17">
        <f t="shared" si="18"/>
        <v>203937.70998902599</v>
      </c>
      <c r="P120" s="18">
        <f t="shared" si="19"/>
        <v>28151589.81156699</v>
      </c>
      <c r="Q120" s="19">
        <f t="shared" si="20"/>
        <v>8.7442016412999733E-3</v>
      </c>
      <c r="R120" s="20">
        <f t="shared" si="21"/>
        <v>7.9752993777483225E-2</v>
      </c>
      <c r="S120" s="20">
        <f t="shared" si="22"/>
        <v>6.7860104854922749E-4</v>
      </c>
      <c r="T120" s="20">
        <f t="shared" si="23"/>
        <v>0</v>
      </c>
      <c r="U120" s="20">
        <f t="shared" si="24"/>
        <v>7.760583257185065E-2</v>
      </c>
      <c r="V120" s="21">
        <f t="shared" si="25"/>
        <v>329083874.7035557</v>
      </c>
      <c r="W120" s="21" t="str">
        <f t="shared" si="26"/>
        <v/>
      </c>
      <c r="X120" s="19" t="str">
        <f t="shared" si="27"/>
        <v/>
      </c>
      <c r="Y120" s="17">
        <f t="shared" si="28"/>
        <v>891.6362292044995</v>
      </c>
      <c r="Z120" s="17">
        <f t="shared" si="29"/>
        <v>201262.80130141249</v>
      </c>
      <c r="AA120" s="20">
        <f t="shared" si="30"/>
        <v>5.94828607852722E-2</v>
      </c>
      <c r="AB120" s="17">
        <f t="shared" si="31"/>
        <v>201262.80130141249</v>
      </c>
      <c r="AC120" s="18">
        <f t="shared" si="32"/>
        <v>27782345.04481373</v>
      </c>
      <c r="AD120" s="19">
        <f t="shared" si="33"/>
        <v>4.410668596228357E-3</v>
      </c>
    </row>
    <row r="121" spans="1:30" x14ac:dyDescent="0.25">
      <c r="A121" s="8">
        <v>269</v>
      </c>
      <c r="B121" s="9">
        <v>44575</v>
      </c>
      <c r="C121" s="10">
        <v>2.875</v>
      </c>
      <c r="D121" s="11">
        <v>202053.50064069481</v>
      </c>
      <c r="E121" s="11">
        <v>1763.6319604489979</v>
      </c>
      <c r="F121" s="11"/>
      <c r="G121" s="11">
        <v>73290.374822370999</v>
      </c>
      <c r="H121" s="12">
        <v>7.8673080380486135E-2</v>
      </c>
      <c r="I121" s="13">
        <v>1361</v>
      </c>
      <c r="J121" s="13">
        <v>395954</v>
      </c>
      <c r="K121" s="12">
        <v>7.7825638509762554E-2</v>
      </c>
      <c r="L121" s="14">
        <v>146.85385416666659</v>
      </c>
      <c r="M121" s="15"/>
      <c r="N121" s="16">
        <f t="shared" si="17"/>
        <v>128763.12581832381</v>
      </c>
      <c r="O121" s="17">
        <f t="shared" si="18"/>
        <v>203817.13260114379</v>
      </c>
      <c r="P121" s="18">
        <f t="shared" si="19"/>
        <v>29931331.467676517</v>
      </c>
      <c r="Q121" s="19">
        <f t="shared" si="20"/>
        <v>8.653011343753448E-3</v>
      </c>
      <c r="R121" s="20">
        <f t="shared" si="21"/>
        <v>7.8673080380486135E-2</v>
      </c>
      <c r="S121" s="20">
        <f t="shared" si="22"/>
        <v>6.7930415945747493E-4</v>
      </c>
      <c r="T121" s="20">
        <f t="shared" si="23"/>
        <v>0</v>
      </c>
      <c r="U121" s="20">
        <f t="shared" si="24"/>
        <v>7.8504942669220035E-2</v>
      </c>
      <c r="V121" s="21">
        <f t="shared" si="25"/>
        <v>329834486.52282727</v>
      </c>
      <c r="W121" s="21" t="str">
        <f t="shared" si="26"/>
        <v/>
      </c>
      <c r="X121" s="19" t="str">
        <f t="shared" si="27"/>
        <v/>
      </c>
      <c r="Y121" s="17">
        <f t="shared" si="28"/>
        <v>881.81598022449896</v>
      </c>
      <c r="Z121" s="17">
        <f t="shared" si="29"/>
        <v>201171.68466047032</v>
      </c>
      <c r="AA121" s="20">
        <f t="shared" si="30"/>
        <v>5.9403512599377394E-2</v>
      </c>
      <c r="AB121" s="17">
        <f t="shared" si="31"/>
        <v>201171.68466047032</v>
      </c>
      <c r="AC121" s="18">
        <f t="shared" si="32"/>
        <v>29542837.241591346</v>
      </c>
      <c r="AD121" s="19">
        <f t="shared" si="33"/>
        <v>4.3642697475091202E-3</v>
      </c>
    </row>
    <row r="122" spans="1:30" x14ac:dyDescent="0.25">
      <c r="A122" s="8">
        <v>270</v>
      </c>
      <c r="B122" s="9">
        <v>44578</v>
      </c>
      <c r="C122" s="10">
        <v>2.875</v>
      </c>
      <c r="D122" s="11">
        <v>201952.5513989958</v>
      </c>
      <c r="E122" s="11">
        <v>1650.5264156829969</v>
      </c>
      <c r="F122" s="11"/>
      <c r="G122" s="11">
        <v>73371.550453563003</v>
      </c>
      <c r="H122" s="12">
        <v>7.9590711828989399E-2</v>
      </c>
      <c r="I122" s="13">
        <v>1378</v>
      </c>
      <c r="J122" s="13">
        <v>395579</v>
      </c>
      <c r="K122" s="12">
        <v>7.7682291282503355E-2</v>
      </c>
      <c r="L122" s="14">
        <v>142.51989583333281</v>
      </c>
      <c r="M122" s="15"/>
      <c r="N122" s="16">
        <f t="shared" si="17"/>
        <v>128581.0009454328</v>
      </c>
      <c r="O122" s="17">
        <f t="shared" si="18"/>
        <v>203603.07781467881</v>
      </c>
      <c r="P122" s="18">
        <f t="shared" si="19"/>
        <v>29017489.441493977</v>
      </c>
      <c r="Q122" s="19">
        <f t="shared" si="20"/>
        <v>8.1065887284146043E-3</v>
      </c>
      <c r="R122" s="20">
        <f t="shared" si="21"/>
        <v>7.9590711828989399E-2</v>
      </c>
      <c r="S122" s="20">
        <f t="shared" si="22"/>
        <v>6.348851396248828E-4</v>
      </c>
      <c r="T122" s="20">
        <f t="shared" si="23"/>
        <v>0</v>
      </c>
      <c r="U122" s="20">
        <f t="shared" si="24"/>
        <v>7.8317176422128237E-2</v>
      </c>
      <c r="V122" s="21">
        <f t="shared" si="25"/>
        <v>330278035.69903487</v>
      </c>
      <c r="W122" s="21" t="str">
        <f t="shared" si="26"/>
        <v/>
      </c>
      <c r="X122" s="19" t="str">
        <f t="shared" si="27"/>
        <v/>
      </c>
      <c r="Y122" s="17">
        <f t="shared" si="28"/>
        <v>825.26320784149846</v>
      </c>
      <c r="Z122" s="17">
        <f t="shared" si="29"/>
        <v>201127.28819115431</v>
      </c>
      <c r="AA122" s="20">
        <f t="shared" si="30"/>
        <v>5.9324270261360813E-2</v>
      </c>
      <c r="AB122" s="17">
        <f t="shared" si="31"/>
        <v>201127.28819115431</v>
      </c>
      <c r="AC122" s="18">
        <f t="shared" si="32"/>
        <v>28664640.162244022</v>
      </c>
      <c r="AD122" s="19">
        <f t="shared" si="33"/>
        <v>4.0864213010660781E-3</v>
      </c>
    </row>
    <row r="123" spans="1:30" x14ac:dyDescent="0.25">
      <c r="A123" s="8">
        <v>271</v>
      </c>
      <c r="B123" s="9">
        <v>44581</v>
      </c>
      <c r="C123" s="10">
        <v>3.041666666666667</v>
      </c>
      <c r="D123" s="11">
        <v>201851.626205696</v>
      </c>
      <c r="E123" s="11">
        <v>1217.9740202319961</v>
      </c>
      <c r="F123" s="11"/>
      <c r="G123" s="11">
        <v>72227.247222834005</v>
      </c>
      <c r="H123" s="12">
        <v>7.9533084349396654E-2</v>
      </c>
      <c r="I123" s="13">
        <v>1392</v>
      </c>
      <c r="J123" s="13">
        <v>397328</v>
      </c>
      <c r="K123" s="12">
        <v>7.3546210101825604E-2</v>
      </c>
      <c r="L123" s="14">
        <v>137.69222222222231</v>
      </c>
      <c r="M123" s="15"/>
      <c r="N123" s="16">
        <f t="shared" si="17"/>
        <v>129624.37898286199</v>
      </c>
      <c r="O123" s="17">
        <f t="shared" si="18"/>
        <v>203069.60022592801</v>
      </c>
      <c r="P123" s="18">
        <f t="shared" si="19"/>
        <v>27961104.520886324</v>
      </c>
      <c r="Q123" s="19">
        <f t="shared" si="20"/>
        <v>5.9978156202450863E-3</v>
      </c>
      <c r="R123" s="20">
        <f t="shared" si="21"/>
        <v>7.9533084349396654E-2</v>
      </c>
      <c r="S123" s="20">
        <f t="shared" si="22"/>
        <v>4.4377830822756986E-4</v>
      </c>
      <c r="T123" s="20">
        <f t="shared" si="23"/>
        <v>0</v>
      </c>
      <c r="U123" s="20">
        <f t="shared" si="24"/>
        <v>7.3989988410053179E-2</v>
      </c>
      <c r="V123" s="21">
        <f t="shared" si="25"/>
        <v>329572192.17338699</v>
      </c>
      <c r="W123" s="21" t="str">
        <f t="shared" si="26"/>
        <v/>
      </c>
      <c r="X123" s="19" t="str">
        <f t="shared" si="27"/>
        <v/>
      </c>
      <c r="Y123" s="17">
        <f t="shared" si="28"/>
        <v>608.98701011599803</v>
      </c>
      <c r="Z123" s="17">
        <f t="shared" si="29"/>
        <v>201242.63919558001</v>
      </c>
      <c r="AA123" s="20">
        <f t="shared" si="30"/>
        <v>5.9245133630024864E-2</v>
      </c>
      <c r="AB123" s="17">
        <f t="shared" si="31"/>
        <v>201242.63919558001</v>
      </c>
      <c r="AC123" s="18">
        <f t="shared" si="32"/>
        <v>27709546.196704309</v>
      </c>
      <c r="AD123" s="19">
        <f t="shared" si="33"/>
        <v>3.0170032392774111E-3</v>
      </c>
    </row>
    <row r="124" spans="1:30" x14ac:dyDescent="0.25">
      <c r="A124" s="8">
        <v>272</v>
      </c>
      <c r="B124" s="9">
        <v>44584</v>
      </c>
      <c r="C124" s="10">
        <v>3.291666666666667</v>
      </c>
      <c r="D124" s="11">
        <v>201750.85142188231</v>
      </c>
      <c r="E124" s="11">
        <v>1834.938921803998</v>
      </c>
      <c r="F124" s="11"/>
      <c r="G124" s="11">
        <v>72998.142516492997</v>
      </c>
      <c r="H124" s="12">
        <v>7.9282852015137004E-2</v>
      </c>
      <c r="I124" s="13">
        <v>1408</v>
      </c>
      <c r="J124" s="13">
        <v>400423</v>
      </c>
      <c r="K124" s="12">
        <v>6.8181454772090463E-2</v>
      </c>
      <c r="L124" s="14">
        <v>98.357361111111047</v>
      </c>
      <c r="M124" s="15"/>
      <c r="N124" s="16">
        <f t="shared" si="17"/>
        <v>128752.70890538931</v>
      </c>
      <c r="O124" s="17">
        <f t="shared" si="18"/>
        <v>203585.7903436863</v>
      </c>
      <c r="P124" s="18">
        <f t="shared" si="19"/>
        <v>20024161.097924899</v>
      </c>
      <c r="Q124" s="19">
        <f t="shared" si="20"/>
        <v>9.0130991888300229E-3</v>
      </c>
      <c r="R124" s="20">
        <f t="shared" si="21"/>
        <v>7.9282852015137004E-2</v>
      </c>
      <c r="S124" s="20">
        <f t="shared" si="22"/>
        <v>6.2011537609282265E-4</v>
      </c>
      <c r="T124" s="20">
        <f t="shared" si="23"/>
        <v>0</v>
      </c>
      <c r="U124" s="20">
        <f t="shared" si="24"/>
        <v>6.8801570148183291E-2</v>
      </c>
      <c r="V124" s="21">
        <f t="shared" si="25"/>
        <v>328339768.60604042</v>
      </c>
      <c r="W124" s="21" t="str">
        <f t="shared" si="26"/>
        <v/>
      </c>
      <c r="X124" s="19" t="str">
        <f t="shared" si="27"/>
        <v/>
      </c>
      <c r="Y124" s="17">
        <f t="shared" si="28"/>
        <v>917.46946090199901</v>
      </c>
      <c r="Z124" s="17">
        <f t="shared" si="29"/>
        <v>200833.3819609803</v>
      </c>
      <c r="AA124" s="20">
        <f t="shared" si="30"/>
        <v>5.9166102564360286E-2</v>
      </c>
      <c r="AB124" s="17">
        <f t="shared" si="31"/>
        <v>200833.3819609803</v>
      </c>
      <c r="AC124" s="18">
        <f t="shared" si="32"/>
        <v>19753441.472701836</v>
      </c>
      <c r="AD124" s="19">
        <f t="shared" si="33"/>
        <v>4.547536996428697E-3</v>
      </c>
    </row>
    <row r="125" spans="1:30" x14ac:dyDescent="0.25">
      <c r="A125" s="8">
        <v>273</v>
      </c>
      <c r="B125" s="9">
        <v>44587</v>
      </c>
      <c r="C125" s="10">
        <v>2.791666666666667</v>
      </c>
      <c r="D125" s="11">
        <v>201649.81461180231</v>
      </c>
      <c r="E125" s="11">
        <v>1822.3543201689961</v>
      </c>
      <c r="F125" s="11"/>
      <c r="G125" s="11">
        <v>73073.832024604999</v>
      </c>
      <c r="H125" s="12">
        <v>7.9727858204241026E-2</v>
      </c>
      <c r="I125" s="13">
        <v>1418</v>
      </c>
      <c r="J125" s="13">
        <v>396259</v>
      </c>
      <c r="K125" s="12">
        <v>8.0935851526172553E-2</v>
      </c>
      <c r="L125" s="14">
        <v>95.935104166666676</v>
      </c>
      <c r="M125" s="15"/>
      <c r="N125" s="16">
        <f t="shared" si="17"/>
        <v>128575.98258719732</v>
      </c>
      <c r="O125" s="17">
        <f t="shared" si="18"/>
        <v>203472.1689319713</v>
      </c>
      <c r="P125" s="18">
        <f t="shared" si="19"/>
        <v>19520123.721506268</v>
      </c>
      <c r="Q125" s="19">
        <f t="shared" si="20"/>
        <v>8.9562829635844703E-3</v>
      </c>
      <c r="R125" s="20">
        <f t="shared" si="21"/>
        <v>7.9727858204241026E-2</v>
      </c>
      <c r="S125" s="20">
        <f t="shared" si="22"/>
        <v>7.3143532995167146E-4</v>
      </c>
      <c r="T125" s="20">
        <f t="shared" si="23"/>
        <v>0</v>
      </c>
      <c r="U125" s="20">
        <f t="shared" si="24"/>
        <v>8.1667286856124219E-2</v>
      </c>
      <c r="V125" s="21">
        <f t="shared" si="25"/>
        <v>325974441.86564803</v>
      </c>
      <c r="W125" s="21" t="str">
        <f t="shared" si="26"/>
        <v/>
      </c>
      <c r="X125" s="19" t="str">
        <f t="shared" si="27"/>
        <v/>
      </c>
      <c r="Y125" s="17">
        <f t="shared" si="28"/>
        <v>911.17716008449804</v>
      </c>
      <c r="Z125" s="17">
        <f t="shared" si="29"/>
        <v>200738.6374517178</v>
      </c>
      <c r="AA125" s="20">
        <f t="shared" si="30"/>
        <v>5.9087176923545946E-2</v>
      </c>
      <c r="AB125" s="17">
        <f t="shared" si="31"/>
        <v>200738.6374517178</v>
      </c>
      <c r="AC125" s="18">
        <f t="shared" si="32"/>
        <v>19257882.094205283</v>
      </c>
      <c r="AD125" s="19">
        <f t="shared" si="33"/>
        <v>4.5186114444915933E-3</v>
      </c>
    </row>
    <row r="126" spans="1:30" x14ac:dyDescent="0.25">
      <c r="A126" s="8">
        <v>274</v>
      </c>
      <c r="B126" s="9">
        <v>44590</v>
      </c>
      <c r="C126" s="10">
        <v>2.833333333333333</v>
      </c>
      <c r="D126" s="11">
        <v>201548.76328871679</v>
      </c>
      <c r="E126" s="11">
        <v>1832.8085039239961</v>
      </c>
      <c r="F126" s="11"/>
      <c r="G126" s="11">
        <v>73420.544964921995</v>
      </c>
      <c r="H126" s="12">
        <v>7.9937702645813277E-2</v>
      </c>
      <c r="I126" s="13">
        <v>1425</v>
      </c>
      <c r="J126" s="13">
        <v>400756</v>
      </c>
      <c r="K126" s="12">
        <v>7.9490963090720901E-2</v>
      </c>
      <c r="L126" s="14">
        <v>95.14128472222238</v>
      </c>
      <c r="M126" s="15"/>
      <c r="N126" s="16">
        <f t="shared" si="17"/>
        <v>128128.21832379479</v>
      </c>
      <c r="O126" s="17">
        <f t="shared" si="18"/>
        <v>203381.57179264078</v>
      </c>
      <c r="P126" s="18">
        <f t="shared" si="19"/>
        <v>19349984.029176749</v>
      </c>
      <c r="Q126" s="19">
        <f t="shared" si="20"/>
        <v>9.0116743998450849E-3</v>
      </c>
      <c r="R126" s="20">
        <f t="shared" si="21"/>
        <v>7.9937702645813277E-2</v>
      </c>
      <c r="S126" s="20">
        <f t="shared" si="22"/>
        <v>7.2286086384504224E-4</v>
      </c>
      <c r="T126" s="20">
        <f t="shared" si="23"/>
        <v>0</v>
      </c>
      <c r="U126" s="20">
        <f t="shared" si="24"/>
        <v>8.0213823954565944E-2</v>
      </c>
      <c r="V126" s="21">
        <f t="shared" si="25"/>
        <v>326854849.150388</v>
      </c>
      <c r="W126" s="21" t="str">
        <f t="shared" si="26"/>
        <v/>
      </c>
      <c r="X126" s="19" t="str">
        <f t="shared" si="27"/>
        <v/>
      </c>
      <c r="Y126" s="17">
        <f t="shared" si="28"/>
        <v>916.40425196199806</v>
      </c>
      <c r="Z126" s="17">
        <f t="shared" si="29"/>
        <v>200632.35903675479</v>
      </c>
      <c r="AA126" s="20">
        <f t="shared" si="30"/>
        <v>5.9008356566948542E-2</v>
      </c>
      <c r="AB126" s="17">
        <f t="shared" si="31"/>
        <v>200632.35903675479</v>
      </c>
      <c r="AC126" s="18">
        <f t="shared" si="32"/>
        <v>19088420.395607032</v>
      </c>
      <c r="AD126" s="19">
        <f t="shared" si="33"/>
        <v>4.5468115854884073E-3</v>
      </c>
    </row>
    <row r="127" spans="1:30" x14ac:dyDescent="0.25">
      <c r="A127" s="8">
        <v>275</v>
      </c>
      <c r="B127" s="9">
        <v>44593</v>
      </c>
      <c r="C127" s="10">
        <v>2.791666666666667</v>
      </c>
      <c r="D127" s="11">
        <v>201447.6884647673</v>
      </c>
      <c r="E127" s="11">
        <v>1783.1975998519949</v>
      </c>
      <c r="F127" s="11"/>
      <c r="G127" s="11">
        <v>72941.096121137001</v>
      </c>
      <c r="H127" s="12">
        <v>8.005425790076065E-2</v>
      </c>
      <c r="I127" s="13">
        <v>1429</v>
      </c>
      <c r="J127" s="13">
        <v>400434</v>
      </c>
      <c r="K127" s="12">
        <v>8.0791090523208847E-2</v>
      </c>
      <c r="L127" s="14">
        <v>107.2030902777777</v>
      </c>
      <c r="M127" s="15"/>
      <c r="N127" s="16">
        <f t="shared" si="17"/>
        <v>128506.5923436303</v>
      </c>
      <c r="O127" s="17">
        <f t="shared" si="18"/>
        <v>203230.88606461929</v>
      </c>
      <c r="P127" s="18">
        <f t="shared" si="19"/>
        <v>21786979.026018135</v>
      </c>
      <c r="Q127" s="19">
        <f t="shared" si="20"/>
        <v>8.7742450686605251E-3</v>
      </c>
      <c r="R127" s="20">
        <f t="shared" si="21"/>
        <v>8.005425790076065E-2</v>
      </c>
      <c r="S127" s="20">
        <f t="shared" si="22"/>
        <v>7.1515577968822488E-4</v>
      </c>
      <c r="T127" s="20">
        <f t="shared" si="23"/>
        <v>0</v>
      </c>
      <c r="U127" s="20">
        <f t="shared" si="24"/>
        <v>8.1506246302897073E-2</v>
      </c>
      <c r="V127" s="21">
        <f t="shared" si="25"/>
        <v>326231191.05220932</v>
      </c>
      <c r="W127" s="21" t="str">
        <f t="shared" si="26"/>
        <v/>
      </c>
      <c r="X127" s="19" t="str">
        <f t="shared" si="27"/>
        <v/>
      </c>
      <c r="Y127" s="17">
        <f t="shared" si="28"/>
        <v>891.59879992599747</v>
      </c>
      <c r="Z127" s="17">
        <f t="shared" si="29"/>
        <v>200556.0896648413</v>
      </c>
      <c r="AA127" s="20">
        <f t="shared" si="30"/>
        <v>5.8929641354122389E-2</v>
      </c>
      <c r="AB127" s="17">
        <f t="shared" si="31"/>
        <v>200556.0896648413</v>
      </c>
      <c r="AC127" s="18">
        <f t="shared" si="32"/>
        <v>21500232.586098064</v>
      </c>
      <c r="AD127" s="19">
        <f t="shared" si="33"/>
        <v>4.4259569654080981E-3</v>
      </c>
    </row>
    <row r="128" spans="1:30" x14ac:dyDescent="0.25">
      <c r="A128" s="8">
        <v>276</v>
      </c>
      <c r="B128" s="9">
        <v>44596</v>
      </c>
      <c r="C128" s="10">
        <v>2.833333333333333</v>
      </c>
      <c r="D128" s="11">
        <v>201346.6138775424</v>
      </c>
      <c r="E128" s="11">
        <v>1857.711206913998</v>
      </c>
      <c r="F128" s="11"/>
      <c r="G128" s="11">
        <v>73219.038484618999</v>
      </c>
      <c r="H128" s="12">
        <v>8.0028627738015903E-2</v>
      </c>
      <c r="I128" s="13">
        <v>1440</v>
      </c>
      <c r="J128" s="13">
        <v>403716</v>
      </c>
      <c r="K128" s="12">
        <v>7.9992989190932715E-2</v>
      </c>
      <c r="L128" s="14">
        <v>106.0071527777782</v>
      </c>
      <c r="M128" s="15"/>
      <c r="N128" s="16">
        <f t="shared" si="17"/>
        <v>128127.57539292341</v>
      </c>
      <c r="O128" s="17">
        <f t="shared" si="18"/>
        <v>203204.32508445639</v>
      </c>
      <c r="P128" s="18">
        <f t="shared" si="19"/>
        <v>21541111.934333276</v>
      </c>
      <c r="Q128" s="19">
        <f t="shared" si="20"/>
        <v>9.1420849735451767E-3</v>
      </c>
      <c r="R128" s="20">
        <f t="shared" si="21"/>
        <v>8.0028627738015903E-2</v>
      </c>
      <c r="S128" s="20">
        <f t="shared" si="22"/>
        <v>7.3805002047328113E-4</v>
      </c>
      <c r="T128" s="20">
        <f t="shared" si="23"/>
        <v>0</v>
      </c>
      <c r="U128" s="20">
        <f t="shared" si="24"/>
        <v>8.0731039211405994E-2</v>
      </c>
      <c r="V128" s="21">
        <f t="shared" si="25"/>
        <v>324477777.05311745</v>
      </c>
      <c r="W128" s="21" t="str">
        <f t="shared" si="26"/>
        <v/>
      </c>
      <c r="X128" s="19" t="str">
        <f t="shared" si="27"/>
        <v/>
      </c>
      <c r="Y128" s="17">
        <f t="shared" si="28"/>
        <v>928.85560345699901</v>
      </c>
      <c r="Z128" s="17">
        <f t="shared" si="29"/>
        <v>200417.75827408541</v>
      </c>
      <c r="AA128" s="20">
        <f t="shared" si="30"/>
        <v>5.8851031144809135E-2</v>
      </c>
      <c r="AB128" s="17">
        <f t="shared" si="31"/>
        <v>200417.75827408541</v>
      </c>
      <c r="AC128" s="18">
        <f t="shared" si="32"/>
        <v>21245715.920740794</v>
      </c>
      <c r="AD128" s="19">
        <f t="shared" si="33"/>
        <v>4.6132169077445842E-3</v>
      </c>
    </row>
    <row r="129" spans="1:30" x14ac:dyDescent="0.25">
      <c r="A129" s="8">
        <v>277</v>
      </c>
      <c r="B129" s="9">
        <v>44598</v>
      </c>
      <c r="C129" s="10">
        <v>2.791666666666667</v>
      </c>
      <c r="D129" s="11">
        <v>201245.49105277451</v>
      </c>
      <c r="E129" s="11">
        <v>1821.9232149419979</v>
      </c>
      <c r="F129" s="11"/>
      <c r="G129" s="11">
        <v>72756.865370468004</v>
      </c>
      <c r="H129" s="12">
        <v>7.9924981809000484E-2</v>
      </c>
      <c r="I129" s="13">
        <v>1453</v>
      </c>
      <c r="J129" s="13">
        <v>403989</v>
      </c>
      <c r="K129" s="12">
        <v>8.117020326132432E-2</v>
      </c>
      <c r="L129" s="14">
        <v>113.81750000000019</v>
      </c>
      <c r="M129" s="15"/>
      <c r="N129" s="16">
        <f t="shared" si="17"/>
        <v>128488.62568230651</v>
      </c>
      <c r="O129" s="17">
        <f t="shared" si="18"/>
        <v>203067.41426771649</v>
      </c>
      <c r="P129" s="18">
        <f t="shared" si="19"/>
        <v>23112625.423415862</v>
      </c>
      <c r="Q129" s="19">
        <f t="shared" si="20"/>
        <v>8.9720116913491708E-3</v>
      </c>
      <c r="R129" s="20">
        <f t="shared" si="21"/>
        <v>7.9924981809000484E-2</v>
      </c>
      <c r="S129" s="20">
        <f t="shared" si="22"/>
        <v>7.3485312346494231E-4</v>
      </c>
      <c r="T129" s="20">
        <f t="shared" si="23"/>
        <v>0</v>
      </c>
      <c r="U129" s="20">
        <f t="shared" si="24"/>
        <v>8.190505638478926E-2</v>
      </c>
      <c r="V129" s="21">
        <f t="shared" si="25"/>
        <v>324381582.96392906</v>
      </c>
      <c r="W129" s="21" t="str">
        <f t="shared" si="26"/>
        <v/>
      </c>
      <c r="X129" s="19" t="str">
        <f t="shared" si="27"/>
        <v/>
      </c>
      <c r="Y129" s="17">
        <f t="shared" si="28"/>
        <v>910.96160747099896</v>
      </c>
      <c r="Z129" s="17">
        <f t="shared" si="29"/>
        <v>200334.52944530352</v>
      </c>
      <c r="AA129" s="20">
        <f t="shared" si="30"/>
        <v>5.8798682604706574E-2</v>
      </c>
      <c r="AB129" s="17">
        <f t="shared" si="31"/>
        <v>200334.52944530352</v>
      </c>
      <c r="AC129" s="18">
        <f t="shared" si="32"/>
        <v>22801575.305140872</v>
      </c>
      <c r="AD129" s="19">
        <f t="shared" si="33"/>
        <v>4.5266187217685733E-3</v>
      </c>
    </row>
    <row r="130" spans="1:30" x14ac:dyDescent="0.25">
      <c r="A130" s="8">
        <v>278</v>
      </c>
      <c r="B130" s="9">
        <v>44601</v>
      </c>
      <c r="C130" s="10">
        <v>2.875</v>
      </c>
      <c r="D130" s="11">
        <v>201144.36331403939</v>
      </c>
      <c r="E130" s="11">
        <v>1788.7518897609971</v>
      </c>
      <c r="F130" s="11"/>
      <c r="G130" s="11">
        <v>72486.937343938</v>
      </c>
      <c r="H130" s="12">
        <v>7.9578620588091328E-2</v>
      </c>
      <c r="I130" s="13">
        <v>1460</v>
      </c>
      <c r="J130" s="13">
        <v>421450</v>
      </c>
      <c r="K130" s="12">
        <v>7.9225888582881862E-2</v>
      </c>
      <c r="L130" s="14">
        <v>113.4202430555559</v>
      </c>
      <c r="M130" s="15"/>
      <c r="N130" s="16">
        <f t="shared" ref="N130:N193" si="34">D130-G130</f>
        <v>128657.42597010139</v>
      </c>
      <c r="O130" s="17">
        <f t="shared" ref="O130:O193" si="35">D130+E130+F130</f>
        <v>202933.11520380038</v>
      </c>
      <c r="P130" s="18">
        <f t="shared" ref="P130:P193" si="36">O130*L130</f>
        <v>23016723.250436164</v>
      </c>
      <c r="Q130" s="19">
        <f t="shared" ref="Q130:Q193" si="37">IF(O130&gt;0,E130/O130,"")</f>
        <v>8.8144898774386859E-3</v>
      </c>
      <c r="R130" s="20">
        <f t="shared" ref="R130:R193" si="38">IF(H130&lt;&gt;"",H130,IF(D130&gt;0,G130/D130,""))</f>
        <v>7.9578620588091328E-2</v>
      </c>
      <c r="S130" s="20">
        <f t="shared" ref="S130:S193" si="39">IF(AND(K130&lt;&gt;"",D130&gt;0),E130*K130/D130,"")</f>
        <v>7.0454600658815853E-4</v>
      </c>
      <c r="T130" s="20">
        <f t="shared" ref="T130:T193" si="40">IF(AND(K130&lt;&gt;"",D130&gt;0),F130*K130/D130,"")</f>
        <v>0</v>
      </c>
      <c r="U130" s="20">
        <f t="shared" ref="U130:U193" si="41">IF(K130&lt;&gt;"",K130+S130+T130,"")</f>
        <v>7.9930434589470023E-2</v>
      </c>
      <c r="V130" s="21">
        <f t="shared" ref="V130:V193" si="42">IF(AND(K130&lt;&gt;"",K130&gt;0,C130&gt;0),D130*(365.25/C130)/K130,"")</f>
        <v>322547086.62876415</v>
      </c>
      <c r="W130" s="21" t="str">
        <f t="shared" ref="W130:W193" si="43">IF(AND(M130&lt;&gt;"",L130&gt;0),M130/L130,"")</f>
        <v/>
      </c>
      <c r="X130" s="19" t="str">
        <f t="shared" ref="X130:X193" si="44">IF(AND(V130&lt;&gt;"",W130&lt;&gt;"",W130&gt;0),V130/W130,"")</f>
        <v/>
      </c>
      <c r="Y130" s="17">
        <f t="shared" ref="Y130:Y193" si="45">IF(A130&lt;620,E130*0.5,"")</f>
        <v>894.37594488049854</v>
      </c>
      <c r="Z130" s="17">
        <f t="shared" ref="Z130:Z193" si="46">IF(Y130&lt;&gt;"",D130-Y130,"")</f>
        <v>200249.98736915889</v>
      </c>
      <c r="AA130" s="20">
        <f t="shared" ref="AA130:AA193" si="47">IF(B130&lt;&gt;"",MAX(0.08*0.85^((B130-DATE(2020,3,16))/365.25),0.015),"")</f>
        <v>5.8720247090071023E-2</v>
      </c>
      <c r="AB130" s="17">
        <f t="shared" ref="AB130:AB193" si="48">IF(Z130&lt;&gt;"",Z130,"")</f>
        <v>200249.98736915889</v>
      </c>
      <c r="AC130" s="18">
        <f t="shared" ref="AC130:AC193" si="49">IF(AB130&lt;&gt;"",AB130*L130,"")</f>
        <v>22712402.239282001</v>
      </c>
      <c r="AD130" s="19">
        <f t="shared" ref="AD130:AD193" si="50">IF(AND(Y130&lt;&gt;"",D130&gt;0),Y130/D130,"")</f>
        <v>4.4464380216518509E-3</v>
      </c>
    </row>
    <row r="131" spans="1:30" x14ac:dyDescent="0.25">
      <c r="A131" s="8">
        <v>279</v>
      </c>
      <c r="B131" s="9">
        <v>44604</v>
      </c>
      <c r="C131" s="10">
        <v>2.916666666666667</v>
      </c>
      <c r="D131" s="11">
        <v>201043.22971631761</v>
      </c>
      <c r="E131" s="11">
        <v>1809.517349878997</v>
      </c>
      <c r="F131" s="11"/>
      <c r="G131" s="11">
        <v>72498.890268657997</v>
      </c>
      <c r="H131" s="12">
        <v>7.9571825595103979E-2</v>
      </c>
      <c r="I131" s="13">
        <v>1471</v>
      </c>
      <c r="J131" s="13">
        <v>413409</v>
      </c>
      <c r="K131" s="12">
        <v>7.8022142268748318E-2</v>
      </c>
      <c r="L131" s="14">
        <v>96.292777777777658</v>
      </c>
      <c r="M131" s="15"/>
      <c r="N131" s="16">
        <f t="shared" si="34"/>
        <v>128544.33944765961</v>
      </c>
      <c r="O131" s="17">
        <f t="shared" si="35"/>
        <v>202852.74706619661</v>
      </c>
      <c r="P131" s="18">
        <f t="shared" si="36"/>
        <v>19533254.49485701</v>
      </c>
      <c r="Q131" s="19">
        <f t="shared" si="37"/>
        <v>8.9203492486522751E-3</v>
      </c>
      <c r="R131" s="20">
        <f t="shared" si="38"/>
        <v>7.9571825595103979E-2</v>
      </c>
      <c r="S131" s="20">
        <f t="shared" si="39"/>
        <v>7.0224906508537096E-4</v>
      </c>
      <c r="T131" s="20">
        <f t="shared" si="40"/>
        <v>0</v>
      </c>
      <c r="U131" s="20">
        <f t="shared" si="41"/>
        <v>7.8724391333833688E-2</v>
      </c>
      <c r="V131" s="21">
        <f t="shared" si="42"/>
        <v>322682199.18956172</v>
      </c>
      <c r="W131" s="21" t="str">
        <f t="shared" si="43"/>
        <v/>
      </c>
      <c r="X131" s="19" t="str">
        <f t="shared" si="44"/>
        <v/>
      </c>
      <c r="Y131" s="17">
        <f t="shared" si="45"/>
        <v>904.75867493949852</v>
      </c>
      <c r="Z131" s="17">
        <f t="shared" si="46"/>
        <v>200138.4710413781</v>
      </c>
      <c r="AA131" s="20">
        <f t="shared" si="47"/>
        <v>5.864191620584016E-2</v>
      </c>
      <c r="AB131" s="17">
        <f t="shared" si="48"/>
        <v>200138.4710413781</v>
      </c>
      <c r="AC131" s="18">
        <f t="shared" si="49"/>
        <v>19271889.316771612</v>
      </c>
      <c r="AD131" s="19">
        <f t="shared" si="50"/>
        <v>4.5003190419103381E-3</v>
      </c>
    </row>
    <row r="132" spans="1:30" x14ac:dyDescent="0.25">
      <c r="A132" s="8">
        <v>280</v>
      </c>
      <c r="B132" s="9">
        <v>44607</v>
      </c>
      <c r="C132" s="10">
        <v>2.875</v>
      </c>
      <c r="D132" s="11">
        <v>200942.06940098689</v>
      </c>
      <c r="E132" s="11">
        <v>1809.163604177998</v>
      </c>
      <c r="F132" s="11"/>
      <c r="G132" s="11">
        <v>72425.583270582007</v>
      </c>
      <c r="H132" s="12">
        <v>7.9602177496529578E-2</v>
      </c>
      <c r="I132" s="13">
        <v>1489</v>
      </c>
      <c r="J132" s="13">
        <v>415808</v>
      </c>
      <c r="K132" s="12">
        <v>7.8994472555372883E-2</v>
      </c>
      <c r="L132" s="14">
        <v>101.80847222222231</v>
      </c>
      <c r="M132" s="15"/>
      <c r="N132" s="16">
        <f t="shared" si="34"/>
        <v>128516.48613040488</v>
      </c>
      <c r="O132" s="17">
        <f t="shared" si="35"/>
        <v>202751.23300516489</v>
      </c>
      <c r="P132" s="18">
        <f t="shared" si="36"/>
        <v>20641793.27342765</v>
      </c>
      <c r="Q132" s="19">
        <f t="shared" si="37"/>
        <v>8.9230707866122388E-3</v>
      </c>
      <c r="R132" s="20">
        <f t="shared" si="38"/>
        <v>7.9602177496529578E-2</v>
      </c>
      <c r="S132" s="20">
        <f t="shared" si="39"/>
        <v>7.1121953259687309E-4</v>
      </c>
      <c r="T132" s="20">
        <f t="shared" si="40"/>
        <v>0</v>
      </c>
      <c r="U132" s="20">
        <f t="shared" si="41"/>
        <v>7.9705692087969751E-2</v>
      </c>
      <c r="V132" s="21">
        <f t="shared" si="42"/>
        <v>323166654.57502425</v>
      </c>
      <c r="W132" s="21" t="str">
        <f t="shared" si="43"/>
        <v/>
      </c>
      <c r="X132" s="19" t="str">
        <f t="shared" si="44"/>
        <v/>
      </c>
      <c r="Y132" s="17">
        <f t="shared" si="45"/>
        <v>904.58180208899898</v>
      </c>
      <c r="Z132" s="17">
        <f t="shared" si="46"/>
        <v>200037.48759889789</v>
      </c>
      <c r="AA132" s="20">
        <f t="shared" si="47"/>
        <v>5.8563689812440457E-2</v>
      </c>
      <c r="AB132" s="17">
        <f t="shared" si="48"/>
        <v>200037.48759889789</v>
      </c>
      <c r="AC132" s="18">
        <f t="shared" si="49"/>
        <v>20365510.999615535</v>
      </c>
      <c r="AD132" s="19">
        <f t="shared" si="50"/>
        <v>4.5017044205107421E-3</v>
      </c>
    </row>
    <row r="133" spans="1:30" x14ac:dyDescent="0.25">
      <c r="A133" s="8">
        <v>281</v>
      </c>
      <c r="B133" s="9">
        <v>44610</v>
      </c>
      <c r="C133" s="10">
        <v>2.875</v>
      </c>
      <c r="D133" s="11">
        <v>200840.8906695857</v>
      </c>
      <c r="E133" s="11">
        <v>1685.1669824519961</v>
      </c>
      <c r="F133" s="11"/>
      <c r="G133" s="11">
        <v>72667.247253502996</v>
      </c>
      <c r="H133" s="12">
        <v>7.9509955193743848E-2</v>
      </c>
      <c r="I133" s="13">
        <v>1500</v>
      </c>
      <c r="J133" s="13">
        <v>414847</v>
      </c>
      <c r="K133" s="12">
        <v>7.8561505728870565E-2</v>
      </c>
      <c r="L133" s="14">
        <v>93.231423611111069</v>
      </c>
      <c r="M133" s="15"/>
      <c r="N133" s="16">
        <f t="shared" si="34"/>
        <v>128173.6434160827</v>
      </c>
      <c r="O133" s="17">
        <f t="shared" si="35"/>
        <v>202526.05765203771</v>
      </c>
      <c r="P133" s="18">
        <f t="shared" si="36"/>
        <v>18881792.67324543</v>
      </c>
      <c r="Q133" s="19">
        <f t="shared" si="37"/>
        <v>8.3207415479705851E-3</v>
      </c>
      <c r="R133" s="20">
        <f t="shared" si="38"/>
        <v>7.9509955193743848E-2</v>
      </c>
      <c r="S133" s="20">
        <f t="shared" si="39"/>
        <v>6.5917480800165734E-4</v>
      </c>
      <c r="T133" s="20">
        <f t="shared" si="40"/>
        <v>0</v>
      </c>
      <c r="U133" s="20">
        <f t="shared" si="41"/>
        <v>7.9220680536872229E-2</v>
      </c>
      <c r="V133" s="21">
        <f t="shared" si="42"/>
        <v>324784066.83972824</v>
      </c>
      <c r="W133" s="21" t="str">
        <f t="shared" si="43"/>
        <v/>
      </c>
      <c r="X133" s="19" t="str">
        <f t="shared" si="44"/>
        <v/>
      </c>
      <c r="Y133" s="17">
        <f t="shared" si="45"/>
        <v>842.58349122599805</v>
      </c>
      <c r="Z133" s="17">
        <f t="shared" si="46"/>
        <v>199998.30717835971</v>
      </c>
      <c r="AA133" s="20">
        <f t="shared" si="47"/>
        <v>5.8485567770484574E-2</v>
      </c>
      <c r="AB133" s="17">
        <f t="shared" si="48"/>
        <v>199998.30717835971</v>
      </c>
      <c r="AC133" s="18">
        <f t="shared" si="49"/>
        <v>18646126.89805077</v>
      </c>
      <c r="AD133" s="19">
        <f t="shared" si="50"/>
        <v>4.1952786029622723E-3</v>
      </c>
    </row>
    <row r="134" spans="1:30" x14ac:dyDescent="0.25">
      <c r="A134" s="8">
        <v>282</v>
      </c>
      <c r="B134" s="9">
        <v>44613</v>
      </c>
      <c r="C134" s="10">
        <v>2.916666666666667</v>
      </c>
      <c r="D134" s="11">
        <v>200739.7418673159</v>
      </c>
      <c r="E134" s="11">
        <v>1707.4791390719961</v>
      </c>
      <c r="F134" s="11"/>
      <c r="G134" s="11">
        <v>72253.523526025005</v>
      </c>
      <c r="H134" s="12">
        <v>7.9224442000112069E-2</v>
      </c>
      <c r="I134" s="13">
        <v>1512</v>
      </c>
      <c r="J134" s="13">
        <v>417326</v>
      </c>
      <c r="K134" s="12">
        <v>7.7301042651543569E-2</v>
      </c>
      <c r="L134" s="14">
        <v>91.009409722222401</v>
      </c>
      <c r="M134" s="15"/>
      <c r="N134" s="16">
        <f t="shared" si="34"/>
        <v>128486.21834129089</v>
      </c>
      <c r="O134" s="17">
        <f t="shared" si="35"/>
        <v>202447.2210063879</v>
      </c>
      <c r="P134" s="18">
        <f t="shared" si="36"/>
        <v>18424602.083695665</v>
      </c>
      <c r="Q134" s="19">
        <f t="shared" si="37"/>
        <v>8.4341940115745979E-3</v>
      </c>
      <c r="R134" s="20">
        <f t="shared" si="38"/>
        <v>7.9224442000112069E-2</v>
      </c>
      <c r="S134" s="20">
        <f t="shared" si="39"/>
        <v>6.5751762221188557E-4</v>
      </c>
      <c r="T134" s="20">
        <f t="shared" si="40"/>
        <v>0</v>
      </c>
      <c r="U134" s="20">
        <f t="shared" si="41"/>
        <v>7.7958560273755459E-2</v>
      </c>
      <c r="V134" s="21">
        <f t="shared" si="42"/>
        <v>325200673.11772782</v>
      </c>
      <c r="W134" s="21" t="str">
        <f t="shared" si="43"/>
        <v/>
      </c>
      <c r="X134" s="19" t="str">
        <f t="shared" si="44"/>
        <v/>
      </c>
      <c r="Y134" s="17">
        <f t="shared" si="45"/>
        <v>853.73956953599804</v>
      </c>
      <c r="Z134" s="17">
        <f t="shared" si="46"/>
        <v>199886.00229777989</v>
      </c>
      <c r="AA134" s="20">
        <f t="shared" si="47"/>
        <v>5.8407549940771103E-2</v>
      </c>
      <c r="AB134" s="17">
        <f t="shared" si="48"/>
        <v>199886.00229777989</v>
      </c>
      <c r="AC134" s="18">
        <f t="shared" si="49"/>
        <v>18191507.080855738</v>
      </c>
      <c r="AD134" s="19">
        <f t="shared" si="50"/>
        <v>4.252967357606244E-3</v>
      </c>
    </row>
    <row r="135" spans="1:30" x14ac:dyDescent="0.25">
      <c r="A135" s="8">
        <v>283</v>
      </c>
      <c r="B135" s="9">
        <v>44616</v>
      </c>
      <c r="C135" s="10">
        <v>2.916666666666667</v>
      </c>
      <c r="D135" s="11">
        <v>200638.56604901061</v>
      </c>
      <c r="E135" s="11">
        <v>1719.776066100995</v>
      </c>
      <c r="F135" s="11"/>
      <c r="G135" s="11">
        <v>72344.554107285003</v>
      </c>
      <c r="H135" s="12">
        <v>7.9155386472294281E-2</v>
      </c>
      <c r="I135" s="13">
        <v>1516</v>
      </c>
      <c r="J135" s="13">
        <v>416655</v>
      </c>
      <c r="K135" s="12">
        <v>7.7017330395590028E-2</v>
      </c>
      <c r="L135" s="14">
        <v>83.70986111111111</v>
      </c>
      <c r="M135" s="15"/>
      <c r="N135" s="16">
        <f t="shared" si="34"/>
        <v>128294.01194172561</v>
      </c>
      <c r="O135" s="17">
        <f t="shared" si="35"/>
        <v>202358.34211511159</v>
      </c>
      <c r="P135" s="18">
        <f t="shared" si="36"/>
        <v>16939388.713130698</v>
      </c>
      <c r="Q135" s="19">
        <f t="shared" si="37"/>
        <v>8.4986665146856155E-3</v>
      </c>
      <c r="R135" s="20">
        <f t="shared" si="38"/>
        <v>7.9155386472294281E-2</v>
      </c>
      <c r="S135" s="20">
        <f t="shared" si="39"/>
        <v>6.6015504445428406E-4</v>
      </c>
      <c r="T135" s="20">
        <f t="shared" si="40"/>
        <v>0</v>
      </c>
      <c r="U135" s="20">
        <f t="shared" si="41"/>
        <v>7.7677485440044311E-2</v>
      </c>
      <c r="V135" s="21">
        <f t="shared" si="42"/>
        <v>326234119.91482574</v>
      </c>
      <c r="W135" s="21" t="str">
        <f t="shared" si="43"/>
        <v/>
      </c>
      <c r="X135" s="19" t="str">
        <f t="shared" si="44"/>
        <v/>
      </c>
      <c r="Y135" s="17">
        <f t="shared" si="45"/>
        <v>859.88803305049748</v>
      </c>
      <c r="Z135" s="17">
        <f t="shared" si="46"/>
        <v>199778.67801596012</v>
      </c>
      <c r="AA135" s="20">
        <f t="shared" si="47"/>
        <v>5.8329636184284328E-2</v>
      </c>
      <c r="AB135" s="17">
        <f t="shared" si="48"/>
        <v>199778.67801596012</v>
      </c>
      <c r="AC135" s="18">
        <f t="shared" si="49"/>
        <v>16723445.389677407</v>
      </c>
      <c r="AD135" s="19">
        <f t="shared" si="50"/>
        <v>4.2857564723645901E-3</v>
      </c>
    </row>
    <row r="136" spans="1:30" x14ac:dyDescent="0.25">
      <c r="A136" s="8">
        <v>284</v>
      </c>
      <c r="B136" s="9">
        <v>44619</v>
      </c>
      <c r="C136" s="10">
        <v>2.916666666666667</v>
      </c>
      <c r="D136" s="11">
        <v>200537.3673474337</v>
      </c>
      <c r="E136" s="11">
        <v>1752.294958526998</v>
      </c>
      <c r="F136" s="11"/>
      <c r="G136" s="11">
        <v>72376.125524841002</v>
      </c>
      <c r="H136" s="12">
        <v>7.9000862431560376E-2</v>
      </c>
      <c r="I136" s="13">
        <v>1522</v>
      </c>
      <c r="J136" s="13">
        <v>420040</v>
      </c>
      <c r="K136" s="12">
        <v>7.6935113691030357E-2</v>
      </c>
      <c r="L136" s="14">
        <v>88.333888888888609</v>
      </c>
      <c r="M136" s="15"/>
      <c r="N136" s="16">
        <f t="shared" si="34"/>
        <v>128161.2418225927</v>
      </c>
      <c r="O136" s="17">
        <f t="shared" si="35"/>
        <v>202289.66230596069</v>
      </c>
      <c r="P136" s="18">
        <f t="shared" si="36"/>
        <v>17869032.553505529</v>
      </c>
      <c r="Q136" s="19">
        <f t="shared" si="37"/>
        <v>8.662306014810944E-3</v>
      </c>
      <c r="R136" s="20">
        <f t="shared" si="38"/>
        <v>7.9000862431560376E-2</v>
      </c>
      <c r="S136" s="20">
        <f t="shared" si="39"/>
        <v>6.7225880960593515E-4</v>
      </c>
      <c r="T136" s="20">
        <f t="shared" si="40"/>
        <v>0</v>
      </c>
      <c r="U136" s="20">
        <f t="shared" si="41"/>
        <v>7.760737250063629E-2</v>
      </c>
      <c r="V136" s="21">
        <f t="shared" si="42"/>
        <v>326418027.16792005</v>
      </c>
      <c r="W136" s="21" t="str">
        <f t="shared" si="43"/>
        <v/>
      </c>
      <c r="X136" s="19" t="str">
        <f t="shared" si="44"/>
        <v/>
      </c>
      <c r="Y136" s="17">
        <f t="shared" si="45"/>
        <v>876.14747926349901</v>
      </c>
      <c r="Z136" s="17">
        <f t="shared" si="46"/>
        <v>199661.21986817018</v>
      </c>
      <c r="AA136" s="20">
        <f t="shared" si="47"/>
        <v>5.8251826362193983E-2</v>
      </c>
      <c r="AB136" s="17">
        <f t="shared" si="48"/>
        <v>199661.21986817018</v>
      </c>
      <c r="AC136" s="18">
        <f t="shared" si="49"/>
        <v>17636852.011254903</v>
      </c>
      <c r="AD136" s="19">
        <f t="shared" si="50"/>
        <v>4.3689986103465778E-3</v>
      </c>
    </row>
    <row r="137" spans="1:30" x14ac:dyDescent="0.25">
      <c r="A137" s="8">
        <v>285</v>
      </c>
      <c r="B137" s="9">
        <v>44622</v>
      </c>
      <c r="C137" s="10">
        <v>2.958333333333333</v>
      </c>
      <c r="D137" s="11">
        <v>200436.13798328961</v>
      </c>
      <c r="E137" s="11">
        <v>1746.8262626979961</v>
      </c>
      <c r="F137" s="11"/>
      <c r="G137" s="11">
        <v>72032.758613419006</v>
      </c>
      <c r="H137" s="12">
        <v>7.8978718008950025E-2</v>
      </c>
      <c r="I137" s="13">
        <v>1530</v>
      </c>
      <c r="J137" s="13">
        <v>417461</v>
      </c>
      <c r="K137" s="12">
        <v>7.7314166939157963E-2</v>
      </c>
      <c r="L137" s="14">
        <v>101.9590624999999</v>
      </c>
      <c r="M137" s="15"/>
      <c r="N137" s="16">
        <f t="shared" si="34"/>
        <v>128403.3793698706</v>
      </c>
      <c r="O137" s="17">
        <f t="shared" si="35"/>
        <v>202182.96424598759</v>
      </c>
      <c r="P137" s="18">
        <f t="shared" si="36"/>
        <v>20614385.487991896</v>
      </c>
      <c r="Q137" s="19">
        <f t="shared" si="37"/>
        <v>8.639829123153548E-3</v>
      </c>
      <c r="R137" s="20">
        <f t="shared" si="38"/>
        <v>7.8978718008950025E-2</v>
      </c>
      <c r="S137" s="20">
        <f t="shared" si="39"/>
        <v>6.7380273161717855E-4</v>
      </c>
      <c r="T137" s="20">
        <f t="shared" si="40"/>
        <v>0</v>
      </c>
      <c r="U137" s="20">
        <f t="shared" si="41"/>
        <v>7.7987969670775148E-2</v>
      </c>
      <c r="V137" s="21">
        <f t="shared" si="42"/>
        <v>320081123.68226498</v>
      </c>
      <c r="W137" s="21" t="str">
        <f t="shared" si="43"/>
        <v/>
      </c>
      <c r="X137" s="19" t="str">
        <f t="shared" si="44"/>
        <v/>
      </c>
      <c r="Y137" s="17">
        <f t="shared" si="45"/>
        <v>873.41313134899804</v>
      </c>
      <c r="Z137" s="17">
        <f t="shared" si="46"/>
        <v>199562.72485194061</v>
      </c>
      <c r="AA137" s="20">
        <f t="shared" si="47"/>
        <v>5.8174120335854979E-2</v>
      </c>
      <c r="AB137" s="17">
        <f t="shared" si="48"/>
        <v>199562.72485194061</v>
      </c>
      <c r="AC137" s="18">
        <f t="shared" si="49"/>
        <v>20347228.335849296</v>
      </c>
      <c r="AD137" s="19">
        <f t="shared" si="50"/>
        <v>4.3575631626958143E-3</v>
      </c>
    </row>
    <row r="138" spans="1:30" x14ac:dyDescent="0.25">
      <c r="A138" s="8">
        <v>286</v>
      </c>
      <c r="B138" s="9">
        <v>44625</v>
      </c>
      <c r="C138" s="10">
        <v>2.958333333333333</v>
      </c>
      <c r="D138" s="11">
        <v>200334.89293647921</v>
      </c>
      <c r="E138" s="11">
        <v>1772.463153562999</v>
      </c>
      <c r="F138" s="11"/>
      <c r="G138" s="11">
        <v>72936.262366591007</v>
      </c>
      <c r="H138" s="12">
        <v>7.8982627309305192E-2</v>
      </c>
      <c r="I138" s="13">
        <v>1538</v>
      </c>
      <c r="J138" s="13">
        <v>426705</v>
      </c>
      <c r="K138" s="12">
        <v>7.6066301310712112E-2</v>
      </c>
      <c r="L138" s="14">
        <v>88.829513888888712</v>
      </c>
      <c r="M138" s="15"/>
      <c r="N138" s="16">
        <f t="shared" si="34"/>
        <v>127398.63056988821</v>
      </c>
      <c r="O138" s="17">
        <f t="shared" si="35"/>
        <v>202107.35609004222</v>
      </c>
      <c r="P138" s="18">
        <f t="shared" si="36"/>
        <v>17953098.19484698</v>
      </c>
      <c r="Q138" s="19">
        <f t="shared" si="37"/>
        <v>8.7699091604233198E-3</v>
      </c>
      <c r="R138" s="20">
        <f t="shared" si="38"/>
        <v>7.8982627309305192E-2</v>
      </c>
      <c r="S138" s="20">
        <f t="shared" si="39"/>
        <v>6.7299667234607674E-4</v>
      </c>
      <c r="T138" s="20">
        <f t="shared" si="40"/>
        <v>0</v>
      </c>
      <c r="U138" s="20">
        <f t="shared" si="41"/>
        <v>7.6739297983058188E-2</v>
      </c>
      <c r="V138" s="21">
        <f t="shared" si="42"/>
        <v>325167712.98101777</v>
      </c>
      <c r="W138" s="21" t="str">
        <f t="shared" si="43"/>
        <v/>
      </c>
      <c r="X138" s="19" t="str">
        <f t="shared" si="44"/>
        <v/>
      </c>
      <c r="Y138" s="17">
        <f t="shared" si="45"/>
        <v>886.23157678149948</v>
      </c>
      <c r="Z138" s="17">
        <f t="shared" si="46"/>
        <v>199448.66135969773</v>
      </c>
      <c r="AA138" s="20">
        <f t="shared" si="47"/>
        <v>5.8096517966807204E-2</v>
      </c>
      <c r="AB138" s="17">
        <f t="shared" si="48"/>
        <v>199448.66135969773</v>
      </c>
      <c r="AC138" s="18">
        <f t="shared" si="49"/>
        <v>17716927.63437153</v>
      </c>
      <c r="AD138" s="19">
        <f t="shared" si="50"/>
        <v>4.4237504699817798E-3</v>
      </c>
    </row>
    <row r="139" spans="1:30" x14ac:dyDescent="0.25">
      <c r="A139" s="8">
        <v>287</v>
      </c>
      <c r="B139" s="9">
        <v>44628</v>
      </c>
      <c r="C139" s="10">
        <v>2.916666666666667</v>
      </c>
      <c r="D139" s="11">
        <v>200233.62022785819</v>
      </c>
      <c r="E139" s="11">
        <v>1689.0245294209969</v>
      </c>
      <c r="F139" s="11"/>
      <c r="G139" s="11">
        <v>72674.746702552002</v>
      </c>
      <c r="H139" s="12">
        <v>7.8759538034407398E-2</v>
      </c>
      <c r="I139" s="13">
        <v>1550</v>
      </c>
      <c r="J139" s="13">
        <v>421415</v>
      </c>
      <c r="K139" s="12">
        <v>7.7242866686741893E-2</v>
      </c>
      <c r="L139" s="14">
        <v>83.116909722222289</v>
      </c>
      <c r="M139" s="15"/>
      <c r="N139" s="16">
        <f t="shared" si="34"/>
        <v>127558.87352530619</v>
      </c>
      <c r="O139" s="17">
        <f t="shared" si="35"/>
        <v>201922.64475727919</v>
      </c>
      <c r="P139" s="18">
        <f t="shared" si="36"/>
        <v>16783186.235163137</v>
      </c>
      <c r="Q139" s="19">
        <f t="shared" si="37"/>
        <v>8.3647108101782552E-3</v>
      </c>
      <c r="R139" s="20">
        <f t="shared" si="38"/>
        <v>7.8759538034407398E-2</v>
      </c>
      <c r="S139" s="20">
        <f t="shared" si="39"/>
        <v>6.5156438967761134E-4</v>
      </c>
      <c r="T139" s="20">
        <f t="shared" si="40"/>
        <v>0</v>
      </c>
      <c r="U139" s="20">
        <f t="shared" si="41"/>
        <v>7.789443107641951E-2</v>
      </c>
      <c r="V139" s="21">
        <f t="shared" si="42"/>
        <v>324625059.74561012</v>
      </c>
      <c r="W139" s="21" t="str">
        <f t="shared" si="43"/>
        <v/>
      </c>
      <c r="X139" s="19" t="str">
        <f t="shared" si="44"/>
        <v/>
      </c>
      <c r="Y139" s="17">
        <f t="shared" si="45"/>
        <v>844.51226471049847</v>
      </c>
      <c r="Z139" s="17">
        <f t="shared" si="46"/>
        <v>199389.10796314769</v>
      </c>
      <c r="AA139" s="20">
        <f t="shared" si="47"/>
        <v>5.801901911677522E-2</v>
      </c>
      <c r="AB139" s="17">
        <f t="shared" si="48"/>
        <v>199389.10796314769</v>
      </c>
      <c r="AC139" s="18">
        <f t="shared" si="49"/>
        <v>16572606.486167381</v>
      </c>
      <c r="AD139" s="19">
        <f t="shared" si="50"/>
        <v>4.2176346996547123E-3</v>
      </c>
    </row>
    <row r="140" spans="1:30" x14ac:dyDescent="0.25">
      <c r="A140" s="8">
        <v>288</v>
      </c>
      <c r="B140" s="9">
        <v>44631</v>
      </c>
      <c r="C140" s="10">
        <v>3</v>
      </c>
      <c r="D140" s="11">
        <v>200132.36229806271</v>
      </c>
      <c r="E140" s="11">
        <v>1808.654741219</v>
      </c>
      <c r="F140" s="11"/>
      <c r="G140" s="11">
        <v>72569.863595363</v>
      </c>
      <c r="H140" s="12">
        <v>7.864766648800682E-2</v>
      </c>
      <c r="I140" s="13">
        <v>1553</v>
      </c>
      <c r="J140" s="13">
        <v>426310</v>
      </c>
      <c r="K140" s="12">
        <v>7.5101660528094222E-2</v>
      </c>
      <c r="L140" s="14">
        <v>81.78815972222219</v>
      </c>
      <c r="M140" s="15"/>
      <c r="N140" s="16">
        <f t="shared" si="34"/>
        <v>127562.49870269971</v>
      </c>
      <c r="O140" s="17">
        <f t="shared" si="35"/>
        <v>201941.01703928172</v>
      </c>
      <c r="P140" s="18">
        <f t="shared" si="36"/>
        <v>16516384.156076767</v>
      </c>
      <c r="Q140" s="19">
        <f t="shared" si="37"/>
        <v>8.9563515512412172E-3</v>
      </c>
      <c r="R140" s="20">
        <f t="shared" si="38"/>
        <v>7.864766648800682E-2</v>
      </c>
      <c r="S140" s="20">
        <f t="shared" si="39"/>
        <v>6.7871569009542599E-4</v>
      </c>
      <c r="T140" s="20">
        <f t="shared" si="40"/>
        <v>0</v>
      </c>
      <c r="U140" s="20">
        <f t="shared" si="41"/>
        <v>7.5780376218189643E-2</v>
      </c>
      <c r="V140" s="21">
        <f t="shared" si="42"/>
        <v>324441762.51834267</v>
      </c>
      <c r="W140" s="21" t="str">
        <f t="shared" si="43"/>
        <v/>
      </c>
      <c r="X140" s="19" t="str">
        <f t="shared" si="44"/>
        <v/>
      </c>
      <c r="Y140" s="17">
        <f t="shared" si="45"/>
        <v>904.32737060950001</v>
      </c>
      <c r="Z140" s="17">
        <f t="shared" si="46"/>
        <v>199228.03492745321</v>
      </c>
      <c r="AA140" s="20">
        <f t="shared" si="47"/>
        <v>5.7941623647668063E-2</v>
      </c>
      <c r="AB140" s="17">
        <f t="shared" si="48"/>
        <v>199228.03492745321</v>
      </c>
      <c r="AC140" s="18">
        <f t="shared" si="49"/>
        <v>16294494.341791004</v>
      </c>
      <c r="AD140" s="19">
        <f t="shared" si="50"/>
        <v>4.5186463609651496E-3</v>
      </c>
    </row>
    <row r="141" spans="1:30" x14ac:dyDescent="0.25">
      <c r="A141" s="8">
        <v>289</v>
      </c>
      <c r="B141" s="9">
        <v>44634</v>
      </c>
      <c r="C141" s="10">
        <v>2.875</v>
      </c>
      <c r="D141" s="11">
        <v>200031.04061361961</v>
      </c>
      <c r="E141" s="11">
        <v>1790.128611644999</v>
      </c>
      <c r="F141" s="11"/>
      <c r="G141" s="11">
        <v>72592.621419118004</v>
      </c>
      <c r="H141" s="12">
        <v>7.8781572774441117E-2</v>
      </c>
      <c r="I141" s="13">
        <v>1563</v>
      </c>
      <c r="J141" s="13">
        <v>424627</v>
      </c>
      <c r="K141" s="12">
        <v>7.84168031191462E-2</v>
      </c>
      <c r="L141" s="14">
        <v>80.250347222222246</v>
      </c>
      <c r="M141" s="15"/>
      <c r="N141" s="16">
        <f t="shared" si="34"/>
        <v>127438.41919450161</v>
      </c>
      <c r="O141" s="17">
        <f t="shared" si="35"/>
        <v>201821.1692252646</v>
      </c>
      <c r="P141" s="18">
        <f t="shared" si="36"/>
        <v>16196218.907122359</v>
      </c>
      <c r="Q141" s="19">
        <f t="shared" si="37"/>
        <v>8.8698753382353557E-3</v>
      </c>
      <c r="R141" s="20">
        <f t="shared" si="38"/>
        <v>7.8781572774441117E-2</v>
      </c>
      <c r="S141" s="20">
        <f t="shared" si="39"/>
        <v>7.0177189733501067E-4</v>
      </c>
      <c r="T141" s="20">
        <f t="shared" si="40"/>
        <v>0</v>
      </c>
      <c r="U141" s="20">
        <f t="shared" si="41"/>
        <v>7.9118575016481216E-2</v>
      </c>
      <c r="V141" s="21">
        <f t="shared" si="42"/>
        <v>324071348.85470438</v>
      </c>
      <c r="W141" s="21" t="str">
        <f t="shared" si="43"/>
        <v/>
      </c>
      <c r="X141" s="19" t="str">
        <f t="shared" si="44"/>
        <v/>
      </c>
      <c r="Y141" s="17">
        <f t="shared" si="45"/>
        <v>895.06430582249948</v>
      </c>
      <c r="Z141" s="17">
        <f t="shared" si="46"/>
        <v>199135.9763077971</v>
      </c>
      <c r="AA141" s="20">
        <f t="shared" si="47"/>
        <v>5.7864331421578957E-2</v>
      </c>
      <c r="AB141" s="17">
        <f t="shared" si="48"/>
        <v>199135.9763077971</v>
      </c>
      <c r="AC141" s="18">
        <f t="shared" si="49"/>
        <v>15980731.243136941</v>
      </c>
      <c r="AD141" s="19">
        <f t="shared" si="50"/>
        <v>4.4746270532652361E-3</v>
      </c>
    </row>
    <row r="142" spans="1:30" x14ac:dyDescent="0.25">
      <c r="A142" s="8">
        <v>290</v>
      </c>
      <c r="B142" s="9">
        <v>44637</v>
      </c>
      <c r="C142" s="10">
        <v>2.833333333333333</v>
      </c>
      <c r="D142" s="11">
        <v>199929.70887341321</v>
      </c>
      <c r="E142" s="11">
        <v>1845.431178823</v>
      </c>
      <c r="F142" s="11"/>
      <c r="G142" s="11">
        <v>72436.586449078997</v>
      </c>
      <c r="H142" s="12">
        <v>7.8900155782935147E-2</v>
      </c>
      <c r="I142" s="13">
        <v>1583</v>
      </c>
      <c r="J142" s="13">
        <v>427415</v>
      </c>
      <c r="K142" s="12">
        <v>7.9446348263908312E-2</v>
      </c>
      <c r="L142" s="14">
        <v>88.543645833333386</v>
      </c>
      <c r="M142" s="15"/>
      <c r="N142" s="16">
        <f t="shared" si="34"/>
        <v>127493.12242433421</v>
      </c>
      <c r="O142" s="17">
        <f t="shared" si="35"/>
        <v>201775.14005223621</v>
      </c>
      <c r="P142" s="18">
        <f t="shared" si="36"/>
        <v>17865906.538756445</v>
      </c>
      <c r="Q142" s="19">
        <f t="shared" si="37"/>
        <v>9.145978926567707E-3</v>
      </c>
      <c r="R142" s="20">
        <f t="shared" si="38"/>
        <v>7.8900155782935147E-2</v>
      </c>
      <c r="S142" s="20">
        <f t="shared" si="39"/>
        <v>7.3332157064599009E-4</v>
      </c>
      <c r="T142" s="20">
        <f t="shared" si="40"/>
        <v>0</v>
      </c>
      <c r="U142" s="20">
        <f t="shared" si="41"/>
        <v>8.0179669834554296E-2</v>
      </c>
      <c r="V142" s="21">
        <f t="shared" si="42"/>
        <v>324411280.70972091</v>
      </c>
      <c r="W142" s="21" t="str">
        <f t="shared" si="43"/>
        <v/>
      </c>
      <c r="X142" s="19" t="str">
        <f t="shared" si="44"/>
        <v/>
      </c>
      <c r="Y142" s="17">
        <f t="shared" si="45"/>
        <v>922.71558941149999</v>
      </c>
      <c r="Z142" s="17">
        <f t="shared" si="46"/>
        <v>199006.99328400171</v>
      </c>
      <c r="AA142" s="20">
        <f t="shared" si="47"/>
        <v>5.7787142300785112E-2</v>
      </c>
      <c r="AB142" s="17">
        <f t="shared" si="48"/>
        <v>199006.99328400171</v>
      </c>
      <c r="AC142" s="18">
        <f t="shared" si="49"/>
        <v>17620804.731695205</v>
      </c>
      <c r="AD142" s="19">
        <f t="shared" si="50"/>
        <v>4.6151999850893759E-3</v>
      </c>
    </row>
    <row r="143" spans="1:30" x14ac:dyDescent="0.25">
      <c r="A143" s="8">
        <v>291</v>
      </c>
      <c r="B143" s="9">
        <v>44639</v>
      </c>
      <c r="C143" s="10">
        <v>2.75</v>
      </c>
      <c r="D143" s="11">
        <v>199828.33862057119</v>
      </c>
      <c r="E143" s="11">
        <v>1810.8630483870011</v>
      </c>
      <c r="F143" s="11"/>
      <c r="G143" s="11">
        <v>72010.761800309003</v>
      </c>
      <c r="H143" s="12">
        <v>7.905116250600297E-2</v>
      </c>
      <c r="I143" s="13">
        <v>1576</v>
      </c>
      <c r="J143" s="13">
        <v>425792</v>
      </c>
      <c r="K143" s="12">
        <v>8.1775839673892139E-2</v>
      </c>
      <c r="L143" s="14">
        <v>91.348506944444665</v>
      </c>
      <c r="M143" s="15"/>
      <c r="N143" s="16">
        <f t="shared" si="34"/>
        <v>127817.57682026218</v>
      </c>
      <c r="O143" s="17">
        <f t="shared" si="35"/>
        <v>201639.20166895818</v>
      </c>
      <c r="P143" s="18">
        <f t="shared" si="36"/>
        <v>18419440.013929106</v>
      </c>
      <c r="Q143" s="19">
        <f t="shared" si="37"/>
        <v>8.9807092737849235E-3</v>
      </c>
      <c r="R143" s="20">
        <f t="shared" si="38"/>
        <v>7.905116250600297E-2</v>
      </c>
      <c r="S143" s="20">
        <f t="shared" si="39"/>
        <v>7.4106028873837868E-4</v>
      </c>
      <c r="T143" s="20">
        <f t="shared" si="40"/>
        <v>0</v>
      </c>
      <c r="U143" s="20">
        <f t="shared" si="41"/>
        <v>8.2516899962630522E-2</v>
      </c>
      <c r="V143" s="21">
        <f t="shared" si="42"/>
        <v>324555965.63939273</v>
      </c>
      <c r="W143" s="21" t="str">
        <f t="shared" si="43"/>
        <v/>
      </c>
      <c r="X143" s="19" t="str">
        <f t="shared" si="44"/>
        <v/>
      </c>
      <c r="Y143" s="17">
        <f t="shared" si="45"/>
        <v>905.43152419350054</v>
      </c>
      <c r="Z143" s="17">
        <f t="shared" si="46"/>
        <v>198922.90709637769</v>
      </c>
      <c r="AA143" s="20">
        <f t="shared" si="47"/>
        <v>5.7735740099714043E-2</v>
      </c>
      <c r="AB143" s="17">
        <f t="shared" si="48"/>
        <v>198922.90709637769</v>
      </c>
      <c r="AC143" s="18">
        <f t="shared" si="49"/>
        <v>18171310.560302578</v>
      </c>
      <c r="AD143" s="19">
        <f t="shared" si="50"/>
        <v>4.5310466495580995E-3</v>
      </c>
    </row>
    <row r="144" spans="1:30" x14ac:dyDescent="0.25">
      <c r="A144" s="8">
        <v>292</v>
      </c>
      <c r="B144" s="9">
        <v>44642</v>
      </c>
      <c r="C144" s="10">
        <v>2.791666666666667</v>
      </c>
      <c r="D144" s="11">
        <v>199726.96478886591</v>
      </c>
      <c r="E144" s="11">
        <v>1807.4770138289989</v>
      </c>
      <c r="F144" s="11"/>
      <c r="G144" s="11">
        <v>72710.465008329003</v>
      </c>
      <c r="H144" s="12">
        <v>7.8914586835751074E-2</v>
      </c>
      <c r="I144" s="13">
        <v>1590</v>
      </c>
      <c r="J144" s="13">
        <v>429806</v>
      </c>
      <c r="K144" s="12">
        <v>8.036834527441003E-2</v>
      </c>
      <c r="L144" s="14">
        <v>91.424027777777695</v>
      </c>
      <c r="M144" s="15"/>
      <c r="N144" s="16">
        <f t="shared" si="34"/>
        <v>127016.49978053691</v>
      </c>
      <c r="O144" s="17">
        <f t="shared" si="35"/>
        <v>201534.4418026949</v>
      </c>
      <c r="P144" s="18">
        <f t="shared" si="36"/>
        <v>18425090.405548502</v>
      </c>
      <c r="Q144" s="19">
        <f t="shared" si="37"/>
        <v>8.9685762773915583E-3</v>
      </c>
      <c r="R144" s="20">
        <f t="shared" si="38"/>
        <v>7.8914586835751074E-2</v>
      </c>
      <c r="S144" s="20">
        <f t="shared" si="39"/>
        <v>7.273125933522749E-4</v>
      </c>
      <c r="T144" s="20">
        <f t="shared" si="40"/>
        <v>0</v>
      </c>
      <c r="U144" s="20">
        <f t="shared" si="41"/>
        <v>8.1095657867762308E-2</v>
      </c>
      <c r="V144" s="21">
        <f t="shared" si="42"/>
        <v>325145942.77011746</v>
      </c>
      <c r="W144" s="21" t="str">
        <f t="shared" si="43"/>
        <v/>
      </c>
      <c r="X144" s="19" t="str">
        <f t="shared" si="44"/>
        <v/>
      </c>
      <c r="Y144" s="17">
        <f t="shared" si="45"/>
        <v>903.73850691449945</v>
      </c>
      <c r="Z144" s="17">
        <f t="shared" si="46"/>
        <v>198823.22628195141</v>
      </c>
      <c r="AA144" s="20">
        <f t="shared" si="47"/>
        <v>5.7658722515527165E-2</v>
      </c>
      <c r="AB144" s="17">
        <f t="shared" si="48"/>
        <v>198823.22628195141</v>
      </c>
      <c r="AC144" s="18">
        <f t="shared" si="49"/>
        <v>18177220.162468508</v>
      </c>
      <c r="AD144" s="19">
        <f t="shared" si="50"/>
        <v>4.524869778449063E-3</v>
      </c>
    </row>
    <row r="145" spans="1:30" x14ac:dyDescent="0.25">
      <c r="A145" s="8">
        <v>293</v>
      </c>
      <c r="B145" s="9">
        <v>44645</v>
      </c>
      <c r="C145" s="10">
        <v>2.75</v>
      </c>
      <c r="D145" s="11">
        <v>199625.5753867107</v>
      </c>
      <c r="E145" s="11">
        <v>1773.855427813</v>
      </c>
      <c r="F145" s="11"/>
      <c r="G145" s="11">
        <v>72214.838319368995</v>
      </c>
      <c r="H145" s="12">
        <v>7.8878694860602977E-2</v>
      </c>
      <c r="I145" s="13">
        <v>1597</v>
      </c>
      <c r="J145" s="13">
        <v>430666</v>
      </c>
      <c r="K145" s="12">
        <v>8.125940987962775E-2</v>
      </c>
      <c r="L145" s="14">
        <v>101.5989236111112</v>
      </c>
      <c r="M145" s="15"/>
      <c r="N145" s="16">
        <f t="shared" si="34"/>
        <v>127410.7370673417</v>
      </c>
      <c r="O145" s="17">
        <f t="shared" si="35"/>
        <v>201399.43081452369</v>
      </c>
      <c r="P145" s="18">
        <f t="shared" si="36"/>
        <v>20461965.38664607</v>
      </c>
      <c r="Q145" s="19">
        <f t="shared" si="37"/>
        <v>8.8076486643430991E-3</v>
      </c>
      <c r="R145" s="20">
        <f t="shared" si="38"/>
        <v>7.8878694860602977E-2</v>
      </c>
      <c r="S145" s="20">
        <f t="shared" si="39"/>
        <v>7.2206401908487487E-4</v>
      </c>
      <c r="T145" s="20">
        <f t="shared" si="40"/>
        <v>0</v>
      </c>
      <c r="U145" s="20">
        <f t="shared" si="41"/>
        <v>8.1981473898712631E-2</v>
      </c>
      <c r="V145" s="21">
        <f t="shared" si="42"/>
        <v>326287207.92517722</v>
      </c>
      <c r="W145" s="21" t="str">
        <f t="shared" si="43"/>
        <v/>
      </c>
      <c r="X145" s="19" t="str">
        <f t="shared" si="44"/>
        <v/>
      </c>
      <c r="Y145" s="17">
        <f t="shared" si="45"/>
        <v>886.9277139065</v>
      </c>
      <c r="Z145" s="17">
        <f t="shared" si="46"/>
        <v>198738.64767280419</v>
      </c>
      <c r="AA145" s="20">
        <f t="shared" si="47"/>
        <v>5.7581807670272246E-2</v>
      </c>
      <c r="AB145" s="17">
        <f t="shared" si="48"/>
        <v>198738.64767280419</v>
      </c>
      <c r="AC145" s="18">
        <f t="shared" si="49"/>
        <v>20191632.683484778</v>
      </c>
      <c r="AD145" s="19">
        <f t="shared" si="50"/>
        <v>4.4429563305621598E-3</v>
      </c>
    </row>
    <row r="146" spans="1:30" x14ac:dyDescent="0.25">
      <c r="A146" s="8">
        <v>294</v>
      </c>
      <c r="B146" s="9">
        <v>44648</v>
      </c>
      <c r="C146" s="10">
        <v>2.708333333333333</v>
      </c>
      <c r="D146" s="11">
        <v>199524.18226970721</v>
      </c>
      <c r="E146" s="11">
        <v>1850.4660500040011</v>
      </c>
      <c r="F146" s="11"/>
      <c r="G146" s="11">
        <v>72582.564701814001</v>
      </c>
      <c r="H146" s="12">
        <v>7.855404956703238E-2</v>
      </c>
      <c r="I146" s="13">
        <v>1605</v>
      </c>
      <c r="J146" s="13">
        <v>433622</v>
      </c>
      <c r="K146" s="12">
        <v>8.2313239471783831E-2</v>
      </c>
      <c r="L146" s="14">
        <v>109.38187499999989</v>
      </c>
      <c r="M146" s="15"/>
      <c r="N146" s="16">
        <f t="shared" si="34"/>
        <v>126941.6175678932</v>
      </c>
      <c r="O146" s="17">
        <f t="shared" si="35"/>
        <v>201374.64831971121</v>
      </c>
      <c r="P146" s="18">
        <f t="shared" si="36"/>
        <v>22026736.610675592</v>
      </c>
      <c r="Q146" s="19">
        <f t="shared" si="37"/>
        <v>9.1891708586183118E-3</v>
      </c>
      <c r="R146" s="20">
        <f t="shared" si="38"/>
        <v>7.855404956703238E-2</v>
      </c>
      <c r="S146" s="20">
        <f t="shared" si="39"/>
        <v>7.634054848674398E-4</v>
      </c>
      <c r="T146" s="20">
        <f t="shared" si="40"/>
        <v>0</v>
      </c>
      <c r="U146" s="20">
        <f t="shared" si="41"/>
        <v>8.3076644956651277E-2</v>
      </c>
      <c r="V146" s="21">
        <f t="shared" si="42"/>
        <v>326899273.48075008</v>
      </c>
      <c r="W146" s="21" t="str">
        <f t="shared" si="43"/>
        <v/>
      </c>
      <c r="X146" s="19" t="str">
        <f t="shared" si="44"/>
        <v/>
      </c>
      <c r="Y146" s="17">
        <f t="shared" si="45"/>
        <v>925.23302500200055</v>
      </c>
      <c r="Z146" s="17">
        <f t="shared" si="46"/>
        <v>198598.9492447052</v>
      </c>
      <c r="AA146" s="20">
        <f t="shared" si="47"/>
        <v>5.7504995426898929E-2</v>
      </c>
      <c r="AB146" s="17">
        <f t="shared" si="48"/>
        <v>198598.9492447052</v>
      </c>
      <c r="AC146" s="18">
        <f t="shared" si="49"/>
        <v>21723125.441415668</v>
      </c>
      <c r="AD146" s="19">
        <f t="shared" si="50"/>
        <v>4.6371974287874292E-3</v>
      </c>
    </row>
    <row r="147" spans="1:30" x14ac:dyDescent="0.25">
      <c r="A147" s="8">
        <v>295</v>
      </c>
      <c r="B147" s="9">
        <v>44650</v>
      </c>
      <c r="C147" s="10">
        <v>2.708333333333333</v>
      </c>
      <c r="D147" s="11">
        <v>199422.7430764226</v>
      </c>
      <c r="E147" s="11">
        <v>1717.3438932519989</v>
      </c>
      <c r="F147" s="11"/>
      <c r="G147" s="11">
        <v>73250.159056044999</v>
      </c>
      <c r="H147" s="12">
        <v>7.8571239236720866E-2</v>
      </c>
      <c r="I147" s="13">
        <v>1609</v>
      </c>
      <c r="J147" s="13">
        <v>429931</v>
      </c>
      <c r="K147" s="12">
        <v>8.2129985371765177E-2</v>
      </c>
      <c r="L147" s="14">
        <v>115.3830208333333</v>
      </c>
      <c r="M147" s="15"/>
      <c r="N147" s="16">
        <f t="shared" si="34"/>
        <v>126172.5840203776</v>
      </c>
      <c r="O147" s="17">
        <f t="shared" si="35"/>
        <v>201140.08696967459</v>
      </c>
      <c r="P147" s="18">
        <f t="shared" si="36"/>
        <v>23208150.845240436</v>
      </c>
      <c r="Q147" s="19">
        <f t="shared" si="37"/>
        <v>8.5380488749163107E-3</v>
      </c>
      <c r="R147" s="20">
        <f t="shared" si="38"/>
        <v>7.8571239236720866E-2</v>
      </c>
      <c r="S147" s="20">
        <f t="shared" si="39"/>
        <v>7.0726852241233902E-4</v>
      </c>
      <c r="T147" s="20">
        <f t="shared" si="40"/>
        <v>0</v>
      </c>
      <c r="U147" s="20">
        <f t="shared" si="41"/>
        <v>8.2837253894177509E-2</v>
      </c>
      <c r="V147" s="21">
        <f t="shared" si="42"/>
        <v>327462105.51198161</v>
      </c>
      <c r="W147" s="21" t="str">
        <f t="shared" si="43"/>
        <v/>
      </c>
      <c r="X147" s="19" t="str">
        <f t="shared" si="44"/>
        <v/>
      </c>
      <c r="Y147" s="17">
        <f t="shared" si="45"/>
        <v>858.67194662599945</v>
      </c>
      <c r="Z147" s="17">
        <f t="shared" si="46"/>
        <v>198564.07112979659</v>
      </c>
      <c r="AA147" s="20">
        <f t="shared" si="47"/>
        <v>5.7453844198098951E-2</v>
      </c>
      <c r="AB147" s="17">
        <f t="shared" si="48"/>
        <v>198564.07112979659</v>
      </c>
      <c r="AC147" s="18">
        <f t="shared" si="49"/>
        <v>22910922.355920795</v>
      </c>
      <c r="AD147" s="19">
        <f t="shared" si="50"/>
        <v>4.3057874612472862E-3</v>
      </c>
    </row>
    <row r="148" spans="1:30" x14ac:dyDescent="0.25">
      <c r="A148" s="8">
        <v>296</v>
      </c>
      <c r="B148" s="9">
        <v>44653</v>
      </c>
      <c r="C148" s="10">
        <v>2.75</v>
      </c>
      <c r="D148" s="11">
        <v>199321.3386859021</v>
      </c>
      <c r="E148" s="11">
        <v>1475.073171572998</v>
      </c>
      <c r="F148" s="11"/>
      <c r="G148" s="11">
        <v>74212.912167899005</v>
      </c>
      <c r="H148" s="12">
        <v>7.8724187538837628E-2</v>
      </c>
      <c r="I148" s="13">
        <v>1617</v>
      </c>
      <c r="J148" s="13">
        <v>434435</v>
      </c>
      <c r="K148" s="12">
        <v>8.0840501251342206E-2</v>
      </c>
      <c r="L148" s="14">
        <v>136.65065972222251</v>
      </c>
      <c r="M148" s="15"/>
      <c r="N148" s="16">
        <f t="shared" si="34"/>
        <v>125108.42651800309</v>
      </c>
      <c r="O148" s="17">
        <f t="shared" si="35"/>
        <v>200796.41185747509</v>
      </c>
      <c r="P148" s="18">
        <f t="shared" si="36"/>
        <v>27438962.150179073</v>
      </c>
      <c r="Q148" s="19">
        <f t="shared" si="37"/>
        <v>7.3461131995725213E-3</v>
      </c>
      <c r="R148" s="20">
        <f t="shared" si="38"/>
        <v>7.8724187538837628E-2</v>
      </c>
      <c r="S148" s="20">
        <f t="shared" si="39"/>
        <v>5.982583468410272E-4</v>
      </c>
      <c r="T148" s="20">
        <f t="shared" si="40"/>
        <v>0</v>
      </c>
      <c r="U148" s="20">
        <f t="shared" si="41"/>
        <v>8.1438759598183239E-2</v>
      </c>
      <c r="V148" s="21">
        <f t="shared" si="42"/>
        <v>327478150.08616114</v>
      </c>
      <c r="W148" s="21" t="str">
        <f t="shared" si="43"/>
        <v/>
      </c>
      <c r="X148" s="19" t="str">
        <f t="shared" si="44"/>
        <v/>
      </c>
      <c r="Y148" s="17">
        <f t="shared" si="45"/>
        <v>737.53658578649902</v>
      </c>
      <c r="Z148" s="17">
        <f t="shared" si="46"/>
        <v>198583.8021001156</v>
      </c>
      <c r="AA148" s="20">
        <f t="shared" si="47"/>
        <v>5.7377202653801695E-2</v>
      </c>
      <c r="AB148" s="17">
        <f t="shared" si="48"/>
        <v>198583.8021001156</v>
      </c>
      <c r="AC148" s="18">
        <f t="shared" si="49"/>
        <v>27136607.567128073</v>
      </c>
      <c r="AD148" s="19">
        <f t="shared" si="50"/>
        <v>3.7002389741558795E-3</v>
      </c>
    </row>
    <row r="149" spans="1:30" x14ac:dyDescent="0.25">
      <c r="A149" s="8">
        <v>297</v>
      </c>
      <c r="B149" s="9">
        <v>44656</v>
      </c>
      <c r="C149" s="10">
        <v>2.75</v>
      </c>
      <c r="D149" s="11">
        <v>199220.01094814381</v>
      </c>
      <c r="E149" s="11">
        <v>1297.467526321996</v>
      </c>
      <c r="F149" s="11"/>
      <c r="G149" s="11">
        <v>74422.656847022998</v>
      </c>
      <c r="H149" s="12">
        <v>7.8397726707910662E-2</v>
      </c>
      <c r="I149" s="13">
        <v>1629</v>
      </c>
      <c r="J149" s="13">
        <v>431556</v>
      </c>
      <c r="K149" s="12">
        <v>8.0732004082150713E-2</v>
      </c>
      <c r="L149" s="14">
        <v>131.9769791666665</v>
      </c>
      <c r="M149" s="15"/>
      <c r="N149" s="16">
        <f t="shared" si="34"/>
        <v>124797.35410112081</v>
      </c>
      <c r="O149" s="17">
        <f t="shared" si="35"/>
        <v>200517.47847446581</v>
      </c>
      <c r="P149" s="18">
        <f t="shared" si="36"/>
        <v>26463691.07917707</v>
      </c>
      <c r="Q149" s="19">
        <f t="shared" si="37"/>
        <v>6.470595661750342E-3</v>
      </c>
      <c r="R149" s="20">
        <f t="shared" si="38"/>
        <v>7.8397726707910662E-2</v>
      </c>
      <c r="S149" s="20">
        <f t="shared" si="39"/>
        <v>5.2578630596878469E-4</v>
      </c>
      <c r="T149" s="20">
        <f t="shared" si="40"/>
        <v>0</v>
      </c>
      <c r="U149" s="20">
        <f t="shared" si="41"/>
        <v>8.1257790388119491E-2</v>
      </c>
      <c r="V149" s="21">
        <f t="shared" si="42"/>
        <v>327751552.02397442</v>
      </c>
      <c r="W149" s="21" t="str">
        <f t="shared" si="43"/>
        <v/>
      </c>
      <c r="X149" s="19" t="str">
        <f t="shared" si="44"/>
        <v/>
      </c>
      <c r="Y149" s="17">
        <f t="shared" si="45"/>
        <v>648.73376316099802</v>
      </c>
      <c r="Z149" s="17">
        <f t="shared" si="46"/>
        <v>198571.27718498281</v>
      </c>
      <c r="AA149" s="20">
        <f t="shared" si="47"/>
        <v>5.7300663346811533E-2</v>
      </c>
      <c r="AB149" s="17">
        <f t="shared" si="48"/>
        <v>198571.27718498281</v>
      </c>
      <c r="AC149" s="18">
        <f t="shared" si="49"/>
        <v>26206837.312140834</v>
      </c>
      <c r="AD149" s="19">
        <f t="shared" si="50"/>
        <v>3.2563684745999782E-3</v>
      </c>
    </row>
    <row r="150" spans="1:30" x14ac:dyDescent="0.25">
      <c r="A150" s="8">
        <v>298</v>
      </c>
      <c r="B150" s="9">
        <v>44659</v>
      </c>
      <c r="C150" s="10">
        <v>2.833333333333333</v>
      </c>
      <c r="D150" s="11">
        <v>199118.73508267719</v>
      </c>
      <c r="E150" s="11">
        <v>1142.8631728889929</v>
      </c>
      <c r="F150" s="11"/>
      <c r="G150" s="11">
        <v>72899.760955313002</v>
      </c>
      <c r="H150" s="12">
        <v>7.8539555292599206E-2</v>
      </c>
      <c r="I150" s="13">
        <v>1639</v>
      </c>
      <c r="J150" s="13">
        <v>433849</v>
      </c>
      <c r="K150" s="12">
        <v>7.8751013594998059E-2</v>
      </c>
      <c r="L150" s="14">
        <v>117.12493055555539</v>
      </c>
      <c r="M150" s="15"/>
      <c r="N150" s="16">
        <f t="shared" si="34"/>
        <v>126218.97412736418</v>
      </c>
      <c r="O150" s="17">
        <f t="shared" si="35"/>
        <v>200261.59825556618</v>
      </c>
      <c r="P150" s="18">
        <f t="shared" si="36"/>
        <v>23455625.788627721</v>
      </c>
      <c r="Q150" s="19">
        <f t="shared" si="37"/>
        <v>5.706851352651819E-3</v>
      </c>
      <c r="R150" s="20">
        <f t="shared" si="38"/>
        <v>7.8539555292599206E-2</v>
      </c>
      <c r="S150" s="20">
        <f t="shared" si="39"/>
        <v>4.5199982426582624E-4</v>
      </c>
      <c r="T150" s="20">
        <f t="shared" si="40"/>
        <v>0</v>
      </c>
      <c r="U150" s="20">
        <f t="shared" si="41"/>
        <v>7.920301341926389E-2</v>
      </c>
      <c r="V150" s="21">
        <f t="shared" si="42"/>
        <v>325948154.23609203</v>
      </c>
      <c r="W150" s="21" t="str">
        <f t="shared" si="43"/>
        <v/>
      </c>
      <c r="X150" s="19" t="str">
        <f t="shared" si="44"/>
        <v/>
      </c>
      <c r="Y150" s="17">
        <f t="shared" si="45"/>
        <v>571.43158644449647</v>
      </c>
      <c r="Z150" s="17">
        <f t="shared" si="46"/>
        <v>198547.30349623269</v>
      </c>
      <c r="AA150" s="20">
        <f t="shared" si="47"/>
        <v>5.7224226140747216E-2</v>
      </c>
      <c r="AB150" s="17">
        <f t="shared" si="48"/>
        <v>198547.30349623269</v>
      </c>
      <c r="AC150" s="18">
        <f t="shared" si="49"/>
        <v>23254839.133989036</v>
      </c>
      <c r="AD150" s="19">
        <f t="shared" si="50"/>
        <v>2.8698032166949495E-3</v>
      </c>
    </row>
    <row r="151" spans="1:30" x14ac:dyDescent="0.25">
      <c r="A151" s="8">
        <v>299</v>
      </c>
      <c r="B151" s="9">
        <v>44661</v>
      </c>
      <c r="C151" s="10">
        <v>2.75</v>
      </c>
      <c r="D151" s="11">
        <v>199017.5021494533</v>
      </c>
      <c r="E151" s="11">
        <v>1518.5889980389979</v>
      </c>
      <c r="F151" s="11"/>
      <c r="G151" s="11">
        <v>72710.333555246005</v>
      </c>
      <c r="H151" s="12">
        <v>7.8123165472997261E-2</v>
      </c>
      <c r="I151" s="13">
        <v>1651</v>
      </c>
      <c r="J151" s="13">
        <v>433289</v>
      </c>
      <c r="K151" s="12">
        <v>8.1054952387482504E-2</v>
      </c>
      <c r="L151" s="14">
        <v>112.5590624999999</v>
      </c>
      <c r="M151" s="15"/>
      <c r="N151" s="16">
        <f t="shared" si="34"/>
        <v>126307.16859420729</v>
      </c>
      <c r="O151" s="17">
        <f t="shared" si="35"/>
        <v>200536.09114749229</v>
      </c>
      <c r="P151" s="18">
        <f t="shared" si="36"/>
        <v>22572154.416976262</v>
      </c>
      <c r="Q151" s="19">
        <f t="shared" si="37"/>
        <v>7.5726468455101729E-3</v>
      </c>
      <c r="R151" s="20">
        <f t="shared" si="38"/>
        <v>7.8123165472997261E-2</v>
      </c>
      <c r="S151" s="20">
        <f t="shared" si="39"/>
        <v>6.184840911116011E-4</v>
      </c>
      <c r="T151" s="20">
        <f t="shared" si="40"/>
        <v>0</v>
      </c>
      <c r="U151" s="20">
        <f t="shared" si="41"/>
        <v>8.1673436478594111E-2</v>
      </c>
      <c r="V151" s="21">
        <f t="shared" si="42"/>
        <v>326113852.47779882</v>
      </c>
      <c r="W151" s="21" t="str">
        <f t="shared" si="43"/>
        <v/>
      </c>
      <c r="X151" s="19" t="str">
        <f t="shared" si="44"/>
        <v/>
      </c>
      <c r="Y151" s="17">
        <f t="shared" si="45"/>
        <v>759.29449901949897</v>
      </c>
      <c r="Z151" s="17">
        <f t="shared" si="46"/>
        <v>198258.20765043379</v>
      </c>
      <c r="AA151" s="20">
        <f t="shared" si="47"/>
        <v>5.7173324658841215E-2</v>
      </c>
      <c r="AB151" s="17">
        <f t="shared" si="48"/>
        <v>198258.20765043379</v>
      </c>
      <c r="AC151" s="18">
        <f t="shared" si="49"/>
        <v>22315757.986063134</v>
      </c>
      <c r="AD151" s="19">
        <f t="shared" si="50"/>
        <v>3.8152146962898898E-3</v>
      </c>
    </row>
    <row r="152" spans="1:30" x14ac:dyDescent="0.25">
      <c r="A152" s="8">
        <v>300</v>
      </c>
      <c r="B152" s="9">
        <v>44664</v>
      </c>
      <c r="C152" s="10">
        <v>2.833333333333333</v>
      </c>
      <c r="D152" s="11">
        <v>198916.10913893359</v>
      </c>
      <c r="E152" s="11">
        <v>1856.679350238001</v>
      </c>
      <c r="F152" s="11"/>
      <c r="G152" s="11">
        <v>72803.393981532005</v>
      </c>
      <c r="H152" s="12">
        <v>7.8709012392751743E-2</v>
      </c>
      <c r="I152" s="13">
        <v>1661</v>
      </c>
      <c r="J152" s="13">
        <v>437489</v>
      </c>
      <c r="K152" s="12">
        <v>7.8842878960080437E-2</v>
      </c>
      <c r="L152" s="14">
        <v>103.8380208333333</v>
      </c>
      <c r="M152" s="15"/>
      <c r="N152" s="16">
        <f t="shared" si="34"/>
        <v>126112.71515740159</v>
      </c>
      <c r="O152" s="17">
        <f t="shared" si="35"/>
        <v>200772.78848917159</v>
      </c>
      <c r="P152" s="18">
        <f t="shared" si="36"/>
        <v>20847848.993905019</v>
      </c>
      <c r="Q152" s="19">
        <f t="shared" si="37"/>
        <v>9.2476643085431798E-3</v>
      </c>
      <c r="R152" s="20">
        <f t="shared" si="38"/>
        <v>7.8709012392751743E-2</v>
      </c>
      <c r="S152" s="20">
        <f t="shared" si="39"/>
        <v>7.3591800036794299E-4</v>
      </c>
      <c r="T152" s="20">
        <f t="shared" si="40"/>
        <v>0</v>
      </c>
      <c r="U152" s="20">
        <f t="shared" si="41"/>
        <v>7.9578796960448381E-2</v>
      </c>
      <c r="V152" s="21">
        <f t="shared" si="42"/>
        <v>325237066.37489921</v>
      </c>
      <c r="W152" s="21" t="str">
        <f t="shared" si="43"/>
        <v/>
      </c>
      <c r="X152" s="19" t="str">
        <f t="shared" si="44"/>
        <v/>
      </c>
      <c r="Y152" s="17">
        <f t="shared" si="45"/>
        <v>928.3396751190005</v>
      </c>
      <c r="Z152" s="17">
        <f t="shared" si="46"/>
        <v>197987.76946381459</v>
      </c>
      <c r="AA152" s="20">
        <f t="shared" si="47"/>
        <v>5.7097057318411332E-2</v>
      </c>
      <c r="AB152" s="17">
        <f t="shared" si="48"/>
        <v>197987.76946381459</v>
      </c>
      <c r="AC152" s="18">
        <f t="shared" si="49"/>
        <v>20558658.130328771</v>
      </c>
      <c r="AD152" s="19">
        <f t="shared" si="50"/>
        <v>4.6669909196273224E-3</v>
      </c>
    </row>
    <row r="153" spans="1:30" x14ac:dyDescent="0.25">
      <c r="A153" s="8">
        <v>301</v>
      </c>
      <c r="B153" s="9">
        <v>44667</v>
      </c>
      <c r="C153" s="10">
        <v>2.916666666666667</v>
      </c>
      <c r="D153" s="11">
        <v>198814.57081762009</v>
      </c>
      <c r="E153" s="11">
        <v>1698.552139257999</v>
      </c>
      <c r="F153" s="11"/>
      <c r="G153" s="11">
        <v>72574.036679678</v>
      </c>
      <c r="H153" s="12">
        <v>7.826137590784929E-2</v>
      </c>
      <c r="I153" s="13">
        <v>1661</v>
      </c>
      <c r="J153" s="13">
        <v>435630</v>
      </c>
      <c r="K153" s="12">
        <v>7.7539764773649822E-2</v>
      </c>
      <c r="L153" s="14">
        <v>101.95791666666641</v>
      </c>
      <c r="M153" s="15"/>
      <c r="N153" s="16">
        <f t="shared" si="34"/>
        <v>126240.53413794209</v>
      </c>
      <c r="O153" s="17">
        <f t="shared" si="35"/>
        <v>200513.1229568781</v>
      </c>
      <c r="P153" s="18">
        <f t="shared" si="36"/>
        <v>20443900.281010412</v>
      </c>
      <c r="Q153" s="19">
        <f t="shared" si="37"/>
        <v>8.4710273034014124E-3</v>
      </c>
      <c r="R153" s="20">
        <f t="shared" si="38"/>
        <v>7.826137590784929E-2</v>
      </c>
      <c r="S153" s="20">
        <f t="shared" si="39"/>
        <v>6.6245312298897395E-4</v>
      </c>
      <c r="T153" s="20">
        <f t="shared" si="40"/>
        <v>0</v>
      </c>
      <c r="U153" s="20">
        <f t="shared" si="41"/>
        <v>7.8202217896638795E-2</v>
      </c>
      <c r="V153" s="21">
        <f t="shared" si="42"/>
        <v>321090278.71510768</v>
      </c>
      <c r="W153" s="21" t="str">
        <f t="shared" si="43"/>
        <v/>
      </c>
      <c r="X153" s="19" t="str">
        <f t="shared" si="44"/>
        <v/>
      </c>
      <c r="Y153" s="17">
        <f t="shared" si="45"/>
        <v>849.27606962899949</v>
      </c>
      <c r="Z153" s="17">
        <f t="shared" si="46"/>
        <v>197965.29474799108</v>
      </c>
      <c r="AA153" s="20">
        <f t="shared" si="47"/>
        <v>5.7020891716112847E-2</v>
      </c>
      <c r="AB153" s="17">
        <f t="shared" si="48"/>
        <v>197965.29474799108</v>
      </c>
      <c r="AC153" s="18">
        <f t="shared" si="49"/>
        <v>20184129.024807729</v>
      </c>
      <c r="AD153" s="19">
        <f t="shared" si="50"/>
        <v>4.2716993333857386E-3</v>
      </c>
    </row>
    <row r="154" spans="1:30" x14ac:dyDescent="0.25">
      <c r="A154" s="8">
        <v>302</v>
      </c>
      <c r="B154" s="9">
        <v>44670</v>
      </c>
      <c r="C154" s="10">
        <v>3.083333333333333</v>
      </c>
      <c r="D154" s="11">
        <v>198713.0770994802</v>
      </c>
      <c r="E154" s="11">
        <v>1838.4898731840001</v>
      </c>
      <c r="F154" s="11"/>
      <c r="G154" s="11">
        <v>71587.763969136999</v>
      </c>
      <c r="H154" s="12">
        <v>7.7961691995784788E-2</v>
      </c>
      <c r="I154" s="13">
        <v>1680</v>
      </c>
      <c r="J154" s="13">
        <v>440283</v>
      </c>
      <c r="K154" s="12">
        <v>7.269425356128198E-2</v>
      </c>
      <c r="L154" s="14">
        <v>104.28343749999991</v>
      </c>
      <c r="M154" s="15"/>
      <c r="N154" s="16">
        <f t="shared" si="34"/>
        <v>127125.3131303432</v>
      </c>
      <c r="O154" s="17">
        <f t="shared" si="35"/>
        <v>200551.56697266421</v>
      </c>
      <c r="P154" s="18">
        <f t="shared" si="36"/>
        <v>20914206.799920872</v>
      </c>
      <c r="Q154" s="19">
        <f t="shared" si="37"/>
        <v>9.1671678308780889E-3</v>
      </c>
      <c r="R154" s="20">
        <f t="shared" si="38"/>
        <v>7.7961691995784788E-2</v>
      </c>
      <c r="S154" s="20">
        <f t="shared" si="39"/>
        <v>6.7256594765617691E-4</v>
      </c>
      <c r="T154" s="20">
        <f t="shared" si="40"/>
        <v>0</v>
      </c>
      <c r="U154" s="20">
        <f t="shared" si="41"/>
        <v>7.3366819508938155E-2</v>
      </c>
      <c r="V154" s="21">
        <f t="shared" si="42"/>
        <v>323814366.98963189</v>
      </c>
      <c r="W154" s="21" t="str">
        <f t="shared" si="43"/>
        <v/>
      </c>
      <c r="X154" s="19" t="str">
        <f t="shared" si="44"/>
        <v/>
      </c>
      <c r="Y154" s="17">
        <f t="shared" si="45"/>
        <v>919.24493659200004</v>
      </c>
      <c r="Z154" s="17">
        <f t="shared" si="46"/>
        <v>197793.8321628882</v>
      </c>
      <c r="AA154" s="20">
        <f t="shared" si="47"/>
        <v>5.6944827716230412E-2</v>
      </c>
      <c r="AB154" s="17">
        <f t="shared" si="48"/>
        <v>197793.8321628882</v>
      </c>
      <c r="AC154" s="18">
        <f t="shared" si="49"/>
        <v>20626620.734244023</v>
      </c>
      <c r="AD154" s="19">
        <f t="shared" si="50"/>
        <v>4.6259911527201884E-3</v>
      </c>
    </row>
    <row r="155" spans="1:30" x14ac:dyDescent="0.25">
      <c r="A155" s="8">
        <v>303</v>
      </c>
      <c r="B155" s="9">
        <v>44673</v>
      </c>
      <c r="C155" s="10">
        <v>3</v>
      </c>
      <c r="D155" s="11">
        <v>198611.51470102489</v>
      </c>
      <c r="E155" s="11">
        <v>1771.4597238520009</v>
      </c>
      <c r="F155" s="11"/>
      <c r="G155" s="11">
        <v>73102.884131440995</v>
      </c>
      <c r="H155" s="12">
        <v>7.7806402906286418E-2</v>
      </c>
      <c r="I155" s="13">
        <v>1687</v>
      </c>
      <c r="J155" s="13">
        <v>437639</v>
      </c>
      <c r="K155" s="12">
        <v>7.294179508655807E-2</v>
      </c>
      <c r="L155" s="14">
        <v>101.7368402777778</v>
      </c>
      <c r="M155" s="15"/>
      <c r="N155" s="16">
        <f t="shared" si="34"/>
        <v>125508.6305695839</v>
      </c>
      <c r="O155" s="17">
        <f t="shared" si="35"/>
        <v>200382.97442487688</v>
      </c>
      <c r="P155" s="18">
        <f t="shared" si="36"/>
        <v>20386330.663449734</v>
      </c>
      <c r="Q155" s="19">
        <f t="shared" si="37"/>
        <v>8.8403704403345763E-3</v>
      </c>
      <c r="R155" s="20">
        <f t="shared" si="38"/>
        <v>7.7806402906286418E-2</v>
      </c>
      <c r="S155" s="20">
        <f t="shared" si="39"/>
        <v>6.5058389175376766E-4</v>
      </c>
      <c r="T155" s="20">
        <f t="shared" si="40"/>
        <v>0</v>
      </c>
      <c r="U155" s="20">
        <f t="shared" si="41"/>
        <v>7.3592378978311834E-2</v>
      </c>
      <c r="V155" s="21">
        <f t="shared" si="42"/>
        <v>331510238.89876705</v>
      </c>
      <c r="W155" s="21" t="str">
        <f t="shared" si="43"/>
        <v/>
      </c>
      <c r="X155" s="19" t="str">
        <f t="shared" si="44"/>
        <v/>
      </c>
      <c r="Y155" s="17">
        <f t="shared" si="45"/>
        <v>885.72986192600047</v>
      </c>
      <c r="Z155" s="17">
        <f t="shared" si="46"/>
        <v>197725.78483909889</v>
      </c>
      <c r="AA155" s="20">
        <f t="shared" si="47"/>
        <v>5.6868865183229741E-2</v>
      </c>
      <c r="AB155" s="17">
        <f t="shared" si="48"/>
        <v>197725.78483909889</v>
      </c>
      <c r="AC155" s="18">
        <f t="shared" si="49"/>
        <v>20115996.590973664</v>
      </c>
      <c r="AD155" s="19">
        <f t="shared" si="50"/>
        <v>4.4596098230221589E-3</v>
      </c>
    </row>
    <row r="156" spans="1:30" x14ac:dyDescent="0.25">
      <c r="A156" s="8">
        <v>304</v>
      </c>
      <c r="B156" s="9">
        <v>44676</v>
      </c>
      <c r="C156" s="10">
        <v>3.041666666666667</v>
      </c>
      <c r="D156" s="11">
        <v>198509.96261709341</v>
      </c>
      <c r="E156" s="11">
        <v>1647.702041380998</v>
      </c>
      <c r="F156" s="11"/>
      <c r="G156" s="11">
        <v>73093.627988185006</v>
      </c>
      <c r="H156" s="12">
        <v>7.7681546633621354E-2</v>
      </c>
      <c r="I156" s="13">
        <v>1702</v>
      </c>
      <c r="J156" s="13">
        <v>442854</v>
      </c>
      <c r="K156" s="12">
        <v>7.1831699366831064E-2</v>
      </c>
      <c r="L156" s="14">
        <v>97.835104166666937</v>
      </c>
      <c r="M156" s="15"/>
      <c r="N156" s="16">
        <f t="shared" si="34"/>
        <v>125416.3346289084</v>
      </c>
      <c r="O156" s="17">
        <f t="shared" si="35"/>
        <v>200157.66465847442</v>
      </c>
      <c r="P156" s="18">
        <f t="shared" si="36"/>
        <v>19582445.971618634</v>
      </c>
      <c r="Q156" s="19">
        <f t="shared" si="37"/>
        <v>8.232020713233458E-3</v>
      </c>
      <c r="R156" s="20">
        <f t="shared" si="38"/>
        <v>7.7681546633621354E-2</v>
      </c>
      <c r="S156" s="20">
        <f t="shared" si="39"/>
        <v>5.9622819994628378E-4</v>
      </c>
      <c r="T156" s="20">
        <f t="shared" si="40"/>
        <v>0</v>
      </c>
      <c r="U156" s="20">
        <f t="shared" si="41"/>
        <v>7.242792756677735E-2</v>
      </c>
      <c r="V156" s="21">
        <f t="shared" si="42"/>
        <v>331852254.80544293</v>
      </c>
      <c r="W156" s="21" t="str">
        <f t="shared" si="43"/>
        <v/>
      </c>
      <c r="X156" s="19" t="str">
        <f t="shared" si="44"/>
        <v/>
      </c>
      <c r="Y156" s="17">
        <f t="shared" si="45"/>
        <v>823.85102069049901</v>
      </c>
      <c r="Z156" s="17">
        <f t="shared" si="46"/>
        <v>197686.11159640292</v>
      </c>
      <c r="AA156" s="20">
        <f t="shared" si="47"/>
        <v>5.6793003981757365E-2</v>
      </c>
      <c r="AB156" s="17">
        <f t="shared" si="48"/>
        <v>197686.11159640292</v>
      </c>
      <c r="AC156" s="18">
        <f t="shared" si="49"/>
        <v>19340641.320337426</v>
      </c>
      <c r="AD156" s="19">
        <f t="shared" si="50"/>
        <v>4.150174680550559E-3</v>
      </c>
    </row>
    <row r="157" spans="1:30" x14ac:dyDescent="0.25">
      <c r="A157" s="8">
        <v>305</v>
      </c>
      <c r="B157" s="9">
        <v>44680</v>
      </c>
      <c r="C157" s="10">
        <v>3.25</v>
      </c>
      <c r="D157" s="11">
        <v>198408.44247880971</v>
      </c>
      <c r="E157" s="11">
        <v>1517.308547257999</v>
      </c>
      <c r="F157" s="11"/>
      <c r="G157" s="11">
        <v>73052.106850783006</v>
      </c>
      <c r="H157" s="12">
        <v>7.7774860477354602E-2</v>
      </c>
      <c r="I157" s="13">
        <v>1716</v>
      </c>
      <c r="J157" s="13">
        <v>441325</v>
      </c>
      <c r="K157" s="12">
        <v>6.714463038734389E-2</v>
      </c>
      <c r="L157" s="14">
        <v>96.249444444444123</v>
      </c>
      <c r="M157" s="15"/>
      <c r="N157" s="16">
        <f t="shared" si="34"/>
        <v>125356.3356280267</v>
      </c>
      <c r="O157" s="17">
        <f t="shared" si="35"/>
        <v>199925.75102606771</v>
      </c>
      <c r="P157" s="18">
        <f t="shared" si="36"/>
        <v>19242742.466397271</v>
      </c>
      <c r="Q157" s="19">
        <f t="shared" si="37"/>
        <v>7.5893602473458346E-3</v>
      </c>
      <c r="R157" s="20">
        <f t="shared" si="38"/>
        <v>7.7774860477354602E-2</v>
      </c>
      <c r="S157" s="20">
        <f t="shared" si="39"/>
        <v>5.1348178694602103E-4</v>
      </c>
      <c r="T157" s="20">
        <f t="shared" si="40"/>
        <v>0</v>
      </c>
      <c r="U157" s="20">
        <f t="shared" si="41"/>
        <v>6.7658112174289908E-2</v>
      </c>
      <c r="V157" s="21">
        <f t="shared" si="42"/>
        <v>332089943.28226399</v>
      </c>
      <c r="W157" s="21" t="str">
        <f t="shared" si="43"/>
        <v/>
      </c>
      <c r="X157" s="19" t="str">
        <f t="shared" si="44"/>
        <v/>
      </c>
      <c r="Y157" s="17">
        <f t="shared" si="45"/>
        <v>758.65427362899948</v>
      </c>
      <c r="Z157" s="17">
        <f t="shared" si="46"/>
        <v>197649.7882051807</v>
      </c>
      <c r="AA157" s="20">
        <f t="shared" si="47"/>
        <v>5.6692013106343017E-2</v>
      </c>
      <c r="AB157" s="17">
        <f t="shared" si="48"/>
        <v>197649.7882051807</v>
      </c>
      <c r="AC157" s="18">
        <f t="shared" si="49"/>
        <v>19023682.309310686</v>
      </c>
      <c r="AD157" s="19">
        <f t="shared" si="50"/>
        <v>3.8236995570892847E-3</v>
      </c>
    </row>
    <row r="158" spans="1:30" x14ac:dyDescent="0.25">
      <c r="A158" s="8">
        <v>306</v>
      </c>
      <c r="B158" s="9">
        <v>44683</v>
      </c>
      <c r="C158" s="10">
        <v>3.5</v>
      </c>
      <c r="D158" s="11">
        <v>198306.94926740261</v>
      </c>
      <c r="E158" s="11">
        <v>1900.7122553950039</v>
      </c>
      <c r="F158" s="11"/>
      <c r="G158" s="11">
        <v>75008.271171526998</v>
      </c>
      <c r="H158" s="12">
        <v>7.7434810292536765E-2</v>
      </c>
      <c r="I158" s="13">
        <v>1717</v>
      </c>
      <c r="J158" s="13">
        <v>443704</v>
      </c>
      <c r="K158" s="12">
        <v>6.2230770417398627E-2</v>
      </c>
      <c r="L158" s="14">
        <v>88.354027777777787</v>
      </c>
      <c r="M158" s="15"/>
      <c r="N158" s="16">
        <f t="shared" si="34"/>
        <v>123298.67809587561</v>
      </c>
      <c r="O158" s="17">
        <f t="shared" si="35"/>
        <v>200207.66152279763</v>
      </c>
      <c r="P158" s="18">
        <f t="shared" si="36"/>
        <v>17689153.287509196</v>
      </c>
      <c r="Q158" s="19">
        <f t="shared" si="37"/>
        <v>9.4937038919390704E-3</v>
      </c>
      <c r="R158" s="20">
        <f t="shared" si="38"/>
        <v>7.7434810292536765E-2</v>
      </c>
      <c r="S158" s="20">
        <f t="shared" si="39"/>
        <v>5.9646315185619958E-4</v>
      </c>
      <c r="T158" s="20">
        <f t="shared" si="40"/>
        <v>0</v>
      </c>
      <c r="U158" s="20">
        <f t="shared" si="41"/>
        <v>6.282723356925482E-2</v>
      </c>
      <c r="V158" s="21">
        <f t="shared" si="42"/>
        <v>332548456.26138401</v>
      </c>
      <c r="W158" s="21" t="str">
        <f t="shared" si="43"/>
        <v/>
      </c>
      <c r="X158" s="19" t="str">
        <f t="shared" si="44"/>
        <v/>
      </c>
      <c r="Y158" s="17">
        <f t="shared" si="45"/>
        <v>950.35612769750196</v>
      </c>
      <c r="Z158" s="17">
        <f t="shared" si="46"/>
        <v>197356.5931397051</v>
      </c>
      <c r="AA158" s="20">
        <f t="shared" si="47"/>
        <v>5.6616387819742368E-2</v>
      </c>
      <c r="AB158" s="17">
        <f t="shared" si="48"/>
        <v>197356.5931397051</v>
      </c>
      <c r="AC158" s="18">
        <f t="shared" si="49"/>
        <v>17437249.912393093</v>
      </c>
      <c r="AD158" s="19">
        <f t="shared" si="50"/>
        <v>4.7923490891689088E-3</v>
      </c>
    </row>
    <row r="159" spans="1:30" x14ac:dyDescent="0.25">
      <c r="A159" s="8">
        <v>307</v>
      </c>
      <c r="B159" s="9">
        <v>44686</v>
      </c>
      <c r="C159" s="10">
        <v>3.041666666666667</v>
      </c>
      <c r="D159" s="11">
        <v>198205.30266994459</v>
      </c>
      <c r="E159" s="11">
        <v>1862.787726590004</v>
      </c>
      <c r="F159" s="11"/>
      <c r="G159" s="11">
        <v>74174.014474266995</v>
      </c>
      <c r="H159" s="12">
        <v>7.7617113575797203E-2</v>
      </c>
      <c r="I159" s="13">
        <v>1723</v>
      </c>
      <c r="J159" s="13">
        <v>437201</v>
      </c>
      <c r="K159" s="12">
        <v>7.154335317776922E-2</v>
      </c>
      <c r="L159" s="14">
        <v>89.784722222222541</v>
      </c>
      <c r="M159" s="15"/>
      <c r="N159" s="16">
        <f t="shared" si="34"/>
        <v>124031.2881956776</v>
      </c>
      <c r="O159" s="17">
        <f t="shared" si="35"/>
        <v>200068.09039653459</v>
      </c>
      <c r="P159" s="18">
        <f t="shared" si="36"/>
        <v>17963057.921783369</v>
      </c>
      <c r="Q159" s="19">
        <f t="shared" si="37"/>
        <v>9.3107687632643567E-3</v>
      </c>
      <c r="R159" s="20">
        <f t="shared" si="38"/>
        <v>7.7617113575797203E-2</v>
      </c>
      <c r="S159" s="20">
        <f t="shared" si="39"/>
        <v>6.7238403021218089E-4</v>
      </c>
      <c r="T159" s="20">
        <f t="shared" si="40"/>
        <v>0</v>
      </c>
      <c r="U159" s="20">
        <f t="shared" si="41"/>
        <v>7.2215737207981398E-2</v>
      </c>
      <c r="V159" s="21">
        <f t="shared" si="42"/>
        <v>332678384.64389783</v>
      </c>
      <c r="W159" s="21" t="str">
        <f t="shared" si="43"/>
        <v/>
      </c>
      <c r="X159" s="19" t="str">
        <f t="shared" si="44"/>
        <v/>
      </c>
      <c r="Y159" s="17">
        <f t="shared" si="45"/>
        <v>931.39386329500201</v>
      </c>
      <c r="Z159" s="17">
        <f t="shared" si="46"/>
        <v>197273.90880664959</v>
      </c>
      <c r="AA159" s="20">
        <f t="shared" si="47"/>
        <v>5.6540863414794355E-2</v>
      </c>
      <c r="AB159" s="17">
        <f t="shared" si="48"/>
        <v>197273.90880664959</v>
      </c>
      <c r="AC159" s="18">
        <f t="shared" si="49"/>
        <v>17712183.103897095</v>
      </c>
      <c r="AD159" s="19">
        <f t="shared" si="50"/>
        <v>4.6991369592466331E-3</v>
      </c>
    </row>
    <row r="160" spans="1:30" x14ac:dyDescent="0.25">
      <c r="A160" s="8">
        <v>308</v>
      </c>
      <c r="B160" s="9">
        <v>44689</v>
      </c>
      <c r="C160" s="10">
        <v>3.083333333333333</v>
      </c>
      <c r="D160" s="11">
        <v>198103.65580872659</v>
      </c>
      <c r="E160" s="11">
        <v>1613.4955102410011</v>
      </c>
      <c r="F160" s="11"/>
      <c r="G160" s="11">
        <v>74441.627794836997</v>
      </c>
      <c r="H160" s="12">
        <v>7.7570476516883716E-2</v>
      </c>
      <c r="I160" s="13">
        <v>1716</v>
      </c>
      <c r="J160" s="13">
        <v>442187</v>
      </c>
      <c r="K160" s="12">
        <v>7.0537395659721294E-2</v>
      </c>
      <c r="L160" s="14">
        <v>77.41038194444485</v>
      </c>
      <c r="M160" s="15"/>
      <c r="N160" s="16">
        <f t="shared" si="34"/>
        <v>123662.02801388959</v>
      </c>
      <c r="O160" s="17">
        <f t="shared" si="35"/>
        <v>199717.15131896758</v>
      </c>
      <c r="P160" s="18">
        <f t="shared" si="36"/>
        <v>15460180.964457767</v>
      </c>
      <c r="Q160" s="19">
        <f t="shared" si="37"/>
        <v>8.078903086616197E-3</v>
      </c>
      <c r="R160" s="20">
        <f t="shared" si="38"/>
        <v>7.7570476516883716E-2</v>
      </c>
      <c r="S160" s="20">
        <f t="shared" si="39"/>
        <v>5.7450616313179574E-4</v>
      </c>
      <c r="T160" s="20">
        <f t="shared" si="40"/>
        <v>0</v>
      </c>
      <c r="U160" s="20">
        <f t="shared" si="41"/>
        <v>7.1111901822853096E-2</v>
      </c>
      <c r="V160" s="21">
        <f t="shared" si="42"/>
        <v>332692350.83830827</v>
      </c>
      <c r="W160" s="21" t="str">
        <f t="shared" si="43"/>
        <v/>
      </c>
      <c r="X160" s="19" t="str">
        <f t="shared" si="44"/>
        <v/>
      </c>
      <c r="Y160" s="17">
        <f t="shared" si="45"/>
        <v>806.74775512050053</v>
      </c>
      <c r="Z160" s="17">
        <f t="shared" si="46"/>
        <v>197296.90805360608</v>
      </c>
      <c r="AA160" s="20">
        <f t="shared" si="47"/>
        <v>5.646543975692616E-2</v>
      </c>
      <c r="AB160" s="17">
        <f t="shared" si="48"/>
        <v>197296.90805360608</v>
      </c>
      <c r="AC160" s="18">
        <f t="shared" si="49"/>
        <v>15272829.008887663</v>
      </c>
      <c r="AD160" s="19">
        <f t="shared" si="50"/>
        <v>4.0723516778480512E-3</v>
      </c>
    </row>
    <row r="161" spans="1:30" x14ac:dyDescent="0.25">
      <c r="A161" s="8">
        <v>309</v>
      </c>
      <c r="B161" s="9">
        <v>44693</v>
      </c>
      <c r="C161" s="10">
        <v>3.333333333333333</v>
      </c>
      <c r="D161" s="11">
        <v>198002.08899471391</v>
      </c>
      <c r="E161" s="11">
        <v>1590.851476795998</v>
      </c>
      <c r="F161" s="11"/>
      <c r="G161" s="11">
        <v>74657.485563670998</v>
      </c>
      <c r="H161" s="12">
        <v>7.7535645320202504E-2</v>
      </c>
      <c r="I161" s="13">
        <v>1719</v>
      </c>
      <c r="J161" s="13">
        <v>441388</v>
      </c>
      <c r="K161" s="12">
        <v>6.6061282493795101E-2</v>
      </c>
      <c r="L161" s="14">
        <v>45.054236111111159</v>
      </c>
      <c r="M161" s="15"/>
      <c r="N161" s="16">
        <f t="shared" si="34"/>
        <v>123344.60343104291</v>
      </c>
      <c r="O161" s="17">
        <f t="shared" si="35"/>
        <v>199592.94047150991</v>
      </c>
      <c r="P161" s="18">
        <f t="shared" si="36"/>
        <v>8992507.4661143608</v>
      </c>
      <c r="Q161" s="19">
        <f t="shared" si="37"/>
        <v>7.9704796824869549E-3</v>
      </c>
      <c r="R161" s="20">
        <f t="shared" si="38"/>
        <v>7.7535645320202504E-2</v>
      </c>
      <c r="S161" s="20">
        <f t="shared" si="39"/>
        <v>5.3077060624899389E-4</v>
      </c>
      <c r="T161" s="20">
        <f t="shared" si="40"/>
        <v>0</v>
      </c>
      <c r="U161" s="20">
        <f t="shared" si="41"/>
        <v>6.6592053100044096E-2</v>
      </c>
      <c r="V161" s="21">
        <f t="shared" si="42"/>
        <v>328423519.53481394</v>
      </c>
      <c r="W161" s="21" t="str">
        <f t="shared" si="43"/>
        <v/>
      </c>
      <c r="X161" s="19" t="str">
        <f t="shared" si="44"/>
        <v/>
      </c>
      <c r="Y161" s="17">
        <f t="shared" si="45"/>
        <v>795.425738397999</v>
      </c>
      <c r="Z161" s="17">
        <f t="shared" si="46"/>
        <v>197206.66325631592</v>
      </c>
      <c r="AA161" s="20">
        <f t="shared" si="47"/>
        <v>5.6365031365189389E-2</v>
      </c>
      <c r="AB161" s="17">
        <f t="shared" si="48"/>
        <v>197206.66325631592</v>
      </c>
      <c r="AC161" s="18">
        <f t="shared" si="49"/>
        <v>8884995.569034446</v>
      </c>
      <c r="AD161" s="19">
        <f t="shared" si="50"/>
        <v>4.0172593250732552E-3</v>
      </c>
    </row>
    <row r="162" spans="1:30" x14ac:dyDescent="0.25">
      <c r="A162" s="8">
        <v>310</v>
      </c>
      <c r="B162" s="9">
        <v>44696</v>
      </c>
      <c r="C162" s="10">
        <v>3.416666666666667</v>
      </c>
      <c r="D162" s="11">
        <v>197900.51621268381</v>
      </c>
      <c r="E162" s="11">
        <v>1587.580781833997</v>
      </c>
      <c r="F162" s="11"/>
      <c r="G162" s="11">
        <v>75083.422357504998</v>
      </c>
      <c r="H162" s="12">
        <v>7.7288589856699563E-2</v>
      </c>
      <c r="I162" s="13">
        <v>1715</v>
      </c>
      <c r="J162" s="13">
        <v>443395</v>
      </c>
      <c r="K162" s="12">
        <v>6.5240393872032384E-2</v>
      </c>
      <c r="L162" s="14">
        <v>53.044826388888893</v>
      </c>
      <c r="M162" s="15"/>
      <c r="N162" s="16">
        <f t="shared" si="34"/>
        <v>122817.09385517881</v>
      </c>
      <c r="O162" s="17">
        <f t="shared" si="35"/>
        <v>199488.09699451781</v>
      </c>
      <c r="P162" s="18">
        <f t="shared" si="36"/>
        <v>10581811.471724026</v>
      </c>
      <c r="Q162" s="19">
        <f t="shared" si="37"/>
        <v>7.9582732290920891E-3</v>
      </c>
      <c r="R162" s="20">
        <f t="shared" si="38"/>
        <v>7.7288589856699563E-2</v>
      </c>
      <c r="S162" s="20">
        <f t="shared" si="39"/>
        <v>5.2336596939043666E-4</v>
      </c>
      <c r="T162" s="20">
        <f t="shared" si="40"/>
        <v>0</v>
      </c>
      <c r="U162" s="20">
        <f t="shared" si="41"/>
        <v>6.5763759841422825E-2</v>
      </c>
      <c r="V162" s="21">
        <f t="shared" si="42"/>
        <v>324278359.03043306</v>
      </c>
      <c r="W162" s="21" t="str">
        <f t="shared" si="43"/>
        <v/>
      </c>
      <c r="X162" s="19" t="str">
        <f t="shared" si="44"/>
        <v/>
      </c>
      <c r="Y162" s="17">
        <f t="shared" si="45"/>
        <v>793.79039091699849</v>
      </c>
      <c r="Z162" s="17">
        <f t="shared" si="46"/>
        <v>197106.7258217668</v>
      </c>
      <c r="AA162" s="20">
        <f t="shared" si="47"/>
        <v>5.6289842261509987E-2</v>
      </c>
      <c r="AB162" s="17">
        <f t="shared" si="48"/>
        <v>197106.7258217668</v>
      </c>
      <c r="AC162" s="18">
        <f t="shared" si="49"/>
        <v>10455492.051297944</v>
      </c>
      <c r="AD162" s="19">
        <f t="shared" si="50"/>
        <v>4.0110577077217494E-3</v>
      </c>
    </row>
    <row r="163" spans="1:30" x14ac:dyDescent="0.25">
      <c r="A163" s="8">
        <v>311</v>
      </c>
      <c r="B163" s="9">
        <v>44700</v>
      </c>
      <c r="C163" s="10">
        <v>3.416666666666667</v>
      </c>
      <c r="D163" s="11">
        <v>197798.93013678369</v>
      </c>
      <c r="E163" s="11">
        <v>1609.453713882001</v>
      </c>
      <c r="F163" s="11"/>
      <c r="G163" s="11">
        <v>74063.937003953004</v>
      </c>
      <c r="H163" s="12">
        <v>7.6029731834949946E-2</v>
      </c>
      <c r="I163" s="13">
        <v>1725</v>
      </c>
      <c r="J163" s="13">
        <v>441502</v>
      </c>
      <c r="K163" s="12">
        <v>6.4448736235881876E-2</v>
      </c>
      <c r="L163" s="14">
        <v>51.153888888888922</v>
      </c>
      <c r="M163" s="15"/>
      <c r="N163" s="16">
        <f t="shared" si="34"/>
        <v>123734.99313283068</v>
      </c>
      <c r="O163" s="17">
        <f t="shared" si="35"/>
        <v>199408.38385066568</v>
      </c>
      <c r="P163" s="18">
        <f t="shared" si="36"/>
        <v>10200514.311009863</v>
      </c>
      <c r="Q163" s="19">
        <f t="shared" si="37"/>
        <v>8.0711436640863599E-3</v>
      </c>
      <c r="R163" s="20">
        <f t="shared" si="38"/>
        <v>7.6029731834949946E-2</v>
      </c>
      <c r="S163" s="20">
        <f t="shared" si="39"/>
        <v>5.2440757802942202E-4</v>
      </c>
      <c r="T163" s="20">
        <f t="shared" si="40"/>
        <v>0</v>
      </c>
      <c r="U163" s="20">
        <f t="shared" si="41"/>
        <v>6.4973143813911297E-2</v>
      </c>
      <c r="V163" s="21">
        <f t="shared" si="42"/>
        <v>328093137.32151264</v>
      </c>
      <c r="W163" s="21" t="str">
        <f t="shared" si="43"/>
        <v/>
      </c>
      <c r="X163" s="19" t="str">
        <f t="shared" si="44"/>
        <v/>
      </c>
      <c r="Y163" s="17">
        <f t="shared" si="45"/>
        <v>804.72685694100051</v>
      </c>
      <c r="Z163" s="17">
        <f t="shared" si="46"/>
        <v>196994.20327984268</v>
      </c>
      <c r="AA163" s="20">
        <f t="shared" si="47"/>
        <v>5.6189746122049716E-2</v>
      </c>
      <c r="AB163" s="17">
        <f t="shared" si="48"/>
        <v>196994.20327984268</v>
      </c>
      <c r="AC163" s="18">
        <f t="shared" si="49"/>
        <v>10077019.586332271</v>
      </c>
      <c r="AD163" s="19">
        <f t="shared" si="50"/>
        <v>4.0684085418687989E-3</v>
      </c>
    </row>
    <row r="164" spans="1:30" x14ac:dyDescent="0.25">
      <c r="A164" s="8">
        <v>312</v>
      </c>
      <c r="B164" s="9">
        <v>44703</v>
      </c>
      <c r="C164" s="10">
        <v>3.333333333333333</v>
      </c>
      <c r="D164" s="11">
        <v>197697.32145553859</v>
      </c>
      <c r="E164" s="11">
        <v>1583.1545537119989</v>
      </c>
      <c r="F164" s="11"/>
      <c r="G164" s="11">
        <v>73325.097698334997</v>
      </c>
      <c r="H164" s="12">
        <v>7.6039104350532891E-2</v>
      </c>
      <c r="I164" s="13">
        <v>1724</v>
      </c>
      <c r="J164" s="13">
        <v>445530</v>
      </c>
      <c r="K164" s="12">
        <v>6.6007672427735281E-2</v>
      </c>
      <c r="L164" s="14">
        <v>51.201423611111181</v>
      </c>
      <c r="M164" s="15"/>
      <c r="N164" s="16">
        <f t="shared" si="34"/>
        <v>124372.2237572036</v>
      </c>
      <c r="O164" s="17">
        <f t="shared" si="35"/>
        <v>199280.47600925059</v>
      </c>
      <c r="P164" s="18">
        <f t="shared" si="36"/>
        <v>10203444.069573518</v>
      </c>
      <c r="Q164" s="19">
        <f t="shared" si="37"/>
        <v>7.9443535333511995E-3</v>
      </c>
      <c r="R164" s="20">
        <f t="shared" si="38"/>
        <v>7.6039104350532891E-2</v>
      </c>
      <c r="S164" s="20">
        <f t="shared" si="39"/>
        <v>5.2858757222667182E-4</v>
      </c>
      <c r="T164" s="20">
        <f t="shared" si="40"/>
        <v>0</v>
      </c>
      <c r="U164" s="20">
        <f t="shared" si="41"/>
        <v>6.6536259999961947E-2</v>
      </c>
      <c r="V164" s="21">
        <f t="shared" si="42"/>
        <v>328184333.75615221</v>
      </c>
      <c r="W164" s="21" t="str">
        <f t="shared" si="43"/>
        <v/>
      </c>
      <c r="X164" s="19" t="str">
        <f t="shared" si="44"/>
        <v/>
      </c>
      <c r="Y164" s="17">
        <f t="shared" si="45"/>
        <v>791.57727685599946</v>
      </c>
      <c r="Z164" s="17">
        <f t="shared" si="46"/>
        <v>196905.74417868259</v>
      </c>
      <c r="AA164" s="20">
        <f t="shared" si="47"/>
        <v>5.6114790843137204E-2</v>
      </c>
      <c r="AB164" s="17">
        <f t="shared" si="48"/>
        <v>196905.74417868259</v>
      </c>
      <c r="AC164" s="18">
        <f t="shared" si="49"/>
        <v>10081854.419153817</v>
      </c>
      <c r="AD164" s="19">
        <f t="shared" si="50"/>
        <v>4.0039858457769865E-3</v>
      </c>
    </row>
    <row r="165" spans="1:30" x14ac:dyDescent="0.25">
      <c r="A165" s="8">
        <v>313</v>
      </c>
      <c r="B165" s="9">
        <v>44707</v>
      </c>
      <c r="C165" s="10">
        <v>3.583333333333333</v>
      </c>
      <c r="D165" s="11">
        <v>197595.70848592339</v>
      </c>
      <c r="E165" s="11">
        <v>1440.636641744002</v>
      </c>
      <c r="F165" s="11"/>
      <c r="G165" s="11">
        <v>74764.328424317995</v>
      </c>
      <c r="H165" s="12">
        <v>7.6839777687929725E-2</v>
      </c>
      <c r="I165" s="13">
        <v>1743</v>
      </c>
      <c r="J165" s="13">
        <v>442594</v>
      </c>
      <c r="K165" s="12">
        <v>6.1653732804748007E-2</v>
      </c>
      <c r="L165" s="14">
        <v>45.541493055555421</v>
      </c>
      <c r="M165" s="15"/>
      <c r="N165" s="16">
        <f t="shared" si="34"/>
        <v>122831.38006160539</v>
      </c>
      <c r="O165" s="17">
        <f t="shared" si="35"/>
        <v>199036.34512766739</v>
      </c>
      <c r="P165" s="18">
        <f t="shared" si="36"/>
        <v>9064412.3294347972</v>
      </c>
      <c r="Q165" s="19">
        <f t="shared" si="37"/>
        <v>7.2380581587746596E-3</v>
      </c>
      <c r="R165" s="20">
        <f t="shared" si="38"/>
        <v>7.6839777687929725E-2</v>
      </c>
      <c r="S165" s="20">
        <f t="shared" si="39"/>
        <v>4.4950686054571727E-4</v>
      </c>
      <c r="T165" s="20">
        <f t="shared" si="40"/>
        <v>0</v>
      </c>
      <c r="U165" s="20">
        <f t="shared" si="41"/>
        <v>6.2103239665293727E-2</v>
      </c>
      <c r="V165" s="21">
        <f t="shared" si="42"/>
        <v>326678947.11655545</v>
      </c>
      <c r="W165" s="21" t="str">
        <f t="shared" si="43"/>
        <v/>
      </c>
      <c r="X165" s="19" t="str">
        <f t="shared" si="44"/>
        <v/>
      </c>
      <c r="Y165" s="17">
        <f t="shared" si="45"/>
        <v>720.31832087200098</v>
      </c>
      <c r="Z165" s="17">
        <f t="shared" si="46"/>
        <v>196875.39016505139</v>
      </c>
      <c r="AA165" s="20">
        <f t="shared" si="47"/>
        <v>5.6015005984904283E-2</v>
      </c>
      <c r="AB165" s="17">
        <f t="shared" si="48"/>
        <v>196875.39016505139</v>
      </c>
      <c r="AC165" s="18">
        <f t="shared" si="49"/>
        <v>8965999.2140114512</v>
      </c>
      <c r="AD165" s="19">
        <f t="shared" si="50"/>
        <v>3.6454148037497287E-3</v>
      </c>
    </row>
    <row r="166" spans="1:30" x14ac:dyDescent="0.25">
      <c r="A166" s="8">
        <v>314</v>
      </c>
      <c r="B166" s="9">
        <v>44710</v>
      </c>
      <c r="C166" s="10">
        <v>3.583333333333333</v>
      </c>
      <c r="D166" s="11">
        <v>197494.13537018379</v>
      </c>
      <c r="E166" s="11">
        <v>1539.1308301170041</v>
      </c>
      <c r="F166" s="11"/>
      <c r="G166" s="11">
        <v>73480.387027638004</v>
      </c>
      <c r="H166" s="12">
        <v>7.5456516680436722E-2</v>
      </c>
      <c r="I166" s="13">
        <v>1753</v>
      </c>
      <c r="J166" s="13">
        <v>449106</v>
      </c>
      <c r="K166" s="12">
        <v>6.1594939893085947E-2</v>
      </c>
      <c r="L166" s="14">
        <v>43.821284722222373</v>
      </c>
      <c r="M166" s="15"/>
      <c r="N166" s="16">
        <f t="shared" si="34"/>
        <v>124013.74834254579</v>
      </c>
      <c r="O166" s="17">
        <f t="shared" si="35"/>
        <v>199033.2662003008</v>
      </c>
      <c r="P166" s="18">
        <f t="shared" si="36"/>
        <v>8721893.4273572601</v>
      </c>
      <c r="Q166" s="19">
        <f t="shared" si="37"/>
        <v>7.7330330728134231E-3</v>
      </c>
      <c r="R166" s="20">
        <f t="shared" si="38"/>
        <v>7.5456516680436722E-2</v>
      </c>
      <c r="S166" s="20">
        <f t="shared" si="39"/>
        <v>4.8002777799428743E-4</v>
      </c>
      <c r="T166" s="20">
        <f t="shared" si="40"/>
        <v>0</v>
      </c>
      <c r="U166" s="20">
        <f t="shared" si="41"/>
        <v>6.2074967671080235E-2</v>
      </c>
      <c r="V166" s="21">
        <f t="shared" si="42"/>
        <v>326822677.02661067</v>
      </c>
      <c r="W166" s="21" t="str">
        <f t="shared" si="43"/>
        <v/>
      </c>
      <c r="X166" s="19" t="str">
        <f t="shared" si="44"/>
        <v/>
      </c>
      <c r="Y166" s="17">
        <f t="shared" si="45"/>
        <v>769.56541505850203</v>
      </c>
      <c r="Z166" s="17">
        <f t="shared" si="46"/>
        <v>196724.56995512531</v>
      </c>
      <c r="AA166" s="20">
        <f t="shared" si="47"/>
        <v>5.5940283803605148E-2</v>
      </c>
      <c r="AB166" s="17">
        <f t="shared" si="48"/>
        <v>196724.56995512531</v>
      </c>
      <c r="AC166" s="18">
        <f t="shared" si="49"/>
        <v>8620723.3918602988</v>
      </c>
      <c r="AD166" s="19">
        <f t="shared" si="50"/>
        <v>3.8966494555194033E-3</v>
      </c>
    </row>
    <row r="167" spans="1:30" x14ac:dyDescent="0.25">
      <c r="A167" s="8">
        <v>315</v>
      </c>
      <c r="B167" s="9">
        <v>44714</v>
      </c>
      <c r="C167" s="10">
        <v>3.583333333333333</v>
      </c>
      <c r="D167" s="11">
        <v>197392.51096613269</v>
      </c>
      <c r="E167" s="11">
        <v>1793.802630099005</v>
      </c>
      <c r="F167" s="11"/>
      <c r="G167" s="11">
        <v>73722.498649539993</v>
      </c>
      <c r="H167" s="12">
        <v>7.5375943417240174E-2</v>
      </c>
      <c r="I167" s="13">
        <v>1771</v>
      </c>
      <c r="J167" s="13">
        <v>443876</v>
      </c>
      <c r="K167" s="12">
        <v>6.1429267149362303E-2</v>
      </c>
      <c r="L167" s="14">
        <v>40.145381944444502</v>
      </c>
      <c r="M167" s="15"/>
      <c r="N167" s="16">
        <f t="shared" si="34"/>
        <v>123670.01231659269</v>
      </c>
      <c r="O167" s="17">
        <f t="shared" si="35"/>
        <v>199186.31359623169</v>
      </c>
      <c r="P167" s="18">
        <f t="shared" si="36"/>
        <v>7996410.6374266203</v>
      </c>
      <c r="Q167" s="19">
        <f t="shared" si="37"/>
        <v>9.0056520335789828E-3</v>
      </c>
      <c r="R167" s="20">
        <f t="shared" si="38"/>
        <v>7.5375943417240174E-2</v>
      </c>
      <c r="S167" s="20">
        <f t="shared" si="39"/>
        <v>5.5823790091249473E-4</v>
      </c>
      <c r="T167" s="20">
        <f t="shared" si="40"/>
        <v>0</v>
      </c>
      <c r="U167" s="20">
        <f t="shared" si="41"/>
        <v>6.1987505050274797E-2</v>
      </c>
      <c r="V167" s="21">
        <f t="shared" si="42"/>
        <v>327535480.75205845</v>
      </c>
      <c r="W167" s="21" t="str">
        <f t="shared" si="43"/>
        <v/>
      </c>
      <c r="X167" s="19" t="str">
        <f t="shared" si="44"/>
        <v/>
      </c>
      <c r="Y167" s="17">
        <f t="shared" si="45"/>
        <v>896.9013150495025</v>
      </c>
      <c r="Z167" s="17">
        <f t="shared" si="46"/>
        <v>196495.60965108318</v>
      </c>
      <c r="AA167" s="20">
        <f t="shared" si="47"/>
        <v>5.5840809258570198E-2</v>
      </c>
      <c r="AB167" s="17">
        <f t="shared" si="48"/>
        <v>196495.60965108318</v>
      </c>
      <c r="AC167" s="18">
        <f t="shared" si="49"/>
        <v>7888391.2998492094</v>
      </c>
      <c r="AD167" s="19">
        <f t="shared" si="50"/>
        <v>4.5437454068527807E-3</v>
      </c>
    </row>
    <row r="168" spans="1:30" x14ac:dyDescent="0.25">
      <c r="A168" s="8">
        <v>316</v>
      </c>
      <c r="B168" s="9">
        <v>44718</v>
      </c>
      <c r="C168" s="10">
        <v>3.75</v>
      </c>
      <c r="D168" s="11">
        <v>197290.77659140131</v>
      </c>
      <c r="E168" s="11">
        <v>1671.9702967370049</v>
      </c>
      <c r="F168" s="11"/>
      <c r="G168" s="11">
        <v>73796.140816974003</v>
      </c>
      <c r="H168" s="12">
        <v>7.5597418574211553E-2</v>
      </c>
      <c r="I168" s="13">
        <v>1763</v>
      </c>
      <c r="J168" s="13">
        <v>449316</v>
      </c>
      <c r="K168" s="12">
        <v>5.8705767799783558E-2</v>
      </c>
      <c r="L168" s="14">
        <v>42.393923611111141</v>
      </c>
      <c r="M168" s="15"/>
      <c r="N168" s="16">
        <f t="shared" si="34"/>
        <v>123494.63577442731</v>
      </c>
      <c r="O168" s="17">
        <f t="shared" si="35"/>
        <v>198962.74688813832</v>
      </c>
      <c r="P168" s="18">
        <f t="shared" si="36"/>
        <v>8434811.4930325765</v>
      </c>
      <c r="Q168" s="19">
        <f t="shared" si="37"/>
        <v>8.403433923623034E-3</v>
      </c>
      <c r="R168" s="20">
        <f t="shared" si="38"/>
        <v>7.5597418574211553E-2</v>
      </c>
      <c r="S168" s="20">
        <f t="shared" si="39"/>
        <v>4.9751084011220707E-4</v>
      </c>
      <c r="T168" s="20">
        <f t="shared" si="40"/>
        <v>0</v>
      </c>
      <c r="U168" s="20">
        <f t="shared" si="41"/>
        <v>5.9203278639895766E-2</v>
      </c>
      <c r="V168" s="21">
        <f t="shared" si="42"/>
        <v>327329364.05055135</v>
      </c>
      <c r="W168" s="21" t="str">
        <f t="shared" si="43"/>
        <v/>
      </c>
      <c r="X168" s="19" t="str">
        <f t="shared" si="44"/>
        <v/>
      </c>
      <c r="Y168" s="17">
        <f t="shared" si="45"/>
        <v>835.98514836850245</v>
      </c>
      <c r="Z168" s="17">
        <f t="shared" si="46"/>
        <v>196454.79144303282</v>
      </c>
      <c r="AA168" s="20">
        <f t="shared" si="47"/>
        <v>5.5741511601896152E-2</v>
      </c>
      <c r="AB168" s="17">
        <f t="shared" si="48"/>
        <v>196454.79144303282</v>
      </c>
      <c r="AC168" s="18">
        <f t="shared" si="49"/>
        <v>8328489.421472704</v>
      </c>
      <c r="AD168" s="19">
        <f t="shared" si="50"/>
        <v>4.2373250428217836E-3</v>
      </c>
    </row>
    <row r="169" spans="1:30" x14ac:dyDescent="0.25">
      <c r="A169" s="8">
        <v>317</v>
      </c>
      <c r="B169" s="9">
        <v>44721</v>
      </c>
      <c r="C169" s="10">
        <v>3.666666666666667</v>
      </c>
      <c r="D169" s="11">
        <v>197189.07457453801</v>
      </c>
      <c r="E169" s="11">
        <v>1682.979804199005</v>
      </c>
      <c r="F169" s="11"/>
      <c r="G169" s="11">
        <v>73745.178246156007</v>
      </c>
      <c r="H169" s="12">
        <v>7.5605739359582882E-2</v>
      </c>
      <c r="I169" s="13">
        <v>1757</v>
      </c>
      <c r="J169" s="13">
        <v>447365</v>
      </c>
      <c r="K169" s="12">
        <v>5.9988668314903057E-2</v>
      </c>
      <c r="L169" s="14">
        <v>39.949652777777757</v>
      </c>
      <c r="M169" s="15"/>
      <c r="N169" s="16">
        <f t="shared" si="34"/>
        <v>123443.896328382</v>
      </c>
      <c r="O169" s="17">
        <f t="shared" si="35"/>
        <v>198872.05437873703</v>
      </c>
      <c r="P169" s="18">
        <f t="shared" si="36"/>
        <v>7944869.5196338808</v>
      </c>
      <c r="Q169" s="19">
        <f t="shared" si="37"/>
        <v>8.4626259303074089E-3</v>
      </c>
      <c r="R169" s="20">
        <f t="shared" si="38"/>
        <v>7.5605739359582882E-2</v>
      </c>
      <c r="S169" s="20">
        <f t="shared" si="39"/>
        <v>5.1199447774988944E-4</v>
      </c>
      <c r="T169" s="20">
        <f t="shared" si="40"/>
        <v>0</v>
      </c>
      <c r="U169" s="20">
        <f t="shared" si="41"/>
        <v>6.0500662792652947E-2</v>
      </c>
      <c r="V169" s="21">
        <f t="shared" si="42"/>
        <v>327440520.37358093</v>
      </c>
      <c r="W169" s="21" t="str">
        <f t="shared" si="43"/>
        <v/>
      </c>
      <c r="X169" s="19" t="str">
        <f t="shared" si="44"/>
        <v/>
      </c>
      <c r="Y169" s="17">
        <f t="shared" si="45"/>
        <v>841.4899020995025</v>
      </c>
      <c r="Z169" s="17">
        <f t="shared" si="46"/>
        <v>196347.5846724385</v>
      </c>
      <c r="AA169" s="20">
        <f t="shared" si="47"/>
        <v>5.5667154253136293E-2</v>
      </c>
      <c r="AB169" s="17">
        <f t="shared" si="48"/>
        <v>196347.5846724385</v>
      </c>
      <c r="AC169" s="18">
        <f t="shared" si="49"/>
        <v>7844017.831419236</v>
      </c>
      <c r="AD169" s="19">
        <f t="shared" si="50"/>
        <v>4.2674266001558672E-3</v>
      </c>
    </row>
    <row r="170" spans="1:30" x14ac:dyDescent="0.25">
      <c r="A170" s="8">
        <v>318</v>
      </c>
      <c r="B170" s="9">
        <v>44725</v>
      </c>
      <c r="C170" s="10">
        <v>3.458333333333333</v>
      </c>
      <c r="D170" s="11">
        <v>197087.3549360559</v>
      </c>
      <c r="E170" s="11">
        <v>1547.081309166005</v>
      </c>
      <c r="F170" s="11"/>
      <c r="G170" s="11">
        <v>73833.936697195997</v>
      </c>
      <c r="H170" s="12">
        <v>7.5489082285181072E-2</v>
      </c>
      <c r="I170" s="13">
        <v>1761</v>
      </c>
      <c r="J170" s="13">
        <v>450611</v>
      </c>
      <c r="K170" s="12">
        <v>6.369173654260131E-2</v>
      </c>
      <c r="L170" s="14">
        <v>28.095277777777781</v>
      </c>
      <c r="M170" s="15"/>
      <c r="N170" s="16">
        <f t="shared" si="34"/>
        <v>123253.4182388599</v>
      </c>
      <c r="O170" s="17">
        <f t="shared" si="35"/>
        <v>198634.43624522191</v>
      </c>
      <c r="P170" s="18">
        <f t="shared" si="36"/>
        <v>5580689.6625418002</v>
      </c>
      <c r="Q170" s="19">
        <f t="shared" si="37"/>
        <v>7.7885855967898395E-3</v>
      </c>
      <c r="R170" s="20">
        <f t="shared" si="38"/>
        <v>7.5489082285181072E-2</v>
      </c>
      <c r="S170" s="20">
        <f t="shared" si="39"/>
        <v>4.999625429310448E-4</v>
      </c>
      <c r="T170" s="20">
        <f t="shared" si="40"/>
        <v>0</v>
      </c>
      <c r="U170" s="20">
        <f t="shared" si="41"/>
        <v>6.419169908553235E-2</v>
      </c>
      <c r="V170" s="21">
        <f t="shared" si="42"/>
        <v>326812790.27553076</v>
      </c>
      <c r="W170" s="21" t="str">
        <f t="shared" si="43"/>
        <v/>
      </c>
      <c r="X170" s="19" t="str">
        <f t="shared" si="44"/>
        <v/>
      </c>
      <c r="Y170" s="17">
        <f t="shared" si="45"/>
        <v>773.54065458300249</v>
      </c>
      <c r="Z170" s="17">
        <f t="shared" si="46"/>
        <v>196313.81428147291</v>
      </c>
      <c r="AA170" s="20">
        <f t="shared" si="47"/>
        <v>5.556816539454984E-2</v>
      </c>
      <c r="AB170" s="17">
        <f t="shared" si="48"/>
        <v>196313.81428147291</v>
      </c>
      <c r="AC170" s="18">
        <f t="shared" si="49"/>
        <v>5515491.14385306</v>
      </c>
      <c r="AD170" s="19">
        <f t="shared" si="50"/>
        <v>3.9248619214255235E-3</v>
      </c>
    </row>
    <row r="171" spans="1:30" x14ac:dyDescent="0.25">
      <c r="A171" s="8">
        <v>319</v>
      </c>
      <c r="B171" s="9">
        <v>44728</v>
      </c>
      <c r="C171" s="10">
        <v>3.583333333333333</v>
      </c>
      <c r="D171" s="11">
        <v>196985.67306533511</v>
      </c>
      <c r="E171" s="11">
        <v>1978.209675772011</v>
      </c>
      <c r="F171" s="11"/>
      <c r="G171" s="11">
        <v>73602.973424009004</v>
      </c>
      <c r="H171" s="12">
        <v>7.5562858786055453E-2</v>
      </c>
      <c r="I171" s="13">
        <v>1763</v>
      </c>
      <c r="J171" s="13">
        <v>445914</v>
      </c>
      <c r="K171" s="12">
        <v>6.1440979733667057E-2</v>
      </c>
      <c r="L171" s="14">
        <v>32.317534722222099</v>
      </c>
      <c r="M171" s="15"/>
      <c r="N171" s="16">
        <f t="shared" si="34"/>
        <v>123382.69964132611</v>
      </c>
      <c r="O171" s="17">
        <f t="shared" si="35"/>
        <v>198963.88274110711</v>
      </c>
      <c r="P171" s="18">
        <f t="shared" si="36"/>
        <v>6430022.1889538551</v>
      </c>
      <c r="Q171" s="19">
        <f t="shared" si="37"/>
        <v>9.9425566515811727E-3</v>
      </c>
      <c r="R171" s="20">
        <f t="shared" si="38"/>
        <v>7.5562858786055453E-2</v>
      </c>
      <c r="S171" s="20">
        <f t="shared" si="39"/>
        <v>6.1701512961168223E-4</v>
      </c>
      <c r="T171" s="20">
        <f t="shared" si="40"/>
        <v>0</v>
      </c>
      <c r="U171" s="20">
        <f t="shared" si="41"/>
        <v>6.2057994863278738E-2</v>
      </c>
      <c r="V171" s="21">
        <f t="shared" si="42"/>
        <v>326798100.4405911</v>
      </c>
      <c r="W171" s="21" t="str">
        <f t="shared" si="43"/>
        <v/>
      </c>
      <c r="X171" s="19" t="str">
        <f t="shared" si="44"/>
        <v/>
      </c>
      <c r="Y171" s="17">
        <f t="shared" si="45"/>
        <v>989.1048378860055</v>
      </c>
      <c r="Z171" s="17">
        <f t="shared" si="46"/>
        <v>195996.56822744911</v>
      </c>
      <c r="AA171" s="20">
        <f t="shared" si="47"/>
        <v>5.5494039283946701E-2</v>
      </c>
      <c r="AB171" s="17">
        <f t="shared" si="48"/>
        <v>195996.56822744911</v>
      </c>
      <c r="AC171" s="18">
        <f t="shared" si="49"/>
        <v>6334125.899126959</v>
      </c>
      <c r="AD171" s="19">
        <f t="shared" si="50"/>
        <v>5.021201910242197E-3</v>
      </c>
    </row>
    <row r="172" spans="1:30" x14ac:dyDescent="0.25">
      <c r="A172" s="8">
        <v>320</v>
      </c>
      <c r="B172" s="9">
        <v>44732</v>
      </c>
      <c r="C172" s="10">
        <v>3.25</v>
      </c>
      <c r="D172" s="11">
        <v>196883.81573149169</v>
      </c>
      <c r="E172" s="11">
        <v>2021.5827382600121</v>
      </c>
      <c r="F172" s="11"/>
      <c r="G172" s="11">
        <v>73432.542151232003</v>
      </c>
      <c r="H172" s="12">
        <v>7.5946203742136439E-2</v>
      </c>
      <c r="I172" s="13">
        <v>1760</v>
      </c>
      <c r="J172" s="13">
        <v>448044</v>
      </c>
      <c r="K172" s="12">
        <v>6.8157957377398562E-2</v>
      </c>
      <c r="L172" s="14">
        <v>34.087881944444611</v>
      </c>
      <c r="M172" s="15"/>
      <c r="N172" s="16">
        <f t="shared" si="34"/>
        <v>123451.27358025969</v>
      </c>
      <c r="O172" s="17">
        <f t="shared" si="35"/>
        <v>198905.3984697517</v>
      </c>
      <c r="P172" s="18">
        <f t="shared" si="36"/>
        <v>6780263.7411496099</v>
      </c>
      <c r="Q172" s="19">
        <f t="shared" si="37"/>
        <v>1.0163538817009241E-2</v>
      </c>
      <c r="R172" s="20">
        <f t="shared" si="38"/>
        <v>7.5946203742136439E-2</v>
      </c>
      <c r="S172" s="20">
        <f t="shared" si="39"/>
        <v>6.9983888516831239E-4</v>
      </c>
      <c r="T172" s="20">
        <f t="shared" si="40"/>
        <v>0</v>
      </c>
      <c r="U172" s="20">
        <f t="shared" si="41"/>
        <v>6.885779626256687E-2</v>
      </c>
      <c r="V172" s="21">
        <f t="shared" si="42"/>
        <v>324638718.02849072</v>
      </c>
      <c r="W172" s="21" t="str">
        <f t="shared" si="43"/>
        <v/>
      </c>
      <c r="X172" s="19" t="str">
        <f t="shared" si="44"/>
        <v/>
      </c>
      <c r="Y172" s="17">
        <f t="shared" si="45"/>
        <v>1010.791369130006</v>
      </c>
      <c r="Z172" s="17">
        <f t="shared" si="46"/>
        <v>195873.02436236167</v>
      </c>
      <c r="AA172" s="20">
        <f t="shared" si="47"/>
        <v>5.5395358263140626E-2</v>
      </c>
      <c r="AB172" s="17">
        <f t="shared" si="48"/>
        <v>195873.02436236167</v>
      </c>
      <c r="AC172" s="18">
        <f t="shared" si="49"/>
        <v>6676896.5305655077</v>
      </c>
      <c r="AD172" s="19">
        <f t="shared" si="50"/>
        <v>5.1339484933008101E-3</v>
      </c>
    </row>
    <row r="173" spans="1:30" x14ac:dyDescent="0.25">
      <c r="A173" s="8">
        <v>321</v>
      </c>
      <c r="B173" s="9">
        <v>44735</v>
      </c>
      <c r="C173" s="10">
        <v>3.083333333333333</v>
      </c>
      <c r="D173" s="11">
        <v>196781.92685852389</v>
      </c>
      <c r="E173" s="11">
        <v>1954.455263558011</v>
      </c>
      <c r="F173" s="11"/>
      <c r="G173" s="11">
        <v>73658.101530561995</v>
      </c>
      <c r="H173" s="12">
        <v>7.6509696539618421E-2</v>
      </c>
      <c r="I173" s="13">
        <v>1758</v>
      </c>
      <c r="J173" s="13">
        <v>445160</v>
      </c>
      <c r="K173" s="12">
        <v>7.1611546337205387E-2</v>
      </c>
      <c r="L173" s="14">
        <v>36.516458333333333</v>
      </c>
      <c r="M173" s="15"/>
      <c r="N173" s="16">
        <f t="shared" si="34"/>
        <v>123123.82532796189</v>
      </c>
      <c r="O173" s="17">
        <f t="shared" si="35"/>
        <v>198736.38212208191</v>
      </c>
      <c r="P173" s="18">
        <f t="shared" si="36"/>
        <v>7257148.8170784153</v>
      </c>
      <c r="Q173" s="19">
        <f t="shared" si="37"/>
        <v>9.8344110056175181E-3</v>
      </c>
      <c r="R173" s="20">
        <f t="shared" si="38"/>
        <v>7.6509696539618421E-2</v>
      </c>
      <c r="S173" s="20">
        <f t="shared" si="39"/>
        <v>7.1125212515529769E-4</v>
      </c>
      <c r="T173" s="20">
        <f t="shared" si="40"/>
        <v>0</v>
      </c>
      <c r="U173" s="20">
        <f t="shared" si="41"/>
        <v>7.2322798462360685E-2</v>
      </c>
      <c r="V173" s="21">
        <f t="shared" si="42"/>
        <v>325515672.81183946</v>
      </c>
      <c r="W173" s="21" t="str">
        <f t="shared" si="43"/>
        <v/>
      </c>
      <c r="X173" s="19" t="str">
        <f t="shared" si="44"/>
        <v/>
      </c>
      <c r="Y173" s="17">
        <f t="shared" si="45"/>
        <v>977.22763177900549</v>
      </c>
      <c r="Z173" s="17">
        <f t="shared" si="46"/>
        <v>195804.69922674488</v>
      </c>
      <c r="AA173" s="20">
        <f t="shared" si="47"/>
        <v>5.5321462671584588E-2</v>
      </c>
      <c r="AB173" s="17">
        <f t="shared" si="48"/>
        <v>195804.69922674488</v>
      </c>
      <c r="AC173" s="18">
        <f t="shared" si="49"/>
        <v>7150094.1407842953</v>
      </c>
      <c r="AD173" s="19">
        <f t="shared" si="50"/>
        <v>4.9660436168082753E-3</v>
      </c>
    </row>
    <row r="174" spans="1:30" x14ac:dyDescent="0.25">
      <c r="A174" s="8">
        <v>322</v>
      </c>
      <c r="B174" s="9">
        <v>44738</v>
      </c>
      <c r="C174" s="10">
        <v>3.25</v>
      </c>
      <c r="D174" s="11">
        <v>196680.05269622401</v>
      </c>
      <c r="E174" s="11">
        <v>2035.0397439060109</v>
      </c>
      <c r="F174" s="11"/>
      <c r="G174" s="11">
        <v>75421.737497800001</v>
      </c>
      <c r="H174" s="12">
        <v>7.6506042140514346E-2</v>
      </c>
      <c r="I174" s="13">
        <v>1761</v>
      </c>
      <c r="J174" s="13">
        <v>448670</v>
      </c>
      <c r="K174" s="12">
        <v>6.789885191749731E-2</v>
      </c>
      <c r="L174" s="14">
        <v>40.965590277777757</v>
      </c>
      <c r="M174" s="15"/>
      <c r="N174" s="16">
        <f t="shared" si="34"/>
        <v>121258.31519842401</v>
      </c>
      <c r="O174" s="17">
        <f t="shared" si="35"/>
        <v>198715.09244013001</v>
      </c>
      <c r="P174" s="18">
        <f t="shared" si="36"/>
        <v>8140481.0589130986</v>
      </c>
      <c r="Q174" s="19">
        <f t="shared" si="37"/>
        <v>1.0240992362062983E-2</v>
      </c>
      <c r="R174" s="20">
        <f t="shared" si="38"/>
        <v>7.6506042140514346E-2</v>
      </c>
      <c r="S174" s="20">
        <f t="shared" si="39"/>
        <v>7.0254639615697384E-4</v>
      </c>
      <c r="T174" s="20">
        <f t="shared" si="40"/>
        <v>0</v>
      </c>
      <c r="U174" s="20">
        <f t="shared" si="41"/>
        <v>6.8601398313654291E-2</v>
      </c>
      <c r="V174" s="21">
        <f t="shared" si="42"/>
        <v>325540291.94704163</v>
      </c>
      <c r="W174" s="21" t="str">
        <f t="shared" si="43"/>
        <v/>
      </c>
      <c r="X174" s="19" t="str">
        <f t="shared" si="44"/>
        <v/>
      </c>
      <c r="Y174" s="17">
        <f t="shared" si="45"/>
        <v>1017.5198719530055</v>
      </c>
      <c r="Z174" s="17">
        <f t="shared" si="46"/>
        <v>195662.53282427101</v>
      </c>
      <c r="AA174" s="20">
        <f t="shared" si="47"/>
        <v>5.5247665654324714E-2</v>
      </c>
      <c r="AB174" s="17">
        <f t="shared" si="48"/>
        <v>195662.53282427101</v>
      </c>
      <c r="AC174" s="18">
        <f t="shared" si="49"/>
        <v>8015431.1523913275</v>
      </c>
      <c r="AD174" s="19">
        <f t="shared" si="50"/>
        <v>5.1734777269181629E-3</v>
      </c>
    </row>
    <row r="175" spans="1:30" x14ac:dyDescent="0.25">
      <c r="A175" s="8">
        <v>323</v>
      </c>
      <c r="B175" s="9">
        <v>44741</v>
      </c>
      <c r="C175" s="10">
        <v>3.083333333333333</v>
      </c>
      <c r="D175" s="11">
        <v>196578.13556763571</v>
      </c>
      <c r="E175" s="11">
        <v>2010.636542455012</v>
      </c>
      <c r="F175" s="11"/>
      <c r="G175" s="11">
        <v>75573.316086431994</v>
      </c>
      <c r="H175" s="12">
        <v>7.660671734297661E-2</v>
      </c>
      <c r="I175" s="13">
        <v>1768</v>
      </c>
      <c r="J175" s="13">
        <v>445461</v>
      </c>
      <c r="K175" s="12">
        <v>7.1442965995827001E-2</v>
      </c>
      <c r="L175" s="14">
        <v>34.807638888888988</v>
      </c>
      <c r="M175" s="15"/>
      <c r="N175" s="16">
        <f t="shared" si="34"/>
        <v>121004.81948120371</v>
      </c>
      <c r="O175" s="17">
        <f t="shared" si="35"/>
        <v>198588.77211009071</v>
      </c>
      <c r="P175" s="18">
        <f t="shared" si="36"/>
        <v>6912406.2669959059</v>
      </c>
      <c r="Q175" s="19">
        <f t="shared" si="37"/>
        <v>1.0124623467334724E-2</v>
      </c>
      <c r="R175" s="20">
        <f t="shared" si="38"/>
        <v>7.660671734297661E-2</v>
      </c>
      <c r="S175" s="20">
        <f t="shared" si="39"/>
        <v>7.3073151150707225E-4</v>
      </c>
      <c r="T175" s="20">
        <f t="shared" si="40"/>
        <v>0</v>
      </c>
      <c r="U175" s="20">
        <f t="shared" si="41"/>
        <v>7.2173697507334073E-2</v>
      </c>
      <c r="V175" s="21">
        <f t="shared" si="42"/>
        <v>325945869.63607645</v>
      </c>
      <c r="W175" s="21" t="str">
        <f t="shared" si="43"/>
        <v/>
      </c>
      <c r="X175" s="19" t="str">
        <f t="shared" si="44"/>
        <v/>
      </c>
      <c r="Y175" s="17">
        <f t="shared" si="45"/>
        <v>1005.318271227506</v>
      </c>
      <c r="Z175" s="17">
        <f t="shared" si="46"/>
        <v>195572.8172964082</v>
      </c>
      <c r="AA175" s="20">
        <f t="shared" si="47"/>
        <v>5.5173967079866125E-2</v>
      </c>
      <c r="AB175" s="17">
        <f t="shared" si="48"/>
        <v>195572.8172964082</v>
      </c>
      <c r="AC175" s="18">
        <f t="shared" si="49"/>
        <v>6807428.0009360388</v>
      </c>
      <c r="AD175" s="19">
        <f t="shared" si="50"/>
        <v>5.1140899689813722E-3</v>
      </c>
    </row>
    <row r="176" spans="1:30" x14ac:dyDescent="0.25">
      <c r="A176" s="8">
        <v>324</v>
      </c>
      <c r="B176" s="9">
        <v>44744</v>
      </c>
      <c r="C176" s="10">
        <v>3.208333333333333</v>
      </c>
      <c r="D176" s="11">
        <v>196476.2151125235</v>
      </c>
      <c r="E176" s="11">
        <v>1955.516956499009</v>
      </c>
      <c r="F176" s="11"/>
      <c r="G176" s="11">
        <v>77699.146215055007</v>
      </c>
      <c r="H176" s="12">
        <v>7.6757015103847775E-2</v>
      </c>
      <c r="I176" s="13">
        <v>1776</v>
      </c>
      <c r="J176" s="13">
        <v>449747</v>
      </c>
      <c r="K176" s="12">
        <v>6.8670139196056648E-2</v>
      </c>
      <c r="L176" s="14">
        <v>32.837743055555492</v>
      </c>
      <c r="M176" s="15"/>
      <c r="N176" s="16">
        <f t="shared" si="34"/>
        <v>118777.06889746849</v>
      </c>
      <c r="O176" s="17">
        <f t="shared" si="35"/>
        <v>198431.73206902252</v>
      </c>
      <c r="P176" s="18">
        <f t="shared" si="36"/>
        <v>6516050.2317513926</v>
      </c>
      <c r="Q176" s="19">
        <f t="shared" si="37"/>
        <v>9.8548600876940482E-3</v>
      </c>
      <c r="R176" s="20">
        <f t="shared" si="38"/>
        <v>7.6757015103847775E-2</v>
      </c>
      <c r="S176" s="20">
        <f t="shared" si="39"/>
        <v>6.8347011635036612E-4</v>
      </c>
      <c r="T176" s="20">
        <f t="shared" si="40"/>
        <v>0</v>
      </c>
      <c r="U176" s="20">
        <f t="shared" si="41"/>
        <v>6.9353609312407014E-2</v>
      </c>
      <c r="V176" s="21">
        <f t="shared" si="42"/>
        <v>325726278.04174405</v>
      </c>
      <c r="W176" s="21" t="str">
        <f t="shared" si="43"/>
        <v/>
      </c>
      <c r="X176" s="19" t="str">
        <f t="shared" si="44"/>
        <v/>
      </c>
      <c r="Y176" s="17">
        <f t="shared" si="45"/>
        <v>977.75847824950449</v>
      </c>
      <c r="Z176" s="17">
        <f t="shared" si="46"/>
        <v>195498.45663427399</v>
      </c>
      <c r="AA176" s="20">
        <f t="shared" si="47"/>
        <v>5.5100366816889353E-2</v>
      </c>
      <c r="AB176" s="17">
        <f t="shared" si="48"/>
        <v>195498.45663427399</v>
      </c>
      <c r="AC176" s="18">
        <f t="shared" si="49"/>
        <v>6419728.0867139474</v>
      </c>
      <c r="AD176" s="19">
        <f t="shared" si="50"/>
        <v>4.976472483906179E-3</v>
      </c>
    </row>
    <row r="177" spans="1:30" x14ac:dyDescent="0.25">
      <c r="A177" s="8">
        <v>325</v>
      </c>
      <c r="B177" s="9">
        <v>44748</v>
      </c>
      <c r="C177" s="10">
        <v>3.208333333333333</v>
      </c>
      <c r="D177" s="11">
        <v>196374.3027778074</v>
      </c>
      <c r="E177" s="11">
        <v>2028.5621766210079</v>
      </c>
      <c r="F177" s="11"/>
      <c r="G177" s="11">
        <v>77632.705350138</v>
      </c>
      <c r="H177" s="12">
        <v>7.6660847630557152E-2</v>
      </c>
      <c r="I177" s="13">
        <v>1792</v>
      </c>
      <c r="J177" s="13">
        <v>445227</v>
      </c>
      <c r="K177" s="12">
        <v>6.8414236930281605E-2</v>
      </c>
      <c r="L177" s="14">
        <v>36.003159722222229</v>
      </c>
      <c r="M177" s="15"/>
      <c r="N177" s="16">
        <f t="shared" si="34"/>
        <v>118741.5974276694</v>
      </c>
      <c r="O177" s="17">
        <f t="shared" si="35"/>
        <v>198402.8649544284</v>
      </c>
      <c r="P177" s="18">
        <f t="shared" si="36"/>
        <v>7143130.0363007728</v>
      </c>
      <c r="Q177" s="19">
        <f t="shared" si="37"/>
        <v>1.0224460100850624E-2</v>
      </c>
      <c r="R177" s="20">
        <f t="shared" si="38"/>
        <v>7.6660847630557152E-2</v>
      </c>
      <c r="S177" s="20">
        <f t="shared" si="39"/>
        <v>7.0672451240316487E-4</v>
      </c>
      <c r="T177" s="20">
        <f t="shared" si="40"/>
        <v>0</v>
      </c>
      <c r="U177" s="20">
        <f t="shared" si="41"/>
        <v>6.9120961442684772E-2</v>
      </c>
      <c r="V177" s="21">
        <f t="shared" si="42"/>
        <v>326775065.13748574</v>
      </c>
      <c r="W177" s="21" t="str">
        <f t="shared" si="43"/>
        <v/>
      </c>
      <c r="X177" s="19" t="str">
        <f t="shared" si="44"/>
        <v/>
      </c>
      <c r="Y177" s="17">
        <f t="shared" si="45"/>
        <v>1014.2810883105039</v>
      </c>
      <c r="Z177" s="17">
        <f t="shared" si="46"/>
        <v>195360.02168949691</v>
      </c>
      <c r="AA177" s="20">
        <f t="shared" si="47"/>
        <v>5.500238583524808E-2</v>
      </c>
      <c r="AB177" s="17">
        <f t="shared" si="48"/>
        <v>195360.02168949691</v>
      </c>
      <c r="AC177" s="18">
        <f t="shared" si="49"/>
        <v>7033578.0642237561</v>
      </c>
      <c r="AD177" s="19">
        <f t="shared" si="50"/>
        <v>5.165039793715462E-3</v>
      </c>
    </row>
    <row r="178" spans="1:30" x14ac:dyDescent="0.25">
      <c r="A178" s="8">
        <v>326</v>
      </c>
      <c r="B178" s="9">
        <v>44751</v>
      </c>
      <c r="C178" s="10">
        <v>3.208333333333333</v>
      </c>
      <c r="D178" s="11">
        <v>196272.35093201141</v>
      </c>
      <c r="E178" s="11">
        <v>2093.9026481340088</v>
      </c>
      <c r="F178" s="11"/>
      <c r="G178" s="11">
        <v>78214.369096434006</v>
      </c>
      <c r="H178" s="12">
        <v>7.6596214492733933E-2</v>
      </c>
      <c r="I178" s="13">
        <v>1805</v>
      </c>
      <c r="J178" s="13">
        <v>452056</v>
      </c>
      <c r="K178" s="12">
        <v>6.8599238261383255E-2</v>
      </c>
      <c r="L178" s="14">
        <v>38.393368055555577</v>
      </c>
      <c r="M178" s="15"/>
      <c r="N178" s="16">
        <f t="shared" si="34"/>
        <v>118057.9818355774</v>
      </c>
      <c r="O178" s="17">
        <f t="shared" si="35"/>
        <v>198366.25358014542</v>
      </c>
      <c r="P178" s="18">
        <f t="shared" si="36"/>
        <v>7615948.5835041925</v>
      </c>
      <c r="Q178" s="19">
        <f t="shared" si="37"/>
        <v>1.0555740254922013E-2</v>
      </c>
      <c r="R178" s="20">
        <f t="shared" si="38"/>
        <v>7.6596214492733933E-2</v>
      </c>
      <c r="S178" s="20">
        <f t="shared" si="39"/>
        <v>7.3184086282862657E-4</v>
      </c>
      <c r="T178" s="20">
        <f t="shared" si="40"/>
        <v>0</v>
      </c>
      <c r="U178" s="20">
        <f t="shared" si="41"/>
        <v>6.9331079124211881E-2</v>
      </c>
      <c r="V178" s="21">
        <f t="shared" si="42"/>
        <v>325724609.68536991</v>
      </c>
      <c r="W178" s="21" t="str">
        <f t="shared" si="43"/>
        <v/>
      </c>
      <c r="X178" s="19" t="str">
        <f t="shared" si="44"/>
        <v/>
      </c>
      <c r="Y178" s="17">
        <f t="shared" si="45"/>
        <v>1046.9513240670044</v>
      </c>
      <c r="Z178" s="17">
        <f t="shared" si="46"/>
        <v>195225.39960794442</v>
      </c>
      <c r="AA178" s="20">
        <f t="shared" si="47"/>
        <v>5.4929014456025618E-2</v>
      </c>
      <c r="AB178" s="17">
        <f t="shared" si="48"/>
        <v>195225.39960794442</v>
      </c>
      <c r="AC178" s="18">
        <f t="shared" si="49"/>
        <v>7495360.6209407253</v>
      </c>
      <c r="AD178" s="19">
        <f t="shared" si="50"/>
        <v>5.3341763070319948E-3</v>
      </c>
    </row>
    <row r="179" spans="1:30" x14ac:dyDescent="0.25">
      <c r="A179" s="8">
        <v>327</v>
      </c>
      <c r="B179" s="9">
        <v>44754</v>
      </c>
      <c r="C179" s="10">
        <v>3.041666666666667</v>
      </c>
      <c r="D179" s="11">
        <v>196170.36249949349</v>
      </c>
      <c r="E179" s="11">
        <v>2118.13735245101</v>
      </c>
      <c r="F179" s="11"/>
      <c r="G179" s="11">
        <v>77627.197472457003</v>
      </c>
      <c r="H179" s="12">
        <v>7.6562129159677403E-2</v>
      </c>
      <c r="I179" s="13">
        <v>1822</v>
      </c>
      <c r="J179" s="13">
        <v>451306</v>
      </c>
      <c r="K179" s="12">
        <v>7.2317714895052815E-2</v>
      </c>
      <c r="L179" s="14">
        <v>33.69406249999998</v>
      </c>
      <c r="M179" s="15"/>
      <c r="N179" s="16">
        <f t="shared" si="34"/>
        <v>118543.16502703649</v>
      </c>
      <c r="O179" s="17">
        <f t="shared" si="35"/>
        <v>198288.49985194451</v>
      </c>
      <c r="P179" s="18">
        <f t="shared" si="36"/>
        <v>6681145.1070426553</v>
      </c>
      <c r="Q179" s="19">
        <f t="shared" si="37"/>
        <v>1.0682098830908265E-2</v>
      </c>
      <c r="R179" s="20">
        <f t="shared" si="38"/>
        <v>7.6562129159677403E-2</v>
      </c>
      <c r="S179" s="20">
        <f t="shared" si="39"/>
        <v>7.8084605243827104E-4</v>
      </c>
      <c r="T179" s="20">
        <f t="shared" si="40"/>
        <v>0</v>
      </c>
      <c r="U179" s="20">
        <f t="shared" si="41"/>
        <v>7.3098560947491092E-2</v>
      </c>
      <c r="V179" s="21">
        <f t="shared" si="42"/>
        <v>325737160.32873452</v>
      </c>
      <c r="W179" s="21" t="str">
        <f t="shared" si="43"/>
        <v/>
      </c>
      <c r="X179" s="19" t="str">
        <f t="shared" si="44"/>
        <v/>
      </c>
      <c r="Y179" s="17">
        <f t="shared" si="45"/>
        <v>1059.068676225505</v>
      </c>
      <c r="Z179" s="17">
        <f t="shared" si="46"/>
        <v>195111.293823268</v>
      </c>
      <c r="AA179" s="20">
        <f t="shared" si="47"/>
        <v>5.4855740951817257E-2</v>
      </c>
      <c r="AB179" s="17">
        <f t="shared" si="48"/>
        <v>195111.293823268</v>
      </c>
      <c r="AC179" s="18">
        <f t="shared" si="49"/>
        <v>6574092.1285370523</v>
      </c>
      <c r="AD179" s="19">
        <f t="shared" si="50"/>
        <v>5.3987190660782893E-3</v>
      </c>
    </row>
    <row r="180" spans="1:30" x14ac:dyDescent="0.25">
      <c r="A180" s="8">
        <v>328</v>
      </c>
      <c r="B180" s="9">
        <v>44757</v>
      </c>
      <c r="C180" s="10">
        <v>3.041666666666667</v>
      </c>
      <c r="D180" s="11">
        <v>196068.35308857809</v>
      </c>
      <c r="E180" s="11">
        <v>2023.5804164750059</v>
      </c>
      <c r="F180" s="11"/>
      <c r="G180" s="11">
        <v>77416.256440543002</v>
      </c>
      <c r="H180" s="12">
        <v>7.6718854045137785E-2</v>
      </c>
      <c r="I180" s="13">
        <v>1826</v>
      </c>
      <c r="J180" s="13">
        <v>454516</v>
      </c>
      <c r="K180" s="12">
        <v>7.2133388973829218E-2</v>
      </c>
      <c r="L180" s="14">
        <v>37.607118055555567</v>
      </c>
      <c r="M180" s="15"/>
      <c r="N180" s="16">
        <f t="shared" si="34"/>
        <v>118652.09664803509</v>
      </c>
      <c r="O180" s="17">
        <f t="shared" si="35"/>
        <v>198091.93350505311</v>
      </c>
      <c r="P180" s="18">
        <f t="shared" si="36"/>
        <v>7449666.7291777954</v>
      </c>
      <c r="Q180" s="19">
        <f t="shared" si="37"/>
        <v>1.0215360013250548E-2</v>
      </c>
      <c r="R180" s="20">
        <f t="shared" si="38"/>
        <v>7.6718854045137785E-2</v>
      </c>
      <c r="S180" s="20">
        <f t="shared" si="39"/>
        <v>7.4447360322076495E-4</v>
      </c>
      <c r="T180" s="20">
        <f t="shared" si="40"/>
        <v>0</v>
      </c>
      <c r="U180" s="20">
        <f t="shared" si="41"/>
        <v>7.2877862577049979E-2</v>
      </c>
      <c r="V180" s="21">
        <f t="shared" si="42"/>
        <v>326399714.64912975</v>
      </c>
      <c r="W180" s="21" t="str">
        <f t="shared" si="43"/>
        <v/>
      </c>
      <c r="X180" s="19" t="str">
        <f t="shared" si="44"/>
        <v/>
      </c>
      <c r="Y180" s="17">
        <f t="shared" si="45"/>
        <v>1011.790208237503</v>
      </c>
      <c r="Z180" s="17">
        <f t="shared" si="46"/>
        <v>195056.56288034059</v>
      </c>
      <c r="AA180" s="20">
        <f t="shared" si="47"/>
        <v>5.4782565192060928E-2</v>
      </c>
      <c r="AB180" s="17">
        <f t="shared" si="48"/>
        <v>195056.56288034059</v>
      </c>
      <c r="AC180" s="18">
        <f t="shared" si="49"/>
        <v>7335515.1877518659</v>
      </c>
      <c r="AD180" s="19">
        <f t="shared" si="50"/>
        <v>5.1603953024504925E-3</v>
      </c>
    </row>
    <row r="181" spans="1:30" x14ac:dyDescent="0.25">
      <c r="A181" s="8">
        <v>329</v>
      </c>
      <c r="B181" s="9">
        <v>44760</v>
      </c>
      <c r="C181" s="10">
        <v>3.291666666666667</v>
      </c>
      <c r="D181" s="11">
        <v>195966.36711979689</v>
      </c>
      <c r="E181" s="11">
        <v>2072.8115981450092</v>
      </c>
      <c r="F181" s="11"/>
      <c r="G181" s="11">
        <v>77235.787063429001</v>
      </c>
      <c r="H181" s="12">
        <v>7.6533205744593213E-2</v>
      </c>
      <c r="I181" s="13">
        <v>1845</v>
      </c>
      <c r="J181" s="13">
        <v>452983</v>
      </c>
      <c r="K181" s="12">
        <v>6.6461344793351793E-2</v>
      </c>
      <c r="L181" s="14">
        <v>41.107638888888893</v>
      </c>
      <c r="M181" s="15"/>
      <c r="N181" s="16">
        <f t="shared" si="34"/>
        <v>118730.58005636789</v>
      </c>
      <c r="O181" s="17">
        <f t="shared" si="35"/>
        <v>198039.17871794189</v>
      </c>
      <c r="P181" s="18">
        <f t="shared" si="36"/>
        <v>8140923.0445892857</v>
      </c>
      <c r="Q181" s="19">
        <f t="shared" si="37"/>
        <v>1.0466674380109502E-2</v>
      </c>
      <c r="R181" s="20">
        <f t="shared" si="38"/>
        <v>7.6533205744593213E-2</v>
      </c>
      <c r="S181" s="20">
        <f t="shared" si="39"/>
        <v>7.02987192857223E-4</v>
      </c>
      <c r="T181" s="20">
        <f t="shared" si="40"/>
        <v>0</v>
      </c>
      <c r="U181" s="20">
        <f t="shared" si="41"/>
        <v>6.7164331986209011E-2</v>
      </c>
      <c r="V181" s="21">
        <f t="shared" si="42"/>
        <v>327180033.10242844</v>
      </c>
      <c r="W181" s="21" t="str">
        <f t="shared" si="43"/>
        <v/>
      </c>
      <c r="X181" s="19" t="str">
        <f t="shared" si="44"/>
        <v/>
      </c>
      <c r="Y181" s="17">
        <f t="shared" si="45"/>
        <v>1036.4057990725046</v>
      </c>
      <c r="Z181" s="17">
        <f t="shared" si="46"/>
        <v>194929.9613207244</v>
      </c>
      <c r="AA181" s="20">
        <f t="shared" si="47"/>
        <v>5.470948704636875E-2</v>
      </c>
      <c r="AB181" s="17">
        <f t="shared" si="48"/>
        <v>194929.9613207244</v>
      </c>
      <c r="AC181" s="18">
        <f t="shared" si="49"/>
        <v>8013110.4585974179</v>
      </c>
      <c r="AD181" s="19">
        <f t="shared" si="50"/>
        <v>5.2886922093061802E-3</v>
      </c>
    </row>
    <row r="182" spans="1:30" x14ac:dyDescent="0.25">
      <c r="A182" s="8">
        <v>330</v>
      </c>
      <c r="B182" s="9">
        <v>44763</v>
      </c>
      <c r="C182" s="10">
        <v>3.083333333333333</v>
      </c>
      <c r="D182" s="11">
        <v>195864.35110924719</v>
      </c>
      <c r="E182" s="11">
        <v>2137.7670749990089</v>
      </c>
      <c r="F182" s="11"/>
      <c r="G182" s="11">
        <v>77867.328847939003</v>
      </c>
      <c r="H182" s="12">
        <v>7.6568202511346439E-2</v>
      </c>
      <c r="I182" s="13">
        <v>1853</v>
      </c>
      <c r="J182" s="13">
        <v>457373</v>
      </c>
      <c r="K182" s="12">
        <v>7.0894849531193641E-2</v>
      </c>
      <c r="L182" s="14">
        <v>41.89312499999987</v>
      </c>
      <c r="M182" s="15"/>
      <c r="N182" s="16">
        <f t="shared" si="34"/>
        <v>117997.02226130819</v>
      </c>
      <c r="O182" s="17">
        <f t="shared" si="35"/>
        <v>198002.11818424621</v>
      </c>
      <c r="P182" s="18">
        <f t="shared" si="36"/>
        <v>8294927.4873573733</v>
      </c>
      <c r="Q182" s="19">
        <f t="shared" si="37"/>
        <v>1.0796687907195821E-2</v>
      </c>
      <c r="R182" s="20">
        <f t="shared" si="38"/>
        <v>7.6568202511346439E-2</v>
      </c>
      <c r="S182" s="20">
        <f t="shared" si="39"/>
        <v>7.7378386754137283E-4</v>
      </c>
      <c r="T182" s="20">
        <f t="shared" si="40"/>
        <v>0</v>
      </c>
      <c r="U182" s="20">
        <f t="shared" si="41"/>
        <v>7.1668633398735013E-2</v>
      </c>
      <c r="V182" s="21">
        <f t="shared" si="42"/>
        <v>327273212.55644047</v>
      </c>
      <c r="W182" s="21" t="str">
        <f t="shared" si="43"/>
        <v/>
      </c>
      <c r="X182" s="19" t="str">
        <f t="shared" si="44"/>
        <v/>
      </c>
      <c r="Y182" s="17">
        <f t="shared" si="45"/>
        <v>1068.8835374995044</v>
      </c>
      <c r="Z182" s="17">
        <f t="shared" si="46"/>
        <v>194795.46757174769</v>
      </c>
      <c r="AA182" s="20">
        <f t="shared" si="47"/>
        <v>5.4636506384526745E-2</v>
      </c>
      <c r="AB182" s="17">
        <f t="shared" si="48"/>
        <v>194795.46757174769</v>
      </c>
      <c r="AC182" s="18">
        <f t="shared" si="49"/>
        <v>8160590.8724166472</v>
      </c>
      <c r="AD182" s="19">
        <f t="shared" si="50"/>
        <v>5.4572643334330588E-3</v>
      </c>
    </row>
    <row r="183" spans="1:30" x14ac:dyDescent="0.25">
      <c r="A183" s="8">
        <v>331</v>
      </c>
      <c r="B183" s="9">
        <v>44766</v>
      </c>
      <c r="C183" s="10">
        <v>2.875</v>
      </c>
      <c r="D183" s="11">
        <v>195762.29927648199</v>
      </c>
      <c r="E183" s="11">
        <v>2091.4277409860092</v>
      </c>
      <c r="F183" s="11"/>
      <c r="G183" s="11">
        <v>77257.147320125005</v>
      </c>
      <c r="H183" s="12">
        <v>7.6576517600857083E-2</v>
      </c>
      <c r="I183" s="13">
        <v>1858</v>
      </c>
      <c r="J183" s="13">
        <v>455212</v>
      </c>
      <c r="K183" s="12">
        <v>7.5105268673820696E-2</v>
      </c>
      <c r="L183" s="14">
        <v>40.723784722222177</v>
      </c>
      <c r="M183" s="15"/>
      <c r="N183" s="16">
        <f t="shared" si="34"/>
        <v>118505.15195635699</v>
      </c>
      <c r="O183" s="17">
        <f t="shared" si="35"/>
        <v>197853.72701746802</v>
      </c>
      <c r="P183" s="18">
        <f t="shared" si="36"/>
        <v>8057352.5855486812</v>
      </c>
      <c r="Q183" s="19">
        <f t="shared" si="37"/>
        <v>1.0570575406958911E-2</v>
      </c>
      <c r="R183" s="20">
        <f t="shared" si="38"/>
        <v>7.6576517600857083E-2</v>
      </c>
      <c r="S183" s="20">
        <f t="shared" si="39"/>
        <v>8.0238760465716841E-4</v>
      </c>
      <c r="T183" s="20">
        <f t="shared" si="40"/>
        <v>0</v>
      </c>
      <c r="U183" s="20">
        <f t="shared" si="41"/>
        <v>7.590765627847787E-2</v>
      </c>
      <c r="V183" s="21">
        <f t="shared" si="42"/>
        <v>331139530.57594991</v>
      </c>
      <c r="W183" s="21" t="str">
        <f t="shared" si="43"/>
        <v/>
      </c>
      <c r="X183" s="19" t="str">
        <f t="shared" si="44"/>
        <v/>
      </c>
      <c r="Y183" s="17">
        <f t="shared" si="45"/>
        <v>1045.7138704930046</v>
      </c>
      <c r="Z183" s="17">
        <f t="shared" si="46"/>
        <v>194716.585405989</v>
      </c>
      <c r="AA183" s="20">
        <f t="shared" si="47"/>
        <v>5.456362307649467E-2</v>
      </c>
      <c r="AB183" s="17">
        <f t="shared" si="48"/>
        <v>194716.585405989</v>
      </c>
      <c r="AC183" s="18">
        <f t="shared" si="49"/>
        <v>7929596.3059196845</v>
      </c>
      <c r="AD183" s="19">
        <f t="shared" si="50"/>
        <v>5.3417531075077235E-3</v>
      </c>
    </row>
    <row r="184" spans="1:30" x14ac:dyDescent="0.25">
      <c r="A184" s="8">
        <v>332</v>
      </c>
      <c r="B184" s="9">
        <v>44769</v>
      </c>
      <c r="C184" s="10">
        <v>3.083333333333333</v>
      </c>
      <c r="D184" s="11">
        <v>195660.25332410619</v>
      </c>
      <c r="E184" s="11">
        <v>2112.0736807510111</v>
      </c>
      <c r="F184" s="11"/>
      <c r="G184" s="11">
        <v>77970.163181758995</v>
      </c>
      <c r="H184" s="12">
        <v>7.6663338555836125E-2</v>
      </c>
      <c r="I184" s="13">
        <v>1856</v>
      </c>
      <c r="J184" s="13">
        <v>457525</v>
      </c>
      <c r="K184" s="12">
        <v>6.9590940096030646E-2</v>
      </c>
      <c r="L184" s="14">
        <v>37.30663194444454</v>
      </c>
      <c r="M184" s="15"/>
      <c r="N184" s="16">
        <f t="shared" si="34"/>
        <v>117690.0901423472</v>
      </c>
      <c r="O184" s="17">
        <f t="shared" si="35"/>
        <v>197772.32700485719</v>
      </c>
      <c r="P184" s="18">
        <f t="shared" si="36"/>
        <v>7378219.4123665364</v>
      </c>
      <c r="Q184" s="19">
        <f t="shared" si="37"/>
        <v>1.0679318551473279E-2</v>
      </c>
      <c r="R184" s="20">
        <f t="shared" si="38"/>
        <v>7.6663338555836125E-2</v>
      </c>
      <c r="S184" s="20">
        <f t="shared" si="39"/>
        <v>7.5120618775892096E-4</v>
      </c>
      <c r="T184" s="20">
        <f t="shared" si="40"/>
        <v>0</v>
      </c>
      <c r="U184" s="20">
        <f t="shared" si="41"/>
        <v>7.0342146283789569E-2</v>
      </c>
      <c r="V184" s="21">
        <f t="shared" si="42"/>
        <v>333057835.03557748</v>
      </c>
      <c r="W184" s="21" t="str">
        <f t="shared" si="43"/>
        <v/>
      </c>
      <c r="X184" s="19" t="str">
        <f t="shared" si="44"/>
        <v/>
      </c>
      <c r="Y184" s="17">
        <f t="shared" si="45"/>
        <v>1056.0368403755056</v>
      </c>
      <c r="Z184" s="17">
        <f t="shared" si="46"/>
        <v>194604.21648373068</v>
      </c>
      <c r="AA184" s="20">
        <f t="shared" si="47"/>
        <v>5.4490836992405728E-2</v>
      </c>
      <c r="AB184" s="17">
        <f t="shared" si="48"/>
        <v>194604.21648373068</v>
      </c>
      <c r="AC184" s="18">
        <f t="shared" si="49"/>
        <v>7260027.8791955477</v>
      </c>
      <c r="AD184" s="19">
        <f t="shared" si="50"/>
        <v>5.397298748388144E-3</v>
      </c>
    </row>
    <row r="185" spans="1:30" x14ac:dyDescent="0.25">
      <c r="A185" s="8">
        <v>333</v>
      </c>
      <c r="B185" s="9">
        <v>44772</v>
      </c>
      <c r="C185" s="10">
        <v>3</v>
      </c>
      <c r="D185" s="11">
        <v>195558.18832582809</v>
      </c>
      <c r="E185" s="11">
        <v>2106.3674445020092</v>
      </c>
      <c r="F185" s="11"/>
      <c r="G185" s="11">
        <v>78031.145161773995</v>
      </c>
      <c r="H185" s="12">
        <v>7.667161694636207E-2</v>
      </c>
      <c r="I185" s="13">
        <v>1859</v>
      </c>
      <c r="J185" s="13">
        <v>458491</v>
      </c>
      <c r="K185" s="12">
        <v>7.1261834033582896E-2</v>
      </c>
      <c r="L185" s="14">
        <v>43.522881944444492</v>
      </c>
      <c r="M185" s="15"/>
      <c r="N185" s="16">
        <f t="shared" si="34"/>
        <v>117527.04316405409</v>
      </c>
      <c r="O185" s="17">
        <f t="shared" si="35"/>
        <v>197664.5557703301</v>
      </c>
      <c r="P185" s="18">
        <f t="shared" si="36"/>
        <v>8602931.1253931411</v>
      </c>
      <c r="Q185" s="19">
        <f t="shared" si="37"/>
        <v>1.0656272877517982E-2</v>
      </c>
      <c r="R185" s="20">
        <f t="shared" si="38"/>
        <v>7.667161694636207E-2</v>
      </c>
      <c r="S185" s="20">
        <f t="shared" si="39"/>
        <v>7.6756493056557727E-4</v>
      </c>
      <c r="T185" s="20">
        <f t="shared" si="40"/>
        <v>0</v>
      </c>
      <c r="U185" s="20">
        <f t="shared" si="41"/>
        <v>7.2029398964148478E-2</v>
      </c>
      <c r="V185" s="21">
        <f t="shared" si="42"/>
        <v>334108850.15181094</v>
      </c>
      <c r="W185" s="21" t="str">
        <f t="shared" si="43"/>
        <v/>
      </c>
      <c r="X185" s="19" t="str">
        <f t="shared" si="44"/>
        <v/>
      </c>
      <c r="Y185" s="17">
        <f t="shared" si="45"/>
        <v>1053.1837222510046</v>
      </c>
      <c r="Z185" s="17">
        <f t="shared" si="46"/>
        <v>194505.00460357708</v>
      </c>
      <c r="AA185" s="20">
        <f t="shared" si="47"/>
        <v>5.4418148002566363E-2</v>
      </c>
      <c r="AB185" s="17">
        <f t="shared" si="48"/>
        <v>194505.00460357708</v>
      </c>
      <c r="AC185" s="18">
        <f t="shared" si="49"/>
        <v>8465418.3529651184</v>
      </c>
      <c r="AD185" s="19">
        <f t="shared" si="50"/>
        <v>5.3855260741945974E-3</v>
      </c>
    </row>
    <row r="186" spans="1:30" x14ac:dyDescent="0.25">
      <c r="A186" s="8">
        <v>334</v>
      </c>
      <c r="B186" s="9">
        <v>44776</v>
      </c>
      <c r="C186" s="10">
        <v>3.041666666666667</v>
      </c>
      <c r="D186" s="11">
        <v>195456.11367912841</v>
      </c>
      <c r="E186" s="11">
        <v>2171.5603712070101</v>
      </c>
      <c r="F186" s="11"/>
      <c r="G186" s="11">
        <v>77060.557794239998</v>
      </c>
      <c r="H186" s="12">
        <v>7.6641263353766365E-2</v>
      </c>
      <c r="I186" s="13">
        <v>1869</v>
      </c>
      <c r="J186" s="13">
        <v>461240</v>
      </c>
      <c r="K186" s="12">
        <v>7.0364782430633682E-2</v>
      </c>
      <c r="L186" s="14">
        <v>39.433819444444417</v>
      </c>
      <c r="M186" s="15"/>
      <c r="N186" s="16">
        <f t="shared" si="34"/>
        <v>118395.55588488841</v>
      </c>
      <c r="O186" s="17">
        <f t="shared" si="35"/>
        <v>197627.67405033542</v>
      </c>
      <c r="P186" s="18">
        <f t="shared" si="36"/>
        <v>7793214.0157264406</v>
      </c>
      <c r="Q186" s="19">
        <f t="shared" si="37"/>
        <v>1.0988139093586242E-2</v>
      </c>
      <c r="R186" s="20">
        <f t="shared" si="38"/>
        <v>7.6641263353766365E-2</v>
      </c>
      <c r="S186" s="20">
        <f t="shared" si="39"/>
        <v>7.8176819429559812E-4</v>
      </c>
      <c r="T186" s="20">
        <f t="shared" si="40"/>
        <v>0</v>
      </c>
      <c r="U186" s="20">
        <f t="shared" si="41"/>
        <v>7.1146550624929278E-2</v>
      </c>
      <c r="V186" s="21">
        <f t="shared" si="42"/>
        <v>333558887.22727138</v>
      </c>
      <c r="W186" s="21" t="str">
        <f t="shared" si="43"/>
        <v/>
      </c>
      <c r="X186" s="19" t="str">
        <f t="shared" si="44"/>
        <v/>
      </c>
      <c r="Y186" s="17">
        <f t="shared" si="45"/>
        <v>1085.7801856035051</v>
      </c>
      <c r="Z186" s="17">
        <f t="shared" si="46"/>
        <v>194370.3334935249</v>
      </c>
      <c r="AA186" s="20">
        <f t="shared" si="47"/>
        <v>5.4321380161108782E-2</v>
      </c>
      <c r="AB186" s="17">
        <f t="shared" si="48"/>
        <v>194370.3334935249</v>
      </c>
      <c r="AC186" s="18">
        <f t="shared" si="49"/>
        <v>7664764.6363401078</v>
      </c>
      <c r="AD186" s="19">
        <f t="shared" si="50"/>
        <v>5.5551098666884475E-3</v>
      </c>
    </row>
    <row r="187" spans="1:30" x14ac:dyDescent="0.25">
      <c r="A187" s="8">
        <v>335</v>
      </c>
      <c r="B187" s="9">
        <v>44778</v>
      </c>
      <c r="C187" s="10">
        <v>2.916666666666667</v>
      </c>
      <c r="D187" s="11">
        <v>195354.00441253209</v>
      </c>
      <c r="E187" s="11">
        <v>2200.2623597740121</v>
      </c>
      <c r="F187" s="11"/>
      <c r="G187" s="11">
        <v>77722.593295717001</v>
      </c>
      <c r="H187" s="12">
        <v>7.6930776740473175E-2</v>
      </c>
      <c r="I187" s="13">
        <v>1888</v>
      </c>
      <c r="J187" s="13">
        <v>459812</v>
      </c>
      <c r="K187" s="12">
        <v>7.2598064266175127E-2</v>
      </c>
      <c r="L187" s="14">
        <v>40.065208333333388</v>
      </c>
      <c r="M187" s="15"/>
      <c r="N187" s="16">
        <f t="shared" si="34"/>
        <v>117631.41111681508</v>
      </c>
      <c r="O187" s="17">
        <f t="shared" si="35"/>
        <v>197554.26677230609</v>
      </c>
      <c r="P187" s="18">
        <f t="shared" si="36"/>
        <v>7915052.8553713653</v>
      </c>
      <c r="Q187" s="19">
        <f t="shared" si="37"/>
        <v>1.1137508674059443E-2</v>
      </c>
      <c r="R187" s="20">
        <f t="shared" si="38"/>
        <v>7.6930776740473175E-2</v>
      </c>
      <c r="S187" s="20">
        <f t="shared" si="39"/>
        <v>8.1766835892447555E-4</v>
      </c>
      <c r="T187" s="20">
        <f t="shared" si="40"/>
        <v>0</v>
      </c>
      <c r="U187" s="20">
        <f t="shared" si="41"/>
        <v>7.3415732625099608E-2</v>
      </c>
      <c r="V187" s="21">
        <f t="shared" si="42"/>
        <v>336977344.26826096</v>
      </c>
      <c r="W187" s="21" t="str">
        <f t="shared" si="43"/>
        <v/>
      </c>
      <c r="X187" s="19" t="str">
        <f t="shared" si="44"/>
        <v/>
      </c>
      <c r="Y187" s="17">
        <f t="shared" si="45"/>
        <v>1100.1311798870061</v>
      </c>
      <c r="Z187" s="17">
        <f t="shared" si="46"/>
        <v>194253.87323264507</v>
      </c>
      <c r="AA187" s="20">
        <f t="shared" si="47"/>
        <v>5.4273060787726979E-2</v>
      </c>
      <c r="AB187" s="17">
        <f t="shared" si="48"/>
        <v>194253.87323264507</v>
      </c>
      <c r="AC187" s="18">
        <f t="shared" si="49"/>
        <v>7782821.9006228587</v>
      </c>
      <c r="AD187" s="19">
        <f t="shared" si="50"/>
        <v>5.6314749379994377E-3</v>
      </c>
    </row>
    <row r="188" spans="1:30" x14ac:dyDescent="0.25">
      <c r="A188" s="8">
        <v>336</v>
      </c>
      <c r="B188" s="9">
        <v>44781</v>
      </c>
      <c r="C188" s="10">
        <v>2.875</v>
      </c>
      <c r="D188" s="11">
        <v>195251.87368731821</v>
      </c>
      <c r="E188" s="11">
        <v>2178.008115765012</v>
      </c>
      <c r="F188" s="11"/>
      <c r="G188" s="11">
        <v>77422.04635936</v>
      </c>
      <c r="H188" s="12">
        <v>7.7043018146739681E-2</v>
      </c>
      <c r="I188" s="13">
        <v>1895</v>
      </c>
      <c r="J188" s="13">
        <v>459473</v>
      </c>
      <c r="K188" s="12">
        <v>7.3551331092195832E-2</v>
      </c>
      <c r="L188" s="14">
        <v>42.336909722222259</v>
      </c>
      <c r="M188" s="15"/>
      <c r="N188" s="16">
        <f t="shared" si="34"/>
        <v>117829.82732795821</v>
      </c>
      <c r="O188" s="17">
        <f t="shared" si="35"/>
        <v>197429.8818030832</v>
      </c>
      <c r="P188" s="18">
        <f t="shared" si="36"/>
        <v>8358571.0823661452</v>
      </c>
      <c r="Q188" s="19">
        <f t="shared" si="37"/>
        <v>1.1031805803021044E-2</v>
      </c>
      <c r="R188" s="20">
        <f t="shared" si="38"/>
        <v>7.7043018146739681E-2</v>
      </c>
      <c r="S188" s="20">
        <f t="shared" si="39"/>
        <v>8.2045510252395004E-4</v>
      </c>
      <c r="T188" s="20">
        <f t="shared" si="40"/>
        <v>0</v>
      </c>
      <c r="U188" s="20">
        <f t="shared" si="41"/>
        <v>7.4371786194719777E-2</v>
      </c>
      <c r="V188" s="21">
        <f t="shared" si="42"/>
        <v>337253953.14865816</v>
      </c>
      <c r="W188" s="21" t="str">
        <f t="shared" si="43"/>
        <v/>
      </c>
      <c r="X188" s="19" t="str">
        <f t="shared" si="44"/>
        <v/>
      </c>
      <c r="Y188" s="17">
        <f t="shared" si="45"/>
        <v>1089.004057882506</v>
      </c>
      <c r="Z188" s="17">
        <f t="shared" si="46"/>
        <v>194162.86962943571</v>
      </c>
      <c r="AA188" s="20">
        <f t="shared" si="47"/>
        <v>5.4200662304203957E-2</v>
      </c>
      <c r="AB188" s="17">
        <f t="shared" si="48"/>
        <v>194162.86962943571</v>
      </c>
      <c r="AC188" s="18">
        <f t="shared" si="49"/>
        <v>8220255.8829090297</v>
      </c>
      <c r="AD188" s="19">
        <f t="shared" si="50"/>
        <v>5.5774320487518977E-3</v>
      </c>
    </row>
    <row r="189" spans="1:30" x14ac:dyDescent="0.25">
      <c r="A189" s="8">
        <v>337</v>
      </c>
      <c r="B189" s="9">
        <v>44784</v>
      </c>
      <c r="C189" s="10">
        <v>3.083333333333333</v>
      </c>
      <c r="D189" s="11">
        <v>195149.7404378074</v>
      </c>
      <c r="E189" s="11">
        <v>2098.995809247011</v>
      </c>
      <c r="F189" s="11"/>
      <c r="G189" s="11">
        <v>76407.053246504001</v>
      </c>
      <c r="H189" s="12">
        <v>7.655920232172074E-2</v>
      </c>
      <c r="I189" s="13">
        <v>1897</v>
      </c>
      <c r="J189" s="13">
        <v>457517</v>
      </c>
      <c r="K189" s="12">
        <v>6.8512469150414604E-2</v>
      </c>
      <c r="L189" s="14">
        <v>43.776562499999933</v>
      </c>
      <c r="M189" s="15"/>
      <c r="N189" s="16">
        <f t="shared" si="34"/>
        <v>118742.6871913034</v>
      </c>
      <c r="O189" s="17">
        <f t="shared" si="35"/>
        <v>197248.73624705442</v>
      </c>
      <c r="P189" s="18">
        <f t="shared" si="36"/>
        <v>8634871.6303651799</v>
      </c>
      <c r="Q189" s="19">
        <f t="shared" si="37"/>
        <v>1.0641365056037747E-2</v>
      </c>
      <c r="R189" s="20">
        <f t="shared" si="38"/>
        <v>7.655920232172074E-2</v>
      </c>
      <c r="S189" s="20">
        <f t="shared" si="39"/>
        <v>7.3690790110845974E-4</v>
      </c>
      <c r="T189" s="20">
        <f t="shared" si="40"/>
        <v>0</v>
      </c>
      <c r="U189" s="20">
        <f t="shared" si="41"/>
        <v>6.9249377051523064E-2</v>
      </c>
      <c r="V189" s="21">
        <f t="shared" si="42"/>
        <v>337417889.80286062</v>
      </c>
      <c r="W189" s="21" t="str">
        <f t="shared" si="43"/>
        <v/>
      </c>
      <c r="X189" s="19" t="str">
        <f t="shared" si="44"/>
        <v/>
      </c>
      <c r="Y189" s="17">
        <f t="shared" si="45"/>
        <v>1049.4979046235055</v>
      </c>
      <c r="Z189" s="17">
        <f t="shared" si="46"/>
        <v>194100.24253318389</v>
      </c>
      <c r="AA189" s="20">
        <f t="shared" si="47"/>
        <v>5.4128360397884066E-2</v>
      </c>
      <c r="AB189" s="17">
        <f t="shared" si="48"/>
        <v>194100.24253318389</v>
      </c>
      <c r="AC189" s="18">
        <f t="shared" si="49"/>
        <v>8497041.3985190708</v>
      </c>
      <c r="AD189" s="19">
        <f t="shared" si="50"/>
        <v>5.3779108405115801E-3</v>
      </c>
    </row>
    <row r="190" spans="1:30" x14ac:dyDescent="0.25">
      <c r="A190" s="8">
        <v>338</v>
      </c>
      <c r="B190" s="9">
        <v>44787</v>
      </c>
      <c r="C190" s="10">
        <v>3</v>
      </c>
      <c r="D190" s="11">
        <v>195047.62576200231</v>
      </c>
      <c r="E190" s="11">
        <v>2107.3017049860109</v>
      </c>
      <c r="F190" s="11"/>
      <c r="G190" s="11">
        <v>76641.639229131004</v>
      </c>
      <c r="H190" s="12">
        <v>7.654235685706573E-2</v>
      </c>
      <c r="I190" s="13">
        <v>1897</v>
      </c>
      <c r="J190" s="13">
        <v>534841</v>
      </c>
      <c r="K190" s="12">
        <v>7.0371794324375417E-2</v>
      </c>
      <c r="L190" s="14">
        <v>46.300555555555711</v>
      </c>
      <c r="M190" s="15"/>
      <c r="N190" s="16">
        <f t="shared" si="34"/>
        <v>118405.98653287131</v>
      </c>
      <c r="O190" s="17">
        <f t="shared" si="35"/>
        <v>197154.92746698833</v>
      </c>
      <c r="P190" s="18">
        <f t="shared" si="36"/>
        <v>9128382.6722368505</v>
      </c>
      <c r="Q190" s="19">
        <f t="shared" si="37"/>
        <v>1.0688557126419567E-2</v>
      </c>
      <c r="R190" s="20">
        <f t="shared" si="38"/>
        <v>7.654235685706573E-2</v>
      </c>
      <c r="S190" s="20">
        <f t="shared" si="39"/>
        <v>7.6029944780579243E-4</v>
      </c>
      <c r="T190" s="20">
        <f t="shared" si="40"/>
        <v>0</v>
      </c>
      <c r="U190" s="20">
        <f t="shared" si="41"/>
        <v>7.1132093772181215E-2</v>
      </c>
      <c r="V190" s="21">
        <f t="shared" si="42"/>
        <v>337451228.35809612</v>
      </c>
      <c r="W190" s="21" t="str">
        <f t="shared" si="43"/>
        <v/>
      </c>
      <c r="X190" s="19" t="str">
        <f t="shared" si="44"/>
        <v/>
      </c>
      <c r="Y190" s="17">
        <f t="shared" si="45"/>
        <v>1053.6508524930055</v>
      </c>
      <c r="Z190" s="17">
        <f t="shared" si="46"/>
        <v>193993.9749095093</v>
      </c>
      <c r="AA190" s="20">
        <f t="shared" si="47"/>
        <v>5.4056154939936499E-2</v>
      </c>
      <c r="AB190" s="17">
        <f t="shared" si="48"/>
        <v>193993.9749095093</v>
      </c>
      <c r="AC190" s="18">
        <f t="shared" si="49"/>
        <v>8982028.8127408158</v>
      </c>
      <c r="AD190" s="19">
        <f t="shared" si="50"/>
        <v>5.4020183448870752E-3</v>
      </c>
    </row>
    <row r="191" spans="1:30" x14ac:dyDescent="0.25">
      <c r="A191" s="8">
        <v>339</v>
      </c>
      <c r="B191" s="9">
        <v>44790</v>
      </c>
      <c r="C191" s="10">
        <v>2.958333333333333</v>
      </c>
      <c r="D191" s="11">
        <v>194945.49762443081</v>
      </c>
      <c r="E191" s="11">
        <v>2114.8692261890119</v>
      </c>
      <c r="F191" s="11"/>
      <c r="G191" s="11">
        <v>78082.911737638002</v>
      </c>
      <c r="H191" s="12">
        <v>7.6519348171410359E-2</v>
      </c>
      <c r="I191" s="13">
        <v>1901</v>
      </c>
      <c r="J191" s="13">
        <v>482676</v>
      </c>
      <c r="K191" s="12">
        <v>7.0611751232313502E-2</v>
      </c>
      <c r="L191" s="14">
        <v>42.422708333333397</v>
      </c>
      <c r="M191" s="15"/>
      <c r="N191" s="16">
        <f t="shared" si="34"/>
        <v>116862.5858867928</v>
      </c>
      <c r="O191" s="17">
        <f t="shared" si="35"/>
        <v>197060.36685061982</v>
      </c>
      <c r="P191" s="18">
        <f t="shared" si="36"/>
        <v>8359834.4669635259</v>
      </c>
      <c r="Q191" s="19">
        <f t="shared" si="37"/>
        <v>1.0732088141255584E-2</v>
      </c>
      <c r="R191" s="20">
        <f t="shared" si="38"/>
        <v>7.6519348171410359E-2</v>
      </c>
      <c r="S191" s="20">
        <f t="shared" si="39"/>
        <v>7.6603266814723853E-4</v>
      </c>
      <c r="T191" s="20">
        <f t="shared" si="40"/>
        <v>0</v>
      </c>
      <c r="U191" s="20">
        <f t="shared" si="41"/>
        <v>7.1377783900460734E-2</v>
      </c>
      <c r="V191" s="21">
        <f t="shared" si="42"/>
        <v>340862593.810269</v>
      </c>
      <c r="W191" s="21" t="str">
        <f t="shared" si="43"/>
        <v/>
      </c>
      <c r="X191" s="19" t="str">
        <f t="shared" si="44"/>
        <v/>
      </c>
      <c r="Y191" s="17">
        <f t="shared" si="45"/>
        <v>1057.4346130945059</v>
      </c>
      <c r="Z191" s="17">
        <f t="shared" si="46"/>
        <v>193888.06301133629</v>
      </c>
      <c r="AA191" s="20">
        <f t="shared" si="47"/>
        <v>5.3984045801702275E-2</v>
      </c>
      <c r="AB191" s="17">
        <f t="shared" si="48"/>
        <v>193888.06301133629</v>
      </c>
      <c r="AC191" s="18">
        <f t="shared" si="49"/>
        <v>8225256.7464448866</v>
      </c>
      <c r="AD191" s="19">
        <f t="shared" si="50"/>
        <v>5.4242576821737637E-3</v>
      </c>
    </row>
    <row r="192" spans="1:30" x14ac:dyDescent="0.25">
      <c r="A192" s="8">
        <v>340</v>
      </c>
      <c r="B192" s="9">
        <v>44793</v>
      </c>
      <c r="C192" s="10">
        <v>2.833333333333333</v>
      </c>
      <c r="D192" s="11">
        <v>194843.3561972068</v>
      </c>
      <c r="E192" s="11">
        <v>2174.865227543009</v>
      </c>
      <c r="F192" s="11"/>
      <c r="G192" s="11">
        <v>74687.330689716997</v>
      </c>
      <c r="H192" s="12">
        <v>7.6700362518390894E-2</v>
      </c>
      <c r="I192" s="13">
        <v>1897</v>
      </c>
      <c r="J192" s="13">
        <v>523017</v>
      </c>
      <c r="K192" s="12">
        <v>7.4020072629213535E-2</v>
      </c>
      <c r="L192" s="14">
        <v>36.259895833333381</v>
      </c>
      <c r="M192" s="15"/>
      <c r="N192" s="16">
        <f t="shared" si="34"/>
        <v>120156.0255074898</v>
      </c>
      <c r="O192" s="17">
        <f t="shared" si="35"/>
        <v>197018.22142474982</v>
      </c>
      <c r="P192" s="18">
        <f t="shared" si="36"/>
        <v>7143860.1861300394</v>
      </c>
      <c r="Q192" s="19">
        <f t="shared" si="37"/>
        <v>1.1038903974542724E-2</v>
      </c>
      <c r="R192" s="20">
        <f t="shared" si="38"/>
        <v>7.6700362518390894E-2</v>
      </c>
      <c r="S192" s="20">
        <f t="shared" si="39"/>
        <v>8.2622104876159158E-4</v>
      </c>
      <c r="T192" s="20">
        <f t="shared" si="40"/>
        <v>0</v>
      </c>
      <c r="U192" s="20">
        <f t="shared" si="41"/>
        <v>7.4846293677975129E-2</v>
      </c>
      <c r="V192" s="21">
        <f t="shared" si="42"/>
        <v>339334993.82552046</v>
      </c>
      <c r="W192" s="21" t="str">
        <f t="shared" si="43"/>
        <v/>
      </c>
      <c r="X192" s="19" t="str">
        <f t="shared" si="44"/>
        <v/>
      </c>
      <c r="Y192" s="17">
        <f t="shared" si="45"/>
        <v>1087.4326137715045</v>
      </c>
      <c r="Z192" s="17">
        <f t="shared" si="46"/>
        <v>193755.9235834353</v>
      </c>
      <c r="AA192" s="20">
        <f t="shared" si="47"/>
        <v>5.3912032854694057E-2</v>
      </c>
      <c r="AB192" s="17">
        <f t="shared" si="48"/>
        <v>193755.9235834353</v>
      </c>
      <c r="AC192" s="18">
        <f t="shared" si="49"/>
        <v>7025569.6062266668</v>
      </c>
      <c r="AD192" s="19">
        <f t="shared" si="50"/>
        <v>5.5810607813123556E-3</v>
      </c>
    </row>
    <row r="193" spans="1:30" x14ac:dyDescent="0.25">
      <c r="A193" s="8">
        <v>341</v>
      </c>
      <c r="B193" s="9">
        <v>44796</v>
      </c>
      <c r="C193" s="10">
        <v>2.833333333333333</v>
      </c>
      <c r="D193" s="11">
        <v>194741.1824002036</v>
      </c>
      <c r="E193" s="11">
        <v>2162.9938389310082</v>
      </c>
      <c r="F193" s="11"/>
      <c r="G193" s="11">
        <v>76826.742946754996</v>
      </c>
      <c r="H193" s="12">
        <v>7.6764290114738148E-2</v>
      </c>
      <c r="I193" s="13">
        <v>1896</v>
      </c>
      <c r="J193" s="13">
        <v>517324</v>
      </c>
      <c r="K193" s="12">
        <v>7.404603590373976E-2</v>
      </c>
      <c r="L193" s="14">
        <v>35.364583333333357</v>
      </c>
      <c r="M193" s="15"/>
      <c r="N193" s="16">
        <f t="shared" si="34"/>
        <v>117914.43945344861</v>
      </c>
      <c r="O193" s="17">
        <f t="shared" si="35"/>
        <v>196904.1762391346</v>
      </c>
      <c r="P193" s="18">
        <f t="shared" si="36"/>
        <v>6963434.1492902339</v>
      </c>
      <c r="Q193" s="19">
        <f t="shared" si="37"/>
        <v>1.0985007429726188E-2</v>
      </c>
      <c r="R193" s="20">
        <f t="shared" si="38"/>
        <v>7.6764290114738148E-2</v>
      </c>
      <c r="S193" s="20">
        <f t="shared" si="39"/>
        <v>8.224306614710474E-4</v>
      </c>
      <c r="T193" s="20">
        <f t="shared" si="40"/>
        <v>0</v>
      </c>
      <c r="U193" s="20">
        <f t="shared" si="41"/>
        <v>7.4868466565210803E-2</v>
      </c>
      <c r="V193" s="21">
        <f t="shared" si="42"/>
        <v>339038129.15462834</v>
      </c>
      <c r="W193" s="21" t="str">
        <f t="shared" si="43"/>
        <v/>
      </c>
      <c r="X193" s="19" t="str">
        <f t="shared" si="44"/>
        <v/>
      </c>
      <c r="Y193" s="17">
        <f t="shared" si="45"/>
        <v>1081.4969194655041</v>
      </c>
      <c r="Z193" s="17">
        <f t="shared" si="46"/>
        <v>193659.68548073809</v>
      </c>
      <c r="AA193" s="20">
        <f t="shared" si="47"/>
        <v>5.3840115970595903E-2</v>
      </c>
      <c r="AB193" s="17">
        <f t="shared" si="48"/>
        <v>193659.68548073809</v>
      </c>
      <c r="AC193" s="18">
        <f t="shared" si="49"/>
        <v>6848694.0854906905</v>
      </c>
      <c r="AD193" s="19">
        <f t="shared" si="50"/>
        <v>5.5535090530721429E-3</v>
      </c>
    </row>
    <row r="194" spans="1:30" x14ac:dyDescent="0.25">
      <c r="A194" s="8">
        <v>342</v>
      </c>
      <c r="B194" s="9">
        <v>44799</v>
      </c>
      <c r="C194" s="10">
        <v>2.958333333333333</v>
      </c>
      <c r="D194" s="11">
        <v>194639.00297008571</v>
      </c>
      <c r="E194" s="11">
        <v>2220.7860796980099</v>
      </c>
      <c r="F194" s="11"/>
      <c r="G194" s="11">
        <v>76875.337555075996</v>
      </c>
      <c r="H194" s="12">
        <v>7.6230411839227075E-2</v>
      </c>
      <c r="I194" s="13">
        <v>1894</v>
      </c>
      <c r="J194" s="13">
        <v>494301</v>
      </c>
      <c r="K194" s="12">
        <v>7.0540977714932646E-2</v>
      </c>
      <c r="L194" s="14">
        <v>34.1218402777777</v>
      </c>
      <c r="M194" s="15"/>
      <c r="N194" s="16">
        <f t="shared" ref="N194:N257" si="51">D194-G194</f>
        <v>117763.66541500972</v>
      </c>
      <c r="O194" s="17">
        <f t="shared" ref="O194:O257" si="52">D194+E194+F194</f>
        <v>196859.78904978372</v>
      </c>
      <c r="P194" s="18">
        <f t="shared" ref="P194:P257" si="53">O194*L194</f>
        <v>6717218.279073732</v>
      </c>
      <c r="Q194" s="19">
        <f t="shared" ref="Q194:Q257" si="54">IF(O194&gt;0,E194/O194,"")</f>
        <v>1.1281054858472885E-2</v>
      </c>
      <c r="R194" s="20">
        <f t="shared" ref="R194:R257" si="55">IF(H194&lt;&gt;"",H194,IF(D194&gt;0,G194/D194,""))</f>
        <v>7.6230411839227075E-2</v>
      </c>
      <c r="S194" s="20">
        <f t="shared" ref="S194:S257" si="56">IF(AND(K194&lt;&gt;"",D194&gt;0),E194*K194/D194,"")</f>
        <v>8.0485626707452185E-4</v>
      </c>
      <c r="T194" s="20">
        <f t="shared" ref="T194:T257" si="57">IF(AND(K194&lt;&gt;"",D194&gt;0),F194*K194/D194,"")</f>
        <v>0</v>
      </c>
      <c r="U194" s="20">
        <f t="shared" ref="U194:U257" si="58">IF(K194&lt;&gt;"",K194+S194+T194,"")</f>
        <v>7.1345833982007167E-2</v>
      </c>
      <c r="V194" s="21">
        <f t="shared" ref="V194:V257" si="59">IF(AND(K194&lt;&gt;"",K194&gt;0,C194&gt;0),D194*(365.25/C194)/K194,"")</f>
        <v>340668135.87272459</v>
      </c>
      <c r="W194" s="21" t="str">
        <f t="shared" ref="W194:W257" si="60">IF(AND(M194&lt;&gt;"",L194&gt;0),M194/L194,"")</f>
        <v/>
      </c>
      <c r="X194" s="19" t="str">
        <f t="shared" ref="X194:X257" si="61">IF(AND(V194&lt;&gt;"",W194&lt;&gt;"",W194&gt;0),V194/W194,"")</f>
        <v/>
      </c>
      <c r="Y194" s="17">
        <f t="shared" ref="Y194:Y257" si="62">IF(A194&lt;620,E194*0.5,"")</f>
        <v>1110.3930398490049</v>
      </c>
      <c r="Z194" s="17">
        <f t="shared" ref="Z194:Z257" si="63">IF(Y194&lt;&gt;"",D194-Y194,"")</f>
        <v>193528.60993023671</v>
      </c>
      <c r="AA194" s="20">
        <f t="shared" ref="AA194:AA257" si="64">IF(B194&lt;&gt;"",MAX(0.08*0.85^((B194-DATE(2020,3,16))/365.25),0.015),"")</f>
        <v>5.3768295021263041E-2</v>
      </c>
      <c r="AB194" s="17">
        <f t="shared" ref="AB194:AB257" si="65">IF(Z194&lt;&gt;"",Z194,"")</f>
        <v>193528.60993023671</v>
      </c>
      <c r="AC194" s="18">
        <f t="shared" ref="AC194:AC257" si="66">IF(AB194&lt;&gt;"",AB194*L194,"")</f>
        <v>6603552.3172198804</v>
      </c>
      <c r="AD194" s="19">
        <f t="shared" ref="AD194:AD257" si="67">IF(AND(Y194&lt;&gt;"",D194&gt;0),Y194/D194,"")</f>
        <v>5.7048845447469874E-3</v>
      </c>
    </row>
    <row r="195" spans="1:30" x14ac:dyDescent="0.25">
      <c r="A195" s="8">
        <v>343</v>
      </c>
      <c r="B195" s="9">
        <v>44802</v>
      </c>
      <c r="C195" s="10">
        <v>2.708333333333333</v>
      </c>
      <c r="D195" s="11">
        <v>194536.79218701611</v>
      </c>
      <c r="E195" s="11">
        <v>2175.9885964160112</v>
      </c>
      <c r="F195" s="11"/>
      <c r="G195" s="11">
        <v>75845.110895644</v>
      </c>
      <c r="H195" s="12">
        <v>7.3951539749530781E-2</v>
      </c>
      <c r="I195" s="13">
        <v>1904</v>
      </c>
      <c r="J195" s="13">
        <v>493093</v>
      </c>
      <c r="K195" s="12">
        <v>7.7056315714187598E-2</v>
      </c>
      <c r="L195" s="14">
        <v>31.12593750000002</v>
      </c>
      <c r="M195" s="15"/>
      <c r="N195" s="16">
        <f t="shared" si="51"/>
        <v>118691.68129137211</v>
      </c>
      <c r="O195" s="17">
        <f t="shared" si="52"/>
        <v>196712.78078343213</v>
      </c>
      <c r="P195" s="18">
        <f t="shared" si="53"/>
        <v>6122869.7201163135</v>
      </c>
      <c r="Q195" s="19">
        <f t="shared" si="54"/>
        <v>1.1061755050942175E-2</v>
      </c>
      <c r="R195" s="20">
        <f t="shared" si="55"/>
        <v>7.3951539749530781E-2</v>
      </c>
      <c r="S195" s="20">
        <f t="shared" si="56"/>
        <v>8.6191235288136448E-4</v>
      </c>
      <c r="T195" s="20">
        <f t="shared" si="57"/>
        <v>0</v>
      </c>
      <c r="U195" s="20">
        <f t="shared" si="58"/>
        <v>7.7918228067068968E-2</v>
      </c>
      <c r="V195" s="21">
        <f t="shared" si="59"/>
        <v>340472170.75657707</v>
      </c>
      <c r="W195" s="21" t="str">
        <f t="shared" si="60"/>
        <v/>
      </c>
      <c r="X195" s="19" t="str">
        <f t="shared" si="61"/>
        <v/>
      </c>
      <c r="Y195" s="17">
        <f t="shared" si="62"/>
        <v>1087.9942982080056</v>
      </c>
      <c r="Z195" s="17">
        <f t="shared" si="63"/>
        <v>193448.7978888081</v>
      </c>
      <c r="AA195" s="20">
        <f t="shared" si="64"/>
        <v>5.3696569878721644E-2</v>
      </c>
      <c r="AB195" s="17">
        <f t="shared" si="65"/>
        <v>193448.7978888081</v>
      </c>
      <c r="AC195" s="18">
        <f t="shared" si="66"/>
        <v>6021275.1925371764</v>
      </c>
      <c r="AD195" s="19">
        <f t="shared" si="67"/>
        <v>5.5927430794791384E-3</v>
      </c>
    </row>
    <row r="196" spans="1:30" x14ac:dyDescent="0.25">
      <c r="A196" s="8">
        <v>344</v>
      </c>
      <c r="B196" s="9">
        <v>44805</v>
      </c>
      <c r="C196" s="10">
        <v>2.833333333333333</v>
      </c>
      <c r="D196" s="11">
        <v>194434.5880432917</v>
      </c>
      <c r="E196" s="11">
        <v>2185.382321920009</v>
      </c>
      <c r="F196" s="11"/>
      <c r="G196" s="11">
        <v>76185.649397939997</v>
      </c>
      <c r="H196" s="12">
        <v>7.3655206347421898E-2</v>
      </c>
      <c r="I196" s="13">
        <v>1913</v>
      </c>
      <c r="J196" s="13">
        <v>556181</v>
      </c>
      <c r="K196" s="12">
        <v>7.3820395044309151E-2</v>
      </c>
      <c r="L196" s="14">
        <v>31.216145833333371</v>
      </c>
      <c r="M196" s="15"/>
      <c r="N196" s="16">
        <f t="shared" si="51"/>
        <v>118248.93864535171</v>
      </c>
      <c r="O196" s="17">
        <f t="shared" si="52"/>
        <v>196619.97036521172</v>
      </c>
      <c r="P196" s="18">
        <f t="shared" si="53"/>
        <v>6137717.6686661346</v>
      </c>
      <c r="Q196" s="19">
        <f t="shared" si="54"/>
        <v>1.1114752575034831E-2</v>
      </c>
      <c r="R196" s="20">
        <f t="shared" si="55"/>
        <v>7.3655206347421898E-2</v>
      </c>
      <c r="S196" s="20">
        <f t="shared" si="56"/>
        <v>8.2971753097275459E-4</v>
      </c>
      <c r="T196" s="20">
        <f t="shared" si="57"/>
        <v>0</v>
      </c>
      <c r="U196" s="20">
        <f t="shared" si="58"/>
        <v>7.465011257528191E-2</v>
      </c>
      <c r="V196" s="21">
        <f t="shared" si="59"/>
        <v>339539037.27387673</v>
      </c>
      <c r="W196" s="21" t="str">
        <f t="shared" si="60"/>
        <v/>
      </c>
      <c r="X196" s="19" t="str">
        <f t="shared" si="61"/>
        <v/>
      </c>
      <c r="Y196" s="17">
        <f t="shared" si="62"/>
        <v>1092.6911609600045</v>
      </c>
      <c r="Z196" s="17">
        <f t="shared" si="63"/>
        <v>193341.8968823317</v>
      </c>
      <c r="AA196" s="20">
        <f t="shared" si="64"/>
        <v>5.3624940415168583E-2</v>
      </c>
      <c r="AB196" s="17">
        <f t="shared" si="65"/>
        <v>193341.8968823317</v>
      </c>
      <c r="AC196" s="18">
        <f t="shared" si="66"/>
        <v>6035388.8487721691</v>
      </c>
      <c r="AD196" s="19">
        <f t="shared" si="67"/>
        <v>5.6198394120942725E-3</v>
      </c>
    </row>
    <row r="197" spans="1:30" x14ac:dyDescent="0.25">
      <c r="A197" s="8">
        <v>345</v>
      </c>
      <c r="B197" s="9">
        <v>44808</v>
      </c>
      <c r="C197" s="10">
        <v>2.75</v>
      </c>
      <c r="D197" s="11">
        <v>194332.37087127991</v>
      </c>
      <c r="E197" s="11">
        <v>2255.6653120250098</v>
      </c>
      <c r="F197" s="11"/>
      <c r="G197" s="11">
        <v>76105.141629049001</v>
      </c>
      <c r="H197" s="12">
        <v>7.4084735016714851E-2</v>
      </c>
      <c r="I197" s="13">
        <v>1917</v>
      </c>
      <c r="J197" s="13">
        <v>493892</v>
      </c>
      <c r="K197" s="12">
        <v>7.5976622865695967E-2</v>
      </c>
      <c r="L197" s="14">
        <v>31.619201388888829</v>
      </c>
      <c r="M197" s="15"/>
      <c r="N197" s="16">
        <f t="shared" si="51"/>
        <v>118227.22924223091</v>
      </c>
      <c r="O197" s="17">
        <f t="shared" si="52"/>
        <v>196588.03618330491</v>
      </c>
      <c r="P197" s="18">
        <f t="shared" si="53"/>
        <v>6215956.7067260817</v>
      </c>
      <c r="Q197" s="19">
        <f t="shared" si="54"/>
        <v>1.147407215524426E-2</v>
      </c>
      <c r="R197" s="20">
        <f t="shared" si="55"/>
        <v>7.4084735016714851E-2</v>
      </c>
      <c r="S197" s="20">
        <f t="shared" si="56"/>
        <v>8.8188000771354891E-4</v>
      </c>
      <c r="T197" s="20">
        <f t="shared" si="57"/>
        <v>0</v>
      </c>
      <c r="U197" s="20">
        <f t="shared" si="58"/>
        <v>7.685850287340952E-2</v>
      </c>
      <c r="V197" s="21">
        <f t="shared" si="59"/>
        <v>339721235.21686304</v>
      </c>
      <c r="W197" s="21" t="str">
        <f t="shared" si="60"/>
        <v/>
      </c>
      <c r="X197" s="19" t="str">
        <f t="shared" si="61"/>
        <v/>
      </c>
      <c r="Y197" s="17">
        <f t="shared" si="62"/>
        <v>1127.8326560125049</v>
      </c>
      <c r="Z197" s="17">
        <f t="shared" si="63"/>
        <v>193204.53821526741</v>
      </c>
      <c r="AA197" s="20">
        <f t="shared" si="64"/>
        <v>5.3553406502971239E-2</v>
      </c>
      <c r="AB197" s="17">
        <f t="shared" si="65"/>
        <v>193204.53821526741</v>
      </c>
      <c r="AC197" s="18">
        <f t="shared" si="66"/>
        <v>6108973.2030758085</v>
      </c>
      <c r="AD197" s="19">
        <f t="shared" si="67"/>
        <v>5.8036273162104749E-3</v>
      </c>
    </row>
    <row r="198" spans="1:30" x14ac:dyDescent="0.25">
      <c r="A198" s="8">
        <v>346</v>
      </c>
      <c r="B198" s="9">
        <v>44810</v>
      </c>
      <c r="C198" s="10">
        <v>2.75</v>
      </c>
      <c r="D198" s="11">
        <v>194230.11823353049</v>
      </c>
      <c r="E198" s="11">
        <v>2213.560436760014</v>
      </c>
      <c r="F198" s="11"/>
      <c r="G198" s="11">
        <v>76137.293258753998</v>
      </c>
      <c r="H198" s="12">
        <v>7.4000350586291008E-2</v>
      </c>
      <c r="I198" s="13">
        <v>1931</v>
      </c>
      <c r="J198" s="13">
        <v>494840</v>
      </c>
      <c r="K198" s="12">
        <v>7.5903328537683085E-2</v>
      </c>
      <c r="L198" s="14">
        <v>32.489861111111168</v>
      </c>
      <c r="M198" s="15"/>
      <c r="N198" s="16">
        <f t="shared" si="51"/>
        <v>118092.82497477649</v>
      </c>
      <c r="O198" s="17">
        <f t="shared" si="52"/>
        <v>196443.67867029051</v>
      </c>
      <c r="P198" s="18">
        <f t="shared" si="53"/>
        <v>6382427.8361534895</v>
      </c>
      <c r="Q198" s="19">
        <f t="shared" si="54"/>
        <v>1.1268168320525273E-2</v>
      </c>
      <c r="R198" s="20">
        <f t="shared" si="55"/>
        <v>7.4000350586291008E-2</v>
      </c>
      <c r="S198" s="20">
        <f t="shared" si="56"/>
        <v>8.6503888581996148E-4</v>
      </c>
      <c r="T198" s="20">
        <f t="shared" si="57"/>
        <v>0</v>
      </c>
      <c r="U198" s="20">
        <f t="shared" si="58"/>
        <v>7.6768367423503042E-2</v>
      </c>
      <c r="V198" s="21">
        <f t="shared" si="59"/>
        <v>339870354.24013901</v>
      </c>
      <c r="W198" s="21" t="str">
        <f t="shared" si="60"/>
        <v/>
      </c>
      <c r="X198" s="19" t="str">
        <f t="shared" si="61"/>
        <v/>
      </c>
      <c r="Y198" s="17">
        <f t="shared" si="62"/>
        <v>1106.780218380007</v>
      </c>
      <c r="Z198" s="17">
        <f t="shared" si="63"/>
        <v>193123.33801515048</v>
      </c>
      <c r="AA198" s="20">
        <f t="shared" si="64"/>
        <v>5.3505770249308138E-2</v>
      </c>
      <c r="AB198" s="17">
        <f t="shared" si="65"/>
        <v>193123.33801515048</v>
      </c>
      <c r="AC198" s="18">
        <f t="shared" si="66"/>
        <v>6274550.4294264149</v>
      </c>
      <c r="AD198" s="19">
        <f t="shared" si="67"/>
        <v>5.698293490452813E-3</v>
      </c>
    </row>
    <row r="199" spans="1:30" x14ac:dyDescent="0.25">
      <c r="A199" s="8">
        <v>347</v>
      </c>
      <c r="B199" s="9">
        <v>44813</v>
      </c>
      <c r="C199" s="10">
        <v>2.833333333333333</v>
      </c>
      <c r="D199" s="11">
        <v>194127.8715846494</v>
      </c>
      <c r="E199" s="11">
        <v>2198.5888311970139</v>
      </c>
      <c r="F199" s="11"/>
      <c r="G199" s="11">
        <v>76070.950796534002</v>
      </c>
      <c r="H199" s="12">
        <v>7.3878701744533953E-2</v>
      </c>
      <c r="I199" s="13">
        <v>1932</v>
      </c>
      <c r="J199" s="13">
        <v>495608</v>
      </c>
      <c r="K199" s="12">
        <v>7.3419972890783627E-2</v>
      </c>
      <c r="L199" s="14">
        <v>34.909201388888953</v>
      </c>
      <c r="M199" s="15"/>
      <c r="N199" s="16">
        <f t="shared" si="51"/>
        <v>118056.9207881154</v>
      </c>
      <c r="O199" s="17">
        <f t="shared" si="52"/>
        <v>196326.46041584641</v>
      </c>
      <c r="P199" s="18">
        <f t="shared" si="53"/>
        <v>6853599.9446245171</v>
      </c>
      <c r="Q199" s="19">
        <f t="shared" si="54"/>
        <v>1.1198637343840972E-2</v>
      </c>
      <c r="R199" s="20">
        <f t="shared" si="55"/>
        <v>7.3878701744533953E-2</v>
      </c>
      <c r="S199" s="20">
        <f t="shared" si="56"/>
        <v>8.315154906238032E-4</v>
      </c>
      <c r="T199" s="20">
        <f t="shared" si="57"/>
        <v>0</v>
      </c>
      <c r="U199" s="20">
        <f t="shared" si="58"/>
        <v>7.4251488381407424E-2</v>
      </c>
      <c r="V199" s="21">
        <f t="shared" si="59"/>
        <v>340852298.34939772</v>
      </c>
      <c r="W199" s="21" t="str">
        <f t="shared" si="60"/>
        <v/>
      </c>
      <c r="X199" s="19" t="str">
        <f t="shared" si="61"/>
        <v/>
      </c>
      <c r="Y199" s="17">
        <f t="shared" si="62"/>
        <v>1099.2944155985069</v>
      </c>
      <c r="Z199" s="17">
        <f t="shared" si="63"/>
        <v>193028.5771690509</v>
      </c>
      <c r="AA199" s="20">
        <f t="shared" si="64"/>
        <v>5.343439530620455E-2</v>
      </c>
      <c r="AB199" s="17">
        <f t="shared" si="65"/>
        <v>193028.5771690509</v>
      </c>
      <c r="AC199" s="18">
        <f t="shared" si="66"/>
        <v>6738473.4742050897</v>
      </c>
      <c r="AD199" s="19">
        <f t="shared" si="67"/>
        <v>5.6627335715632157E-3</v>
      </c>
    </row>
    <row r="200" spans="1:30" x14ac:dyDescent="0.25">
      <c r="A200" s="8">
        <v>348</v>
      </c>
      <c r="B200" s="9">
        <v>44816</v>
      </c>
      <c r="C200" s="10">
        <v>2.833333333333333</v>
      </c>
      <c r="D200" s="11">
        <v>194025.62119784011</v>
      </c>
      <c r="E200" s="11">
        <v>2181.0714114430161</v>
      </c>
      <c r="F200" s="11"/>
      <c r="G200" s="11">
        <v>75606.375398300006</v>
      </c>
      <c r="H200" s="12">
        <v>7.364829355710549E-2</v>
      </c>
      <c r="I200" s="13">
        <v>1944</v>
      </c>
      <c r="J200" s="13">
        <v>499753</v>
      </c>
      <c r="K200" s="12">
        <v>7.3379280612128242E-2</v>
      </c>
      <c r="L200" s="14">
        <v>36.590277777777757</v>
      </c>
      <c r="M200" s="15"/>
      <c r="N200" s="16">
        <f t="shared" si="51"/>
        <v>118419.24579954011</v>
      </c>
      <c r="O200" s="17">
        <f t="shared" si="52"/>
        <v>196206.69260928314</v>
      </c>
      <c r="P200" s="18">
        <f t="shared" si="53"/>
        <v>7179257.3844327247</v>
      </c>
      <c r="Q200" s="19">
        <f t="shared" si="54"/>
        <v>1.1116192737555085E-2</v>
      </c>
      <c r="R200" s="20">
        <f t="shared" si="55"/>
        <v>7.364829355710549E-2</v>
      </c>
      <c r="S200" s="20">
        <f t="shared" si="56"/>
        <v>8.2486761360333846E-4</v>
      </c>
      <c r="T200" s="20">
        <f t="shared" si="57"/>
        <v>0</v>
      </c>
      <c r="U200" s="20">
        <f t="shared" si="58"/>
        <v>7.4204148225731584E-2</v>
      </c>
      <c r="V200" s="21">
        <f t="shared" si="59"/>
        <v>340861684.90775001</v>
      </c>
      <c r="W200" s="21" t="str">
        <f t="shared" si="60"/>
        <v/>
      </c>
      <c r="X200" s="19" t="str">
        <f t="shared" si="61"/>
        <v/>
      </c>
      <c r="Y200" s="17">
        <f t="shared" si="62"/>
        <v>1090.5357057215081</v>
      </c>
      <c r="Z200" s="17">
        <f t="shared" si="63"/>
        <v>192935.08549211861</v>
      </c>
      <c r="AA200" s="20">
        <f t="shared" si="64"/>
        <v>5.3363115574934755E-2</v>
      </c>
      <c r="AB200" s="17">
        <f t="shared" si="65"/>
        <v>192935.08549211861</v>
      </c>
      <c r="AC200" s="18">
        <f t="shared" si="66"/>
        <v>7059548.3712359192</v>
      </c>
      <c r="AD200" s="19">
        <f t="shared" si="67"/>
        <v>5.6205757723591194E-3</v>
      </c>
    </row>
    <row r="201" spans="1:30" x14ac:dyDescent="0.25">
      <c r="A201" s="8">
        <v>349</v>
      </c>
      <c r="B201" s="9">
        <v>44819</v>
      </c>
      <c r="C201" s="10">
        <v>2.875</v>
      </c>
      <c r="D201" s="11">
        <v>193923.36799817529</v>
      </c>
      <c r="E201" s="11">
        <v>2109.9044331120149</v>
      </c>
      <c r="F201" s="11"/>
      <c r="G201" s="11">
        <v>75280.639729267001</v>
      </c>
      <c r="H201" s="12">
        <v>7.3793692270898548E-2</v>
      </c>
      <c r="I201" s="13">
        <v>1959</v>
      </c>
      <c r="J201" s="13">
        <v>497447</v>
      </c>
      <c r="K201" s="12">
        <v>7.3327048242292359E-2</v>
      </c>
      <c r="L201" s="14">
        <v>33.574131944444467</v>
      </c>
      <c r="M201" s="15"/>
      <c r="N201" s="16">
        <f t="shared" si="51"/>
        <v>118642.72826890829</v>
      </c>
      <c r="O201" s="17">
        <f t="shared" si="52"/>
        <v>196033.2724312873</v>
      </c>
      <c r="P201" s="18">
        <f t="shared" si="53"/>
        <v>6581646.9541092683</v>
      </c>
      <c r="Q201" s="19">
        <f t="shared" si="54"/>
        <v>1.0762991439892271E-2</v>
      </c>
      <c r="R201" s="20">
        <f t="shared" si="55"/>
        <v>7.3793692270898548E-2</v>
      </c>
      <c r="S201" s="20">
        <f t="shared" si="56"/>
        <v>7.9780516268099764E-4</v>
      </c>
      <c r="T201" s="20">
        <f t="shared" si="57"/>
        <v>0</v>
      </c>
      <c r="U201" s="20">
        <f t="shared" si="58"/>
        <v>7.4124853404973351E-2</v>
      </c>
      <c r="V201" s="21">
        <f t="shared" si="59"/>
        <v>335983784.66216844</v>
      </c>
      <c r="W201" s="21" t="str">
        <f t="shared" si="60"/>
        <v/>
      </c>
      <c r="X201" s="19" t="str">
        <f t="shared" si="61"/>
        <v/>
      </c>
      <c r="Y201" s="17">
        <f t="shared" si="62"/>
        <v>1054.9522165560074</v>
      </c>
      <c r="Z201" s="17">
        <f t="shared" si="63"/>
        <v>192868.41578161929</v>
      </c>
      <c r="AA201" s="20">
        <f t="shared" si="64"/>
        <v>5.3291930928489273E-2</v>
      </c>
      <c r="AB201" s="17">
        <f t="shared" si="65"/>
        <v>192868.41578161929</v>
      </c>
      <c r="AC201" s="18">
        <f t="shared" si="66"/>
        <v>6475389.6393680619</v>
      </c>
      <c r="AD201" s="19">
        <f t="shared" si="67"/>
        <v>5.4400468981434663E-3</v>
      </c>
    </row>
    <row r="202" spans="1:30" x14ac:dyDescent="0.25">
      <c r="A202" s="8">
        <v>350</v>
      </c>
      <c r="B202" s="9">
        <v>44822</v>
      </c>
      <c r="C202" s="10">
        <v>2.875</v>
      </c>
      <c r="D202" s="11">
        <v>193821.13187067819</v>
      </c>
      <c r="E202" s="11">
        <v>2113.1713922710119</v>
      </c>
      <c r="F202" s="11"/>
      <c r="G202" s="11">
        <v>75112.464671276</v>
      </c>
      <c r="H202" s="12">
        <v>7.3128506258793621E-2</v>
      </c>
      <c r="I202" s="13">
        <v>1961</v>
      </c>
      <c r="J202" s="13">
        <v>481411</v>
      </c>
      <c r="K202" s="12">
        <v>7.3076553629431995E-2</v>
      </c>
      <c r="L202" s="14">
        <v>33.039895833333453</v>
      </c>
      <c r="M202" s="15"/>
      <c r="N202" s="16">
        <f t="shared" si="51"/>
        <v>118708.66719940219</v>
      </c>
      <c r="O202" s="17">
        <f t="shared" si="52"/>
        <v>195934.30326294919</v>
      </c>
      <c r="P202" s="18">
        <f t="shared" si="53"/>
        <v>6473648.9699846087</v>
      </c>
      <c r="Q202" s="19">
        <f t="shared" si="54"/>
        <v>1.078510172583245E-2</v>
      </c>
      <c r="R202" s="20">
        <f t="shared" si="55"/>
        <v>7.3128506258793621E-2</v>
      </c>
      <c r="S202" s="20">
        <f t="shared" si="56"/>
        <v>7.9673088834559462E-4</v>
      </c>
      <c r="T202" s="20">
        <f t="shared" si="57"/>
        <v>0</v>
      </c>
      <c r="U202" s="20">
        <f t="shared" si="58"/>
        <v>7.3873284517777596E-2</v>
      </c>
      <c r="V202" s="21">
        <f t="shared" si="59"/>
        <v>336957745.41004491</v>
      </c>
      <c r="W202" s="21" t="str">
        <f t="shared" si="60"/>
        <v/>
      </c>
      <c r="X202" s="19" t="str">
        <f t="shared" si="61"/>
        <v/>
      </c>
      <c r="Y202" s="17">
        <f t="shared" si="62"/>
        <v>1056.5856961355059</v>
      </c>
      <c r="Z202" s="17">
        <f t="shared" si="63"/>
        <v>192764.54617454269</v>
      </c>
      <c r="AA202" s="20">
        <f t="shared" si="64"/>
        <v>5.3220841240028051E-2</v>
      </c>
      <c r="AB202" s="17">
        <f t="shared" si="65"/>
        <v>192764.54617454269</v>
      </c>
      <c r="AC202" s="18">
        <f t="shared" si="66"/>
        <v>6368920.5259666871</v>
      </c>
      <c r="AD202" s="19">
        <f t="shared" si="67"/>
        <v>5.451344164270404E-3</v>
      </c>
    </row>
    <row r="203" spans="1:30" x14ac:dyDescent="0.25">
      <c r="A203" s="8">
        <v>351</v>
      </c>
      <c r="B203" s="9">
        <v>44825</v>
      </c>
      <c r="C203" s="10">
        <v>2.833333333333333</v>
      </c>
      <c r="D203" s="11">
        <v>193718.88550434631</v>
      </c>
      <c r="E203" s="11">
        <v>2166.3789160080141</v>
      </c>
      <c r="F203" s="11"/>
      <c r="G203" s="11">
        <v>74713.779243248995</v>
      </c>
      <c r="H203" s="12">
        <v>7.3075077478088363E-2</v>
      </c>
      <c r="I203" s="13">
        <v>1971</v>
      </c>
      <c r="J203" s="13">
        <v>480541</v>
      </c>
      <c r="K203" s="12">
        <v>7.3651612527076998E-2</v>
      </c>
      <c r="L203" s="14">
        <v>31.692847222222319</v>
      </c>
      <c r="M203" s="15"/>
      <c r="N203" s="16">
        <f t="shared" si="51"/>
        <v>119005.10626109732</v>
      </c>
      <c r="O203" s="17">
        <f t="shared" si="52"/>
        <v>195885.26442035433</v>
      </c>
      <c r="P203" s="18">
        <f t="shared" si="53"/>
        <v>6208161.7583589116</v>
      </c>
      <c r="Q203" s="19">
        <f t="shared" si="54"/>
        <v>1.1059427682927368E-2</v>
      </c>
      <c r="R203" s="20">
        <f t="shared" si="55"/>
        <v>7.3075077478088363E-2</v>
      </c>
      <c r="S203" s="20">
        <f t="shared" si="56"/>
        <v>8.2365382235833424E-4</v>
      </c>
      <c r="T203" s="20">
        <f t="shared" si="57"/>
        <v>0</v>
      </c>
      <c r="U203" s="20">
        <f t="shared" si="58"/>
        <v>7.4475266349435326E-2</v>
      </c>
      <c r="V203" s="21">
        <f t="shared" si="59"/>
        <v>339064448.56236124</v>
      </c>
      <c r="W203" s="21" t="str">
        <f t="shared" si="60"/>
        <v/>
      </c>
      <c r="X203" s="19" t="str">
        <f t="shared" si="61"/>
        <v/>
      </c>
      <c r="Y203" s="17">
        <f t="shared" si="62"/>
        <v>1083.1894580040071</v>
      </c>
      <c r="Z203" s="17">
        <f t="shared" si="63"/>
        <v>192635.69604634232</v>
      </c>
      <c r="AA203" s="20">
        <f t="shared" si="64"/>
        <v>5.314984638288027E-2</v>
      </c>
      <c r="AB203" s="17">
        <f t="shared" si="65"/>
        <v>192635.69604634232</v>
      </c>
      <c r="AC203" s="18">
        <f t="shared" si="66"/>
        <v>6105173.6843431834</v>
      </c>
      <c r="AD203" s="19">
        <f t="shared" si="67"/>
        <v>5.5915532199347926E-3</v>
      </c>
    </row>
    <row r="204" spans="1:30" x14ac:dyDescent="0.25">
      <c r="A204" s="8">
        <v>352</v>
      </c>
      <c r="B204" s="9">
        <v>44828</v>
      </c>
      <c r="C204" s="10">
        <v>2.791666666666667</v>
      </c>
      <c r="D204" s="11">
        <v>193616.6108680593</v>
      </c>
      <c r="E204" s="11">
        <v>2266.792948233011</v>
      </c>
      <c r="F204" s="11"/>
      <c r="G204" s="11">
        <v>75543.149324874001</v>
      </c>
      <c r="H204" s="12">
        <v>7.3308260651258228E-2</v>
      </c>
      <c r="I204" s="13">
        <v>1977</v>
      </c>
      <c r="J204" s="13">
        <v>485091</v>
      </c>
      <c r="K204" s="12">
        <v>7.3890555691687579E-2</v>
      </c>
      <c r="L204" s="14">
        <v>33.881770833333249</v>
      </c>
      <c r="M204" s="15"/>
      <c r="N204" s="16">
        <f t="shared" si="51"/>
        <v>118073.4615431853</v>
      </c>
      <c r="O204" s="17">
        <f t="shared" si="52"/>
        <v>195883.40381629232</v>
      </c>
      <c r="P204" s="18">
        <f t="shared" si="53"/>
        <v>6636876.5981568918</v>
      </c>
      <c r="Q204" s="19">
        <f t="shared" si="54"/>
        <v>1.1572154169624827E-2</v>
      </c>
      <c r="R204" s="20">
        <f t="shared" si="55"/>
        <v>7.3308260651258228E-2</v>
      </c>
      <c r="S204" s="20">
        <f t="shared" si="56"/>
        <v>8.6508378507397664E-4</v>
      </c>
      <c r="T204" s="20">
        <f t="shared" si="57"/>
        <v>0</v>
      </c>
      <c r="U204" s="20">
        <f t="shared" si="58"/>
        <v>7.475563947676156E-2</v>
      </c>
      <c r="V204" s="21">
        <f t="shared" si="59"/>
        <v>342831204.67560935</v>
      </c>
      <c r="W204" s="21" t="str">
        <f t="shared" si="60"/>
        <v/>
      </c>
      <c r="X204" s="19" t="str">
        <f t="shared" si="61"/>
        <v/>
      </c>
      <c r="Y204" s="17">
        <f t="shared" si="62"/>
        <v>1133.3964741165055</v>
      </c>
      <c r="Z204" s="17">
        <f t="shared" si="63"/>
        <v>192483.21439394279</v>
      </c>
      <c r="AA204" s="20">
        <f t="shared" si="64"/>
        <v>5.3078946230544065E-2</v>
      </c>
      <c r="AB204" s="17">
        <f t="shared" si="65"/>
        <v>192483.21439394279</v>
      </c>
      <c r="AC204" s="18">
        <f t="shared" si="66"/>
        <v>6521672.1593589215</v>
      </c>
      <c r="AD204" s="19">
        <f t="shared" si="67"/>
        <v>5.8538183735116732E-3</v>
      </c>
    </row>
    <row r="205" spans="1:30" x14ac:dyDescent="0.25">
      <c r="A205" s="8">
        <v>353</v>
      </c>
      <c r="B205" s="9">
        <v>44830</v>
      </c>
      <c r="C205" s="10">
        <v>2.583333333333333</v>
      </c>
      <c r="D205" s="11">
        <v>193514.29082387319</v>
      </c>
      <c r="E205" s="11">
        <v>2127.0032909620131</v>
      </c>
      <c r="F205" s="11"/>
      <c r="G205" s="11">
        <v>76362.026996358996</v>
      </c>
      <c r="H205" s="12">
        <v>7.304432922944995E-2</v>
      </c>
      <c r="I205" s="13">
        <v>1999</v>
      </c>
      <c r="J205" s="13">
        <v>480563</v>
      </c>
      <c r="K205" s="12">
        <v>7.9938222255027377E-2</v>
      </c>
      <c r="L205" s="14">
        <v>32.889375000000008</v>
      </c>
      <c r="M205" s="15"/>
      <c r="N205" s="16">
        <f t="shared" si="51"/>
        <v>117152.26382751419</v>
      </c>
      <c r="O205" s="17">
        <f t="shared" si="52"/>
        <v>195641.29411483521</v>
      </c>
      <c r="P205" s="18">
        <f t="shared" si="53"/>
        <v>6434519.8876281101</v>
      </c>
      <c r="Q205" s="19">
        <f t="shared" si="54"/>
        <v>1.0871954719914752E-2</v>
      </c>
      <c r="R205" s="20">
        <f t="shared" si="55"/>
        <v>7.304432922944995E-2</v>
      </c>
      <c r="S205" s="20">
        <f t="shared" si="56"/>
        <v>8.7863723700306782E-4</v>
      </c>
      <c r="T205" s="20">
        <f t="shared" si="57"/>
        <v>0</v>
      </c>
      <c r="U205" s="20">
        <f t="shared" si="58"/>
        <v>8.0816859492030449E-2</v>
      </c>
      <c r="V205" s="21">
        <f t="shared" si="59"/>
        <v>342269605.10350454</v>
      </c>
      <c r="W205" s="21" t="str">
        <f t="shared" si="60"/>
        <v/>
      </c>
      <c r="X205" s="19" t="str">
        <f t="shared" si="61"/>
        <v/>
      </c>
      <c r="Y205" s="17">
        <f t="shared" si="62"/>
        <v>1063.5016454810066</v>
      </c>
      <c r="Z205" s="17">
        <f t="shared" si="63"/>
        <v>192450.78917839218</v>
      </c>
      <c r="AA205" s="20">
        <f t="shared" si="64"/>
        <v>5.3031732013710475E-2</v>
      </c>
      <c r="AB205" s="17">
        <f t="shared" si="65"/>
        <v>192450.78917839218</v>
      </c>
      <c r="AC205" s="18">
        <f t="shared" si="66"/>
        <v>6329586.1743340837</v>
      </c>
      <c r="AD205" s="19">
        <f t="shared" si="67"/>
        <v>5.4957266512629362E-3</v>
      </c>
    </row>
    <row r="206" spans="1:30" x14ac:dyDescent="0.25">
      <c r="A206" s="8">
        <v>354</v>
      </c>
      <c r="B206" s="9">
        <v>44833</v>
      </c>
      <c r="C206" s="10">
        <v>2.791666666666667</v>
      </c>
      <c r="D206" s="11">
        <v>193412.0133131711</v>
      </c>
      <c r="E206" s="11">
        <v>2112.708108205014</v>
      </c>
      <c r="F206" s="11"/>
      <c r="G206" s="11">
        <v>76667.647083018994</v>
      </c>
      <c r="H206" s="12">
        <v>7.2861711421792513E-2</v>
      </c>
      <c r="I206" s="13">
        <v>2007</v>
      </c>
      <c r="J206" s="13">
        <v>487509</v>
      </c>
      <c r="K206" s="12">
        <v>7.3761840135810719E-2</v>
      </c>
      <c r="L206" s="14">
        <v>33.663055555555623</v>
      </c>
      <c r="M206" s="15"/>
      <c r="N206" s="16">
        <f t="shared" si="51"/>
        <v>116744.36623015211</v>
      </c>
      <c r="O206" s="17">
        <f t="shared" si="52"/>
        <v>195524.72142137613</v>
      </c>
      <c r="P206" s="18">
        <f t="shared" si="53"/>
        <v>6581959.5596923213</v>
      </c>
      <c r="Q206" s="19">
        <f t="shared" si="54"/>
        <v>1.0805324732578997E-2</v>
      </c>
      <c r="R206" s="20">
        <f t="shared" si="55"/>
        <v>7.2861711421792513E-2</v>
      </c>
      <c r="S206" s="20">
        <f t="shared" si="56"/>
        <v>8.0572677498950897E-4</v>
      </c>
      <c r="T206" s="20">
        <f t="shared" si="57"/>
        <v>0</v>
      </c>
      <c r="U206" s="20">
        <f t="shared" si="58"/>
        <v>7.4567566910800229E-2</v>
      </c>
      <c r="V206" s="21">
        <f t="shared" si="59"/>
        <v>343066543.4361769</v>
      </c>
      <c r="W206" s="21" t="str">
        <f t="shared" si="60"/>
        <v/>
      </c>
      <c r="X206" s="19" t="str">
        <f t="shared" si="61"/>
        <v/>
      </c>
      <c r="Y206" s="17">
        <f t="shared" si="62"/>
        <v>1056.354054102507</v>
      </c>
      <c r="Z206" s="17">
        <f t="shared" si="63"/>
        <v>192355.65925906861</v>
      </c>
      <c r="AA206" s="20">
        <f t="shared" si="64"/>
        <v>5.2960989422069872E-2</v>
      </c>
      <c r="AB206" s="17">
        <f t="shared" si="65"/>
        <v>192355.65925906861</v>
      </c>
      <c r="AC206" s="18">
        <f t="shared" si="66"/>
        <v>6475279.2440635534</v>
      </c>
      <c r="AD206" s="19">
        <f t="shared" si="67"/>
        <v>5.4616775659744954E-3</v>
      </c>
    </row>
    <row r="207" spans="1:30" x14ac:dyDescent="0.25">
      <c r="A207" s="8">
        <v>355</v>
      </c>
      <c r="B207" s="9">
        <v>44836</v>
      </c>
      <c r="C207" s="10">
        <v>3.166666666666667</v>
      </c>
      <c r="D207" s="11">
        <v>193309.73252229241</v>
      </c>
      <c r="E207" s="11">
        <v>2207.8532788210109</v>
      </c>
      <c r="F207" s="11"/>
      <c r="G207" s="11">
        <v>76631.426848978997</v>
      </c>
      <c r="H207" s="12">
        <v>7.3004706207971101E-2</v>
      </c>
      <c r="I207" s="13">
        <v>2010</v>
      </c>
      <c r="J207" s="13">
        <v>484620</v>
      </c>
      <c r="K207" s="12">
        <v>6.4798767891679057E-2</v>
      </c>
      <c r="L207" s="14">
        <v>32.645555555555582</v>
      </c>
      <c r="M207" s="15"/>
      <c r="N207" s="16">
        <f t="shared" si="51"/>
        <v>116678.30567331341</v>
      </c>
      <c r="O207" s="17">
        <f t="shared" si="52"/>
        <v>195517.58580111343</v>
      </c>
      <c r="P207" s="18">
        <f t="shared" si="53"/>
        <v>6382780.2093583532</v>
      </c>
      <c r="Q207" s="19">
        <f t="shared" si="54"/>
        <v>1.129235137481141E-2</v>
      </c>
      <c r="R207" s="20">
        <f t="shared" si="55"/>
        <v>7.3004706207971101E-2</v>
      </c>
      <c r="S207" s="20">
        <f t="shared" si="56"/>
        <v>7.4008778702700298E-4</v>
      </c>
      <c r="T207" s="20">
        <f t="shared" si="57"/>
        <v>0</v>
      </c>
      <c r="U207" s="20">
        <f t="shared" si="58"/>
        <v>6.5538855678706057E-2</v>
      </c>
      <c r="V207" s="21">
        <f t="shared" si="59"/>
        <v>344092214.133632</v>
      </c>
      <c r="W207" s="21" t="str">
        <f t="shared" si="60"/>
        <v/>
      </c>
      <c r="X207" s="19" t="str">
        <f t="shared" si="61"/>
        <v/>
      </c>
      <c r="Y207" s="17">
        <f t="shared" si="62"/>
        <v>1103.9266394105055</v>
      </c>
      <c r="Z207" s="17">
        <f t="shared" si="63"/>
        <v>192205.80588288192</v>
      </c>
      <c r="AA207" s="20">
        <f t="shared" si="64"/>
        <v>5.2890341198726931E-2</v>
      </c>
      <c r="AB207" s="17">
        <f t="shared" si="65"/>
        <v>192205.80588288192</v>
      </c>
      <c r="AC207" s="18">
        <f t="shared" si="66"/>
        <v>6274665.3140499536</v>
      </c>
      <c r="AD207" s="19">
        <f t="shared" si="67"/>
        <v>5.7106624948808568E-3</v>
      </c>
    </row>
    <row r="208" spans="1:30" x14ac:dyDescent="0.25">
      <c r="A208" s="8">
        <v>356</v>
      </c>
      <c r="B208" s="9">
        <v>44839</v>
      </c>
      <c r="C208" s="10">
        <v>2.833333333333333</v>
      </c>
      <c r="D208" s="11">
        <v>193207.4087592604</v>
      </c>
      <c r="E208" s="11">
        <v>2281.8404467670098</v>
      </c>
      <c r="F208" s="11"/>
      <c r="G208" s="11">
        <v>76172.523722889993</v>
      </c>
      <c r="H208" s="12">
        <v>7.3311453094725407E-2</v>
      </c>
      <c r="I208" s="13">
        <v>2006</v>
      </c>
      <c r="J208" s="13">
        <v>484794</v>
      </c>
      <c r="K208" s="12">
        <v>7.2188478726805561E-2</v>
      </c>
      <c r="L208" s="14">
        <v>33.877187500000019</v>
      </c>
      <c r="M208" s="15"/>
      <c r="N208" s="16">
        <f t="shared" si="51"/>
        <v>117034.88503637041</v>
      </c>
      <c r="O208" s="17">
        <f t="shared" si="52"/>
        <v>195489.24920602742</v>
      </c>
      <c r="P208" s="18">
        <f t="shared" si="53"/>
        <v>6622625.9495868208</v>
      </c>
      <c r="Q208" s="19">
        <f t="shared" si="54"/>
        <v>1.1672460025472618E-2</v>
      </c>
      <c r="R208" s="20">
        <f t="shared" si="55"/>
        <v>7.3311453094725407E-2</v>
      </c>
      <c r="S208" s="20">
        <f t="shared" si="56"/>
        <v>8.5256870638253737E-4</v>
      </c>
      <c r="T208" s="20">
        <f t="shared" si="57"/>
        <v>0</v>
      </c>
      <c r="U208" s="20">
        <f t="shared" si="58"/>
        <v>7.3041047433188094E-2</v>
      </c>
      <c r="V208" s="21">
        <f t="shared" si="59"/>
        <v>345023311.98397273</v>
      </c>
      <c r="W208" s="21" t="str">
        <f t="shared" si="60"/>
        <v/>
      </c>
      <c r="X208" s="19" t="str">
        <f t="shared" si="61"/>
        <v/>
      </c>
      <c r="Y208" s="17">
        <f t="shared" si="62"/>
        <v>1140.9202233835049</v>
      </c>
      <c r="Z208" s="17">
        <f t="shared" si="63"/>
        <v>192066.48853587691</v>
      </c>
      <c r="AA208" s="20">
        <f t="shared" si="64"/>
        <v>5.2819787217797433E-2</v>
      </c>
      <c r="AB208" s="17">
        <f t="shared" si="65"/>
        <v>192066.48853587691</v>
      </c>
      <c r="AC208" s="18">
        <f t="shared" si="66"/>
        <v>6506672.4445965067</v>
      </c>
      <c r="AD208" s="19">
        <f t="shared" si="67"/>
        <v>5.9051577302871973E-3</v>
      </c>
    </row>
    <row r="209" spans="1:30" x14ac:dyDescent="0.25">
      <c r="A209" s="8">
        <v>357</v>
      </c>
      <c r="B209" s="9">
        <v>44842</v>
      </c>
      <c r="C209" s="10">
        <v>2.583333333333333</v>
      </c>
      <c r="D209" s="11">
        <v>193105.0498547313</v>
      </c>
      <c r="E209" s="11">
        <v>2332.99238212301</v>
      </c>
      <c r="F209" s="11"/>
      <c r="G209" s="11">
        <v>76015.559382546999</v>
      </c>
      <c r="H209" s="12">
        <v>7.3418509910022398E-2</v>
      </c>
      <c r="I209" s="13">
        <v>2298</v>
      </c>
      <c r="J209" s="13">
        <v>486275</v>
      </c>
      <c r="K209" s="12">
        <v>7.9149222831835966E-2</v>
      </c>
      <c r="L209" s="14">
        <v>32.869027777777838</v>
      </c>
      <c r="M209" s="15"/>
      <c r="N209" s="16">
        <f t="shared" si="51"/>
        <v>117089.4904721843</v>
      </c>
      <c r="O209" s="17">
        <f t="shared" si="52"/>
        <v>195438.04223685432</v>
      </c>
      <c r="P209" s="18">
        <f t="shared" si="53"/>
        <v>6423858.4391176831</v>
      </c>
      <c r="Q209" s="19">
        <f t="shared" si="54"/>
        <v>1.1937248016922013E-2</v>
      </c>
      <c r="R209" s="20">
        <f t="shared" si="55"/>
        <v>7.3418509910022398E-2</v>
      </c>
      <c r="S209" s="20">
        <f t="shared" si="56"/>
        <v>9.5623876256235385E-4</v>
      </c>
      <c r="T209" s="20">
        <f t="shared" si="57"/>
        <v>0</v>
      </c>
      <c r="U209" s="20">
        <f t="shared" si="58"/>
        <v>8.0105461594398325E-2</v>
      </c>
      <c r="V209" s="21">
        <f t="shared" si="59"/>
        <v>344950479.5442481</v>
      </c>
      <c r="W209" s="21" t="str">
        <f t="shared" si="60"/>
        <v/>
      </c>
      <c r="X209" s="19" t="str">
        <f t="shared" si="61"/>
        <v/>
      </c>
      <c r="Y209" s="17">
        <f t="shared" si="62"/>
        <v>1166.496191061505</v>
      </c>
      <c r="Z209" s="17">
        <f t="shared" si="63"/>
        <v>191938.55366366979</v>
      </c>
      <c r="AA209" s="20">
        <f t="shared" si="64"/>
        <v>5.2749327353565086E-2</v>
      </c>
      <c r="AB209" s="17">
        <f t="shared" si="65"/>
        <v>191938.55366366979</v>
      </c>
      <c r="AC209" s="18">
        <f t="shared" si="66"/>
        <v>6308833.6519976649</v>
      </c>
      <c r="AD209" s="19">
        <f t="shared" si="67"/>
        <v>6.0407337453838444E-3</v>
      </c>
    </row>
    <row r="210" spans="1:30" x14ac:dyDescent="0.25">
      <c r="A210" s="8">
        <v>358</v>
      </c>
      <c r="B210" s="9">
        <v>44844</v>
      </c>
      <c r="C210" s="10">
        <v>2.5</v>
      </c>
      <c r="D210" s="11">
        <v>193002.66438000629</v>
      </c>
      <c r="E210" s="11">
        <v>2272.169306996007</v>
      </c>
      <c r="F210" s="11"/>
      <c r="G210" s="11">
        <v>76193.276508941999</v>
      </c>
      <c r="H210" s="12">
        <v>7.3382955102254954E-2</v>
      </c>
      <c r="I210" s="13">
        <v>2020</v>
      </c>
      <c r="J210" s="13">
        <v>489515</v>
      </c>
      <c r="K210" s="12">
        <v>8.1634541027246807E-2</v>
      </c>
      <c r="L210" s="14">
        <v>32.718333333333291</v>
      </c>
      <c r="M210" s="15"/>
      <c r="N210" s="16">
        <f t="shared" si="51"/>
        <v>116809.38787106429</v>
      </c>
      <c r="O210" s="17">
        <f t="shared" si="52"/>
        <v>195274.8336870023</v>
      </c>
      <c r="P210" s="18">
        <f t="shared" si="53"/>
        <v>6389067.1001825621</v>
      </c>
      <c r="Q210" s="19">
        <f t="shared" si="54"/>
        <v>1.1635750824081971E-2</v>
      </c>
      <c r="R210" s="20">
        <f t="shared" si="55"/>
        <v>7.3382955102254954E-2</v>
      </c>
      <c r="S210" s="20">
        <f t="shared" si="56"/>
        <v>9.6106185429444089E-4</v>
      </c>
      <c r="T210" s="20">
        <f t="shared" si="57"/>
        <v>0</v>
      </c>
      <c r="U210" s="20">
        <f t="shared" si="58"/>
        <v>8.2595602881541247E-2</v>
      </c>
      <c r="V210" s="21">
        <f t="shared" si="59"/>
        <v>345413704.92310965</v>
      </c>
      <c r="W210" s="21" t="str">
        <f t="shared" si="60"/>
        <v/>
      </c>
      <c r="X210" s="19" t="str">
        <f t="shared" si="61"/>
        <v/>
      </c>
      <c r="Y210" s="17">
        <f t="shared" si="62"/>
        <v>1136.0846534980035</v>
      </c>
      <c r="Z210" s="17">
        <f t="shared" si="63"/>
        <v>191866.57972650829</v>
      </c>
      <c r="AA210" s="20">
        <f t="shared" si="64"/>
        <v>5.2702406335791298E-2</v>
      </c>
      <c r="AB210" s="17">
        <f t="shared" si="65"/>
        <v>191866.57972650829</v>
      </c>
      <c r="AC210" s="18">
        <f t="shared" si="66"/>
        <v>6277554.7110184655</v>
      </c>
      <c r="AD210" s="19">
        <f t="shared" si="67"/>
        <v>5.8863677200908827E-3</v>
      </c>
    </row>
    <row r="211" spans="1:30" x14ac:dyDescent="0.25">
      <c r="A211" s="8">
        <v>359</v>
      </c>
      <c r="B211" s="9">
        <v>44847</v>
      </c>
      <c r="C211" s="10">
        <v>2.708333333333333</v>
      </c>
      <c r="D211" s="11">
        <v>192900.2931044758</v>
      </c>
      <c r="E211" s="11">
        <v>2175.132883626005</v>
      </c>
      <c r="F211" s="11"/>
      <c r="G211" s="11">
        <v>76199.376724578993</v>
      </c>
      <c r="H211" s="12">
        <v>7.2974533444535805E-2</v>
      </c>
      <c r="I211" s="13">
        <v>2313</v>
      </c>
      <c r="J211" s="13">
        <v>487900</v>
      </c>
      <c r="K211" s="12">
        <v>7.5249952670181891E-2</v>
      </c>
      <c r="L211" s="14">
        <v>30.11201388888891</v>
      </c>
      <c r="M211" s="15"/>
      <c r="N211" s="16">
        <f t="shared" si="51"/>
        <v>116700.91637989681</v>
      </c>
      <c r="O211" s="17">
        <f t="shared" si="52"/>
        <v>195075.42598810181</v>
      </c>
      <c r="P211" s="18">
        <f t="shared" si="53"/>
        <v>5874113.9367346419</v>
      </c>
      <c r="Q211" s="19">
        <f t="shared" si="54"/>
        <v>1.1150214705970564E-2</v>
      </c>
      <c r="R211" s="20">
        <f t="shared" si="55"/>
        <v>7.2974533444535805E-2</v>
      </c>
      <c r="S211" s="20">
        <f t="shared" si="56"/>
        <v>8.4851424489834203E-4</v>
      </c>
      <c r="T211" s="20">
        <f t="shared" si="57"/>
        <v>0</v>
      </c>
      <c r="U211" s="20">
        <f t="shared" si="58"/>
        <v>7.6098466915080237E-2</v>
      </c>
      <c r="V211" s="21">
        <f t="shared" si="59"/>
        <v>345712247.97673255</v>
      </c>
      <c r="W211" s="21" t="str">
        <f t="shared" si="60"/>
        <v/>
      </c>
      <c r="X211" s="19" t="str">
        <f t="shared" si="61"/>
        <v/>
      </c>
      <c r="Y211" s="17">
        <f t="shared" si="62"/>
        <v>1087.5664418130025</v>
      </c>
      <c r="Z211" s="17">
        <f t="shared" si="63"/>
        <v>191812.72666266281</v>
      </c>
      <c r="AA211" s="20">
        <f t="shared" si="64"/>
        <v>5.2632103053806729E-2</v>
      </c>
      <c r="AB211" s="17">
        <f t="shared" si="65"/>
        <v>191812.72666266281</v>
      </c>
      <c r="AC211" s="18">
        <f t="shared" si="66"/>
        <v>5775867.4893317549</v>
      </c>
      <c r="AD211" s="19">
        <f t="shared" si="67"/>
        <v>5.6379719507422977E-3</v>
      </c>
    </row>
    <row r="212" spans="1:30" x14ac:dyDescent="0.25">
      <c r="A212" s="8">
        <v>360</v>
      </c>
      <c r="B212" s="9">
        <v>44849</v>
      </c>
      <c r="C212" s="10">
        <v>2.5</v>
      </c>
      <c r="D212" s="11">
        <v>192797.9493620531</v>
      </c>
      <c r="E212" s="11">
        <v>2211.1691697310048</v>
      </c>
      <c r="F212" s="11"/>
      <c r="G212" s="11">
        <v>75764.440384337999</v>
      </c>
      <c r="H212" s="12">
        <v>7.288183176163017E-2</v>
      </c>
      <c r="I212" s="13">
        <v>2321</v>
      </c>
      <c r="J212" s="13">
        <v>486669</v>
      </c>
      <c r="K212" s="12">
        <v>8.152129674975031E-2</v>
      </c>
      <c r="L212" s="14">
        <v>29.93177083333325</v>
      </c>
      <c r="M212" s="15"/>
      <c r="N212" s="16">
        <f t="shared" si="51"/>
        <v>117033.5089777151</v>
      </c>
      <c r="O212" s="17">
        <f t="shared" si="52"/>
        <v>195009.1185317841</v>
      </c>
      <c r="P212" s="18">
        <f t="shared" si="53"/>
        <v>5836968.2463036822</v>
      </c>
      <c r="Q212" s="19">
        <f t="shared" si="54"/>
        <v>1.1338798854016723E-2</v>
      </c>
      <c r="R212" s="20">
        <f t="shared" si="55"/>
        <v>7.288183176163017E-2</v>
      </c>
      <c r="S212" s="20">
        <f t="shared" si="56"/>
        <v>9.3495485115890388E-4</v>
      </c>
      <c r="T212" s="20">
        <f t="shared" si="57"/>
        <v>0</v>
      </c>
      <c r="U212" s="20">
        <f t="shared" si="58"/>
        <v>8.2456251600909219E-2</v>
      </c>
      <c r="V212" s="21">
        <f t="shared" si="59"/>
        <v>345526647.94162798</v>
      </c>
      <c r="W212" s="21" t="str">
        <f t="shared" si="60"/>
        <v/>
      </c>
      <c r="X212" s="19" t="str">
        <f t="shared" si="61"/>
        <v/>
      </c>
      <c r="Y212" s="17">
        <f t="shared" si="62"/>
        <v>1105.5845848655024</v>
      </c>
      <c r="Z212" s="17">
        <f t="shared" si="63"/>
        <v>191692.36477718758</v>
      </c>
      <c r="AA212" s="20">
        <f t="shared" si="64"/>
        <v>5.2585286308138926E-2</v>
      </c>
      <c r="AB212" s="17">
        <f t="shared" si="65"/>
        <v>191692.36477718758</v>
      </c>
      <c r="AC212" s="18">
        <f t="shared" si="66"/>
        <v>5737691.9330105009</v>
      </c>
      <c r="AD212" s="19">
        <f t="shared" si="67"/>
        <v>5.7344208718181824E-3</v>
      </c>
    </row>
    <row r="213" spans="1:30" x14ac:dyDescent="0.25">
      <c r="A213" s="8">
        <v>361</v>
      </c>
      <c r="B213" s="9">
        <v>44852</v>
      </c>
      <c r="C213" s="10">
        <v>2.333333333333333</v>
      </c>
      <c r="D213" s="11">
        <v>192695.58481467111</v>
      </c>
      <c r="E213" s="11">
        <v>2234.6487946530051</v>
      </c>
      <c r="F213" s="11"/>
      <c r="G213" s="11">
        <v>75217.890467624995</v>
      </c>
      <c r="H213" s="12">
        <v>7.3203181360780911E-2</v>
      </c>
      <c r="I213" s="13">
        <v>2329</v>
      </c>
      <c r="J213" s="13">
        <v>484970</v>
      </c>
      <c r="K213" s="12">
        <v>8.718384358437592E-2</v>
      </c>
      <c r="L213" s="14">
        <v>30.689444444444501</v>
      </c>
      <c r="M213" s="15"/>
      <c r="N213" s="16">
        <f t="shared" si="51"/>
        <v>117477.69434704611</v>
      </c>
      <c r="O213" s="17">
        <f t="shared" si="52"/>
        <v>194930.23360932412</v>
      </c>
      <c r="P213" s="18">
        <f t="shared" si="53"/>
        <v>5982300.5748959407</v>
      </c>
      <c r="Q213" s="19">
        <f t="shared" si="54"/>
        <v>1.1463838899057856E-2</v>
      </c>
      <c r="R213" s="20">
        <f t="shared" si="55"/>
        <v>7.3203181360780911E-2</v>
      </c>
      <c r="S213" s="20">
        <f t="shared" si="56"/>
        <v>1.0110520755647772E-3</v>
      </c>
      <c r="T213" s="20">
        <f t="shared" si="57"/>
        <v>0</v>
      </c>
      <c r="U213" s="20">
        <f t="shared" si="58"/>
        <v>8.8194895659940695E-2</v>
      </c>
      <c r="V213" s="21">
        <f t="shared" si="59"/>
        <v>345978564.01542705</v>
      </c>
      <c r="W213" s="21" t="str">
        <f t="shared" si="60"/>
        <v/>
      </c>
      <c r="X213" s="19" t="str">
        <f t="shared" si="61"/>
        <v/>
      </c>
      <c r="Y213" s="17">
        <f t="shared" si="62"/>
        <v>1117.3243973265025</v>
      </c>
      <c r="Z213" s="17">
        <f t="shared" si="63"/>
        <v>191578.2604173446</v>
      </c>
      <c r="AA213" s="20">
        <f t="shared" si="64"/>
        <v>5.2515139260430985E-2</v>
      </c>
      <c r="AB213" s="17">
        <f t="shared" si="65"/>
        <v>191578.2604173446</v>
      </c>
      <c r="AC213" s="18">
        <f t="shared" si="66"/>
        <v>5879430.379841418</v>
      </c>
      <c r="AD213" s="19">
        <f t="shared" si="67"/>
        <v>5.7983912729557968E-3</v>
      </c>
    </row>
    <row r="214" spans="1:30" x14ac:dyDescent="0.25">
      <c r="A214" s="8">
        <v>362</v>
      </c>
      <c r="B214" s="9">
        <v>44854</v>
      </c>
      <c r="C214" s="10">
        <v>2.375</v>
      </c>
      <c r="D214" s="11">
        <v>192593.20425370091</v>
      </c>
      <c r="E214" s="11">
        <v>2335.1451522210082</v>
      </c>
      <c r="F214" s="11">
        <v>7.5969600000000224E-3</v>
      </c>
      <c r="G214" s="11">
        <v>75398.715937298999</v>
      </c>
      <c r="H214" s="12">
        <v>7.3322131172649158E-2</v>
      </c>
      <c r="I214" s="13">
        <v>2335</v>
      </c>
      <c r="J214" s="13">
        <v>488398</v>
      </c>
      <c r="K214" s="12">
        <v>8.5622001328795785E-2</v>
      </c>
      <c r="L214" s="14">
        <v>28.918020833333351</v>
      </c>
      <c r="M214" s="15"/>
      <c r="N214" s="16">
        <f t="shared" si="51"/>
        <v>117194.48831640191</v>
      </c>
      <c r="O214" s="17">
        <f t="shared" si="52"/>
        <v>194928.35700288191</v>
      </c>
      <c r="P214" s="18">
        <f t="shared" si="53"/>
        <v>5636942.2888167799</v>
      </c>
      <c r="Q214" s="19">
        <f t="shared" si="54"/>
        <v>1.1979504614541456E-2</v>
      </c>
      <c r="R214" s="20">
        <f t="shared" si="55"/>
        <v>7.3322131172649158E-2</v>
      </c>
      <c r="S214" s="20">
        <f t="shared" si="56"/>
        <v>1.0381456713447672E-3</v>
      </c>
      <c r="T214" s="20">
        <f t="shared" si="57"/>
        <v>3.3774136617923308E-9</v>
      </c>
      <c r="U214" s="20">
        <f t="shared" si="58"/>
        <v>8.6660150377554215E-2</v>
      </c>
      <c r="V214" s="21">
        <f t="shared" si="59"/>
        <v>345925195.13289082</v>
      </c>
      <c r="W214" s="21" t="str">
        <f t="shared" si="60"/>
        <v/>
      </c>
      <c r="X214" s="19" t="str">
        <f t="shared" si="61"/>
        <v/>
      </c>
      <c r="Y214" s="17">
        <f t="shared" si="62"/>
        <v>1167.5725761105041</v>
      </c>
      <c r="Z214" s="17">
        <f t="shared" si="63"/>
        <v>191425.6316775904</v>
      </c>
      <c r="AA214" s="20">
        <f t="shared" si="64"/>
        <v>5.2468426555146309E-2</v>
      </c>
      <c r="AB214" s="17">
        <f t="shared" si="65"/>
        <v>191425.6316775904</v>
      </c>
      <c r="AC214" s="18">
        <f t="shared" si="66"/>
        <v>5535650.4048865559</v>
      </c>
      <c r="AD214" s="19">
        <f t="shared" si="67"/>
        <v>6.0623768145654485E-3</v>
      </c>
    </row>
    <row r="215" spans="1:30" x14ac:dyDescent="0.25">
      <c r="A215" s="8">
        <v>363</v>
      </c>
      <c r="B215" s="9">
        <v>44856</v>
      </c>
      <c r="C215" s="10">
        <v>2.208333333333333</v>
      </c>
      <c r="D215" s="11">
        <v>192490.77985817401</v>
      </c>
      <c r="E215" s="11">
        <v>2344.977880616007</v>
      </c>
      <c r="F215" s="11">
        <v>5.9299000000000978E-5</v>
      </c>
      <c r="G215" s="11">
        <v>75404.975638100004</v>
      </c>
      <c r="H215" s="12">
        <v>7.2868497276833477E-2</v>
      </c>
      <c r="I215" s="13">
        <v>2348</v>
      </c>
      <c r="J215" s="13">
        <v>489917</v>
      </c>
      <c r="K215" s="12">
        <v>9.1971672356465958E-2</v>
      </c>
      <c r="L215" s="14">
        <v>27.889861111111141</v>
      </c>
      <c r="M215" s="15"/>
      <c r="N215" s="16">
        <f t="shared" si="51"/>
        <v>117085.804220074</v>
      </c>
      <c r="O215" s="17">
        <f t="shared" si="52"/>
        <v>194835.75779808901</v>
      </c>
      <c r="P215" s="18">
        <f t="shared" si="53"/>
        <v>5433942.2244667923</v>
      </c>
      <c r="Q215" s="19">
        <f t="shared" si="54"/>
        <v>1.2035664844674662E-2</v>
      </c>
      <c r="R215" s="20">
        <f t="shared" si="55"/>
        <v>7.2868497276833477E-2</v>
      </c>
      <c r="S215" s="20">
        <f t="shared" si="56"/>
        <v>1.1204252872687242E-3</v>
      </c>
      <c r="T215" s="20">
        <f t="shared" si="57"/>
        <v>2.8332932118018905E-11</v>
      </c>
      <c r="U215" s="20">
        <f t="shared" si="58"/>
        <v>9.3092097672067622E-2</v>
      </c>
      <c r="V215" s="21">
        <f t="shared" si="59"/>
        <v>346163637.04734087</v>
      </c>
      <c r="W215" s="21" t="str">
        <f t="shared" si="60"/>
        <v/>
      </c>
      <c r="X215" s="19" t="str">
        <f t="shared" si="61"/>
        <v/>
      </c>
      <c r="Y215" s="17">
        <f t="shared" si="62"/>
        <v>1172.4889403080035</v>
      </c>
      <c r="Z215" s="17">
        <f t="shared" si="63"/>
        <v>191318.29091786599</v>
      </c>
      <c r="AA215" s="20">
        <f t="shared" si="64"/>
        <v>5.242175540124789E-2</v>
      </c>
      <c r="AB215" s="17">
        <f t="shared" si="65"/>
        <v>191318.29091786599</v>
      </c>
      <c r="AC215" s="18">
        <f t="shared" si="66"/>
        <v>5335840.5617144387</v>
      </c>
      <c r="AD215" s="19">
        <f t="shared" si="67"/>
        <v>6.0911433844877448E-3</v>
      </c>
    </row>
    <row r="216" spans="1:30" x14ac:dyDescent="0.25">
      <c r="A216" s="8">
        <v>364</v>
      </c>
      <c r="B216" s="9">
        <v>44859</v>
      </c>
      <c r="C216" s="10">
        <v>2.208333333333333</v>
      </c>
      <c r="D216" s="11">
        <v>192388.34473148</v>
      </c>
      <c r="E216" s="11">
        <v>2340.47036724801</v>
      </c>
      <c r="F216" s="11">
        <v>3.594500000000047E-5</v>
      </c>
      <c r="G216" s="11">
        <v>75348.513942004007</v>
      </c>
      <c r="H216" s="12">
        <v>7.2340470794975603E-2</v>
      </c>
      <c r="I216" s="13">
        <v>2353</v>
      </c>
      <c r="J216" s="13">
        <v>492570</v>
      </c>
      <c r="K216" s="12">
        <v>9.1852465069399328E-2</v>
      </c>
      <c r="L216" s="14">
        <v>29.362013888888921</v>
      </c>
      <c r="M216" s="15"/>
      <c r="N216" s="16">
        <f t="shared" si="51"/>
        <v>117039.83078947599</v>
      </c>
      <c r="O216" s="17">
        <f t="shared" si="52"/>
        <v>194728.815134673</v>
      </c>
      <c r="P216" s="18">
        <f t="shared" si="53"/>
        <v>5717630.1745511517</v>
      </c>
      <c r="Q216" s="19">
        <f t="shared" si="54"/>
        <v>1.201912703895085E-2</v>
      </c>
      <c r="R216" s="20">
        <f t="shared" si="55"/>
        <v>7.2340470794975603E-2</v>
      </c>
      <c r="S216" s="20">
        <f t="shared" si="56"/>
        <v>1.1174168214486216E-3</v>
      </c>
      <c r="T216" s="20">
        <f t="shared" si="57"/>
        <v>1.7161314327683197E-11</v>
      </c>
      <c r="U216" s="20">
        <f t="shared" si="58"/>
        <v>9.2969881908009269E-2</v>
      </c>
      <c r="V216" s="21">
        <f t="shared" si="59"/>
        <v>346428440.44295591</v>
      </c>
      <c r="W216" s="21" t="str">
        <f t="shared" si="60"/>
        <v/>
      </c>
      <c r="X216" s="19" t="str">
        <f t="shared" si="61"/>
        <v/>
      </c>
      <c r="Y216" s="17">
        <f t="shared" si="62"/>
        <v>1170.235183624005</v>
      </c>
      <c r="Z216" s="17">
        <f t="shared" si="63"/>
        <v>191218.109547856</v>
      </c>
      <c r="AA216" s="20">
        <f t="shared" si="64"/>
        <v>5.2351826498407687E-2</v>
      </c>
      <c r="AB216" s="17">
        <f t="shared" si="65"/>
        <v>191218.109547856</v>
      </c>
      <c r="AC216" s="18">
        <f t="shared" si="66"/>
        <v>5614548.7883512313</v>
      </c>
      <c r="AD216" s="19">
        <f t="shared" si="67"/>
        <v>6.0826719272278375E-3</v>
      </c>
    </row>
    <row r="217" spans="1:30" x14ac:dyDescent="0.25">
      <c r="A217" s="8">
        <v>365</v>
      </c>
      <c r="B217" s="9">
        <v>44861</v>
      </c>
      <c r="C217" s="10">
        <v>2.25</v>
      </c>
      <c r="D217" s="11">
        <v>192285.90407367781</v>
      </c>
      <c r="E217" s="11">
        <v>2304.0895349080079</v>
      </c>
      <c r="F217" s="11">
        <v>6.1107000000001162E-5</v>
      </c>
      <c r="G217" s="11">
        <v>75626.189191334997</v>
      </c>
      <c r="H217" s="12">
        <v>7.3186524730058253E-2</v>
      </c>
      <c r="I217" s="13">
        <v>2365</v>
      </c>
      <c r="J217" s="13">
        <v>489450</v>
      </c>
      <c r="K217" s="12">
        <v>8.9953672009955368E-2</v>
      </c>
      <c r="L217" s="14">
        <v>31.397048611111149</v>
      </c>
      <c r="M217" s="15"/>
      <c r="N217" s="16">
        <f t="shared" si="51"/>
        <v>116659.71488234281</v>
      </c>
      <c r="O217" s="17">
        <f t="shared" si="52"/>
        <v>194589.99366969283</v>
      </c>
      <c r="P217" s="18">
        <f t="shared" si="53"/>
        <v>6109551.4904831564</v>
      </c>
      <c r="Q217" s="19">
        <f t="shared" si="54"/>
        <v>1.1840740068161415E-2</v>
      </c>
      <c r="R217" s="20">
        <f t="shared" si="55"/>
        <v>7.3186524730058253E-2</v>
      </c>
      <c r="S217" s="20">
        <f t="shared" si="56"/>
        <v>1.077880957021528E-3</v>
      </c>
      <c r="T217" s="20">
        <f t="shared" si="57"/>
        <v>2.8586593811922112E-11</v>
      </c>
      <c r="U217" s="20">
        <f t="shared" si="58"/>
        <v>9.1031552995563494E-2</v>
      </c>
      <c r="V217" s="21">
        <f t="shared" si="59"/>
        <v>347005420.2772193</v>
      </c>
      <c r="W217" s="21" t="str">
        <f t="shared" si="60"/>
        <v/>
      </c>
      <c r="X217" s="19" t="str">
        <f t="shared" si="61"/>
        <v/>
      </c>
      <c r="Y217" s="17">
        <f t="shared" si="62"/>
        <v>1152.0447674540039</v>
      </c>
      <c r="Z217" s="17">
        <f t="shared" si="63"/>
        <v>191133.85930622381</v>
      </c>
      <c r="AA217" s="20">
        <f t="shared" si="64"/>
        <v>5.2305259061345276E-2</v>
      </c>
      <c r="AB217" s="17">
        <f t="shared" si="65"/>
        <v>191133.85930622381</v>
      </c>
      <c r="AC217" s="18">
        <f t="shared" si="66"/>
        <v>6001039.071866788</v>
      </c>
      <c r="AD217" s="19">
        <f t="shared" si="67"/>
        <v>5.9913115992765503E-3</v>
      </c>
    </row>
    <row r="218" spans="1:30" x14ac:dyDescent="0.25">
      <c r="A218" s="8">
        <v>366</v>
      </c>
      <c r="B218" s="9">
        <v>44863</v>
      </c>
      <c r="C218" s="10">
        <v>2.25</v>
      </c>
      <c r="D218" s="11">
        <v>192183.4696307476</v>
      </c>
      <c r="E218" s="11">
        <v>2336.5580556600062</v>
      </c>
      <c r="F218" s="11">
        <v>8.6685000000001397E-5</v>
      </c>
      <c r="G218" s="11">
        <v>75966.683464949005</v>
      </c>
      <c r="H218" s="12">
        <v>7.3340864563910119E-2</v>
      </c>
      <c r="I218" s="13">
        <v>2379</v>
      </c>
      <c r="J218" s="13">
        <v>489471</v>
      </c>
      <c r="K218" s="12">
        <v>8.9206223437496526E-2</v>
      </c>
      <c r="L218" s="14">
        <v>32.915416666666758</v>
      </c>
      <c r="M218" s="15"/>
      <c r="N218" s="16">
        <f t="shared" si="51"/>
        <v>116216.78616579859</v>
      </c>
      <c r="O218" s="17">
        <f t="shared" si="52"/>
        <v>194520.02777309262</v>
      </c>
      <c r="P218" s="18">
        <f t="shared" si="53"/>
        <v>6402707.7641629335</v>
      </c>
      <c r="Q218" s="19">
        <f t="shared" si="54"/>
        <v>1.2011915083549126E-2</v>
      </c>
      <c r="R218" s="20">
        <f t="shared" si="55"/>
        <v>7.3340864563910119E-2</v>
      </c>
      <c r="S218" s="20">
        <f t="shared" si="56"/>
        <v>1.0845652874743458E-3</v>
      </c>
      <c r="T218" s="20">
        <f t="shared" si="57"/>
        <v>4.0236766947422871E-11</v>
      </c>
      <c r="U218" s="20">
        <f t="shared" si="58"/>
        <v>9.0290788765207644E-2</v>
      </c>
      <c r="V218" s="21">
        <f t="shared" si="59"/>
        <v>349726532.90926296</v>
      </c>
      <c r="W218" s="21" t="str">
        <f t="shared" si="60"/>
        <v/>
      </c>
      <c r="X218" s="19" t="str">
        <f t="shared" si="61"/>
        <v/>
      </c>
      <c r="Y218" s="17">
        <f t="shared" si="62"/>
        <v>1168.2790278300031</v>
      </c>
      <c r="Z218" s="17">
        <f t="shared" si="63"/>
        <v>191015.1906029176</v>
      </c>
      <c r="AA218" s="20">
        <f t="shared" si="64"/>
        <v>5.2258733046451671E-2</v>
      </c>
      <c r="AB218" s="17">
        <f t="shared" si="65"/>
        <v>191015.1906029176</v>
      </c>
      <c r="AC218" s="18">
        <f t="shared" si="66"/>
        <v>6287344.5883578015</v>
      </c>
      <c r="AD218" s="19">
        <f t="shared" si="67"/>
        <v>6.0789777085130175E-3</v>
      </c>
    </row>
    <row r="219" spans="1:30" x14ac:dyDescent="0.25">
      <c r="A219" s="8">
        <v>367</v>
      </c>
      <c r="B219" s="9">
        <v>44865</v>
      </c>
      <c r="C219" s="10">
        <v>2.291666666666667</v>
      </c>
      <c r="D219" s="11">
        <v>192081.01655936401</v>
      </c>
      <c r="E219" s="11">
        <v>2071.1831790650049</v>
      </c>
      <c r="F219" s="11">
        <v>9.763000000000008E-5</v>
      </c>
      <c r="G219" s="11">
        <v>75973.123548075993</v>
      </c>
      <c r="H219" s="12">
        <v>7.3627738588893918E-2</v>
      </c>
      <c r="I219" s="13">
        <v>2400</v>
      </c>
      <c r="J219" s="13">
        <v>487373</v>
      </c>
      <c r="K219" s="12">
        <v>8.69674034636638E-2</v>
      </c>
      <c r="L219" s="14">
        <v>33.071006944444292</v>
      </c>
      <c r="M219" s="15"/>
      <c r="N219" s="16">
        <f t="shared" si="51"/>
        <v>116107.89301128802</v>
      </c>
      <c r="O219" s="17">
        <f t="shared" si="52"/>
        <v>194152.19983605901</v>
      </c>
      <c r="P219" s="18">
        <f t="shared" si="53"/>
        <v>6420808.7490574438</v>
      </c>
      <c r="Q219" s="19">
        <f t="shared" si="54"/>
        <v>1.0667832663312081E-2</v>
      </c>
      <c r="R219" s="20">
        <f t="shared" si="55"/>
        <v>7.3627738588893918E-2</v>
      </c>
      <c r="S219" s="20">
        <f t="shared" si="56"/>
        <v>9.3775754838964554E-4</v>
      </c>
      <c r="T219" s="20">
        <f t="shared" si="57"/>
        <v>4.4203366643123812E-11</v>
      </c>
      <c r="U219" s="20">
        <f t="shared" si="58"/>
        <v>8.7905161056256814E-2</v>
      </c>
      <c r="V219" s="21">
        <f t="shared" si="59"/>
        <v>352019497.39978617</v>
      </c>
      <c r="W219" s="21" t="str">
        <f t="shared" si="60"/>
        <v/>
      </c>
      <c r="X219" s="19" t="str">
        <f t="shared" si="61"/>
        <v/>
      </c>
      <c r="Y219" s="17">
        <f t="shared" si="62"/>
        <v>1035.5915895325024</v>
      </c>
      <c r="Z219" s="17">
        <f t="shared" si="63"/>
        <v>191045.42496983151</v>
      </c>
      <c r="AA219" s="20">
        <f t="shared" si="64"/>
        <v>5.2212248416881463E-2</v>
      </c>
      <c r="AB219" s="17">
        <f t="shared" si="65"/>
        <v>191045.42496983151</v>
      </c>
      <c r="AC219" s="18">
        <f t="shared" si="66"/>
        <v>6318064.5758816088</v>
      </c>
      <c r="AD219" s="19">
        <f t="shared" si="67"/>
        <v>5.3914312204425751E-3</v>
      </c>
    </row>
    <row r="220" spans="1:30" x14ac:dyDescent="0.25">
      <c r="A220" s="8">
        <v>368</v>
      </c>
      <c r="B220" s="9">
        <v>44868</v>
      </c>
      <c r="C220" s="10">
        <v>2.25</v>
      </c>
      <c r="D220" s="11">
        <v>191978.65244581469</v>
      </c>
      <c r="E220" s="11">
        <v>1689.414107864003</v>
      </c>
      <c r="F220" s="11">
        <v>9.675999999999946E-5</v>
      </c>
      <c r="G220" s="11">
        <v>77205.486879610995</v>
      </c>
      <c r="H220" s="12">
        <v>7.2047423647667697E-2</v>
      </c>
      <c r="I220" s="13">
        <v>2413</v>
      </c>
      <c r="J220" s="13">
        <v>493877</v>
      </c>
      <c r="K220" s="12">
        <v>8.8282829405912561E-2</v>
      </c>
      <c r="L220" s="14">
        <v>31.416597222222212</v>
      </c>
      <c r="M220" s="15"/>
      <c r="N220" s="16">
        <f t="shared" si="51"/>
        <v>114773.16556620369</v>
      </c>
      <c r="O220" s="17">
        <f t="shared" si="52"/>
        <v>193668.06665043868</v>
      </c>
      <c r="P220" s="18">
        <f t="shared" si="53"/>
        <v>6084391.6447633179</v>
      </c>
      <c r="Q220" s="19">
        <f t="shared" si="54"/>
        <v>8.7232455875821402E-3</v>
      </c>
      <c r="R220" s="20">
        <f t="shared" si="55"/>
        <v>7.2047423647667697E-2</v>
      </c>
      <c r="S220" s="20">
        <f t="shared" si="56"/>
        <v>7.7688980300867443E-4</v>
      </c>
      <c r="T220" s="20">
        <f t="shared" si="57"/>
        <v>4.449581484445033E-11</v>
      </c>
      <c r="U220" s="20">
        <f t="shared" si="58"/>
        <v>8.9059719253417047E-2</v>
      </c>
      <c r="V220" s="21">
        <f t="shared" si="59"/>
        <v>353007881.4882592</v>
      </c>
      <c r="W220" s="21" t="str">
        <f t="shared" si="60"/>
        <v/>
      </c>
      <c r="X220" s="19" t="str">
        <f t="shared" si="61"/>
        <v/>
      </c>
      <c r="Y220" s="17">
        <f t="shared" si="62"/>
        <v>844.70705393200149</v>
      </c>
      <c r="Z220" s="17">
        <f t="shared" si="63"/>
        <v>191133.94539188268</v>
      </c>
      <c r="AA220" s="20">
        <f t="shared" si="64"/>
        <v>5.2142598989488857E-2</v>
      </c>
      <c r="AB220" s="17">
        <f t="shared" si="65"/>
        <v>191133.94539188268</v>
      </c>
      <c r="AC220" s="18">
        <f t="shared" si="66"/>
        <v>6004778.1778709935</v>
      </c>
      <c r="AD220" s="19">
        <f t="shared" si="67"/>
        <v>4.4000051212486615E-3</v>
      </c>
    </row>
    <row r="221" spans="1:30" x14ac:dyDescent="0.25">
      <c r="A221" s="8">
        <v>369</v>
      </c>
      <c r="B221" s="9">
        <v>44870</v>
      </c>
      <c r="C221" s="10">
        <v>2.208333333333333</v>
      </c>
      <c r="D221" s="11">
        <v>191876.4181521101</v>
      </c>
      <c r="E221" s="11">
        <v>1829.6673546770051</v>
      </c>
      <c r="F221" s="11">
        <v>9.630000000000024E-5</v>
      </c>
      <c r="G221" s="11">
        <v>81891.020117035005</v>
      </c>
      <c r="H221" s="12">
        <v>6.8964799067314717E-2</v>
      </c>
      <c r="I221" s="13">
        <v>2414</v>
      </c>
      <c r="J221" s="13">
        <v>462023</v>
      </c>
      <c r="K221" s="12">
        <v>9.0022976518300754E-2</v>
      </c>
      <c r="L221" s="14">
        <v>35.592326388888907</v>
      </c>
      <c r="M221" s="15"/>
      <c r="N221" s="16">
        <f t="shared" si="51"/>
        <v>109985.39803507509</v>
      </c>
      <c r="O221" s="17">
        <f t="shared" si="52"/>
        <v>193706.08560308712</v>
      </c>
      <c r="P221" s="18">
        <f t="shared" si="53"/>
        <v>6894450.2222991316</v>
      </c>
      <c r="Q221" s="19">
        <f t="shared" si="54"/>
        <v>9.4455852999171096E-3</v>
      </c>
      <c r="R221" s="20">
        <f t="shared" si="55"/>
        <v>6.8964799067314717E-2</v>
      </c>
      <c r="S221" s="20">
        <f t="shared" si="56"/>
        <v>8.5842805954306433E-4</v>
      </c>
      <c r="T221" s="20">
        <f t="shared" si="57"/>
        <v>4.5181230305434734E-11</v>
      </c>
      <c r="U221" s="20">
        <f t="shared" si="58"/>
        <v>9.0881404623025047E-2</v>
      </c>
      <c r="V221" s="21">
        <f t="shared" si="59"/>
        <v>352528173.67077607</v>
      </c>
      <c r="W221" s="21" t="str">
        <f t="shared" si="60"/>
        <v/>
      </c>
      <c r="X221" s="19" t="str">
        <f t="shared" si="61"/>
        <v/>
      </c>
      <c r="Y221" s="17">
        <f t="shared" si="62"/>
        <v>914.83367733850253</v>
      </c>
      <c r="Z221" s="17">
        <f t="shared" si="63"/>
        <v>190961.5844747716</v>
      </c>
      <c r="AA221" s="20">
        <f t="shared" si="64"/>
        <v>5.209621766224351E-2</v>
      </c>
      <c r="AB221" s="17">
        <f t="shared" si="65"/>
        <v>190961.5844747716</v>
      </c>
      <c r="AC221" s="18">
        <f t="shared" si="66"/>
        <v>6796767.0423654513</v>
      </c>
      <c r="AD221" s="19">
        <f t="shared" si="67"/>
        <v>4.7678275743779407E-3</v>
      </c>
    </row>
    <row r="222" spans="1:30" x14ac:dyDescent="0.25">
      <c r="A222" s="8">
        <v>370</v>
      </c>
      <c r="B222" s="9">
        <v>44872</v>
      </c>
      <c r="C222" s="10">
        <v>2.333333333333333</v>
      </c>
      <c r="D222" s="11">
        <v>191774.12752394291</v>
      </c>
      <c r="E222" s="11">
        <v>2427.478542191001</v>
      </c>
      <c r="F222" s="11">
        <v>6.07750000000008E-5</v>
      </c>
      <c r="G222" s="11">
        <v>79631.250417614996</v>
      </c>
      <c r="H222" s="12">
        <v>7.0149899194531962E-2</v>
      </c>
      <c r="I222" s="13">
        <v>2413</v>
      </c>
      <c r="J222" s="13">
        <v>464907</v>
      </c>
      <c r="K222" s="12">
        <v>8.5341805993597322E-2</v>
      </c>
      <c r="L222" s="14">
        <v>31.830347222222219</v>
      </c>
      <c r="M222" s="15"/>
      <c r="N222" s="16">
        <f t="shared" si="51"/>
        <v>112142.87710632791</v>
      </c>
      <c r="O222" s="17">
        <f t="shared" si="52"/>
        <v>194201.60612690891</v>
      </c>
      <c r="P222" s="18">
        <f t="shared" si="53"/>
        <v>6181504.5541327484</v>
      </c>
      <c r="Q222" s="19">
        <f t="shared" si="54"/>
        <v>1.2499786127436385E-2</v>
      </c>
      <c r="R222" s="20">
        <f t="shared" si="55"/>
        <v>7.0149899194531962E-2</v>
      </c>
      <c r="S222" s="20">
        <f t="shared" si="56"/>
        <v>1.0802573083035947E-3</v>
      </c>
      <c r="T222" s="20">
        <f t="shared" si="57"/>
        <v>2.7045609990395576E-11</v>
      </c>
      <c r="U222" s="20">
        <f t="shared" si="58"/>
        <v>8.642206332894653E-2</v>
      </c>
      <c r="V222" s="21">
        <f t="shared" si="59"/>
        <v>351756090.51128173</v>
      </c>
      <c r="W222" s="21" t="str">
        <f t="shared" si="60"/>
        <v/>
      </c>
      <c r="X222" s="19" t="str">
        <f t="shared" si="61"/>
        <v/>
      </c>
      <c r="Y222" s="17">
        <f t="shared" si="62"/>
        <v>1213.7392710955005</v>
      </c>
      <c r="Z222" s="17">
        <f t="shared" si="63"/>
        <v>190560.38825284742</v>
      </c>
      <c r="AA222" s="20">
        <f t="shared" si="64"/>
        <v>5.2049877591620559E-2</v>
      </c>
      <c r="AB222" s="17">
        <f t="shared" si="65"/>
        <v>190560.38825284742</v>
      </c>
      <c r="AC222" s="18">
        <f t="shared" si="66"/>
        <v>6065603.3248896096</v>
      </c>
      <c r="AD222" s="19">
        <f t="shared" si="67"/>
        <v>6.3290042654161769E-3</v>
      </c>
    </row>
    <row r="223" spans="1:30" x14ac:dyDescent="0.25">
      <c r="A223" s="8">
        <v>371</v>
      </c>
      <c r="B223" s="9">
        <v>44875</v>
      </c>
      <c r="C223" s="10">
        <v>2.541666666666667</v>
      </c>
      <c r="D223" s="11">
        <v>191671.61529991421</v>
      </c>
      <c r="E223" s="11">
        <v>2119.9592039620161</v>
      </c>
      <c r="F223" s="11">
        <v>6.1070000000000593E-5</v>
      </c>
      <c r="G223" s="11">
        <v>78765.765683056001</v>
      </c>
      <c r="H223" s="12">
        <v>7.028790325201946E-2</v>
      </c>
      <c r="I223" s="13">
        <v>2414</v>
      </c>
      <c r="J223" s="13">
        <v>466442</v>
      </c>
      <c r="K223" s="12">
        <v>8.0647471993523207E-2</v>
      </c>
      <c r="L223" s="14">
        <v>15.80937499999999</v>
      </c>
      <c r="M223" s="15"/>
      <c r="N223" s="16">
        <f t="shared" si="51"/>
        <v>112905.84961685821</v>
      </c>
      <c r="O223" s="17">
        <f t="shared" si="52"/>
        <v>193791.5745649462</v>
      </c>
      <c r="P223" s="18">
        <f t="shared" si="53"/>
        <v>3063723.6741376948</v>
      </c>
      <c r="Q223" s="19">
        <f t="shared" si="54"/>
        <v>1.0939377569542091E-2</v>
      </c>
      <c r="R223" s="20">
        <f t="shared" si="55"/>
        <v>7.028790325201946E-2</v>
      </c>
      <c r="S223" s="20">
        <f t="shared" si="56"/>
        <v>8.9199097248394174E-4</v>
      </c>
      <c r="T223" s="20">
        <f t="shared" si="57"/>
        <v>2.5695724987437485E-11</v>
      </c>
      <c r="U223" s="20">
        <f t="shared" si="58"/>
        <v>8.1539462991702866E-2</v>
      </c>
      <c r="V223" s="21">
        <f t="shared" si="59"/>
        <v>341537720.71241242</v>
      </c>
      <c r="W223" s="21" t="str">
        <f t="shared" si="60"/>
        <v/>
      </c>
      <c r="X223" s="19" t="str">
        <f t="shared" si="61"/>
        <v/>
      </c>
      <c r="Y223" s="17">
        <f t="shared" si="62"/>
        <v>1059.979601981008</v>
      </c>
      <c r="Z223" s="17">
        <f t="shared" si="63"/>
        <v>190611.6356979332</v>
      </c>
      <c r="AA223" s="20">
        <f t="shared" si="64"/>
        <v>5.1980444761584858E-2</v>
      </c>
      <c r="AB223" s="17">
        <f t="shared" si="65"/>
        <v>190611.6356979332</v>
      </c>
      <c r="AC223" s="18">
        <f t="shared" si="66"/>
        <v>3013450.8281120108</v>
      </c>
      <c r="AD223" s="19">
        <f t="shared" si="67"/>
        <v>5.5301855745433504E-3</v>
      </c>
    </row>
    <row r="224" spans="1:30" x14ac:dyDescent="0.25">
      <c r="A224" s="8">
        <v>372</v>
      </c>
      <c r="B224" s="9">
        <v>44877</v>
      </c>
      <c r="C224" s="10">
        <v>2.541666666666667</v>
      </c>
      <c r="D224" s="11">
        <v>191569.2074077577</v>
      </c>
      <c r="E224" s="11">
        <v>1935.77777403501</v>
      </c>
      <c r="F224" s="11">
        <v>2.3962800000000019E-4</v>
      </c>
      <c r="G224" s="11">
        <v>75511.739662345004</v>
      </c>
      <c r="H224" s="12">
        <v>7.2015704476247458E-2</v>
      </c>
      <c r="I224" s="13">
        <v>2412</v>
      </c>
      <c r="J224" s="13">
        <v>464358</v>
      </c>
      <c r="K224" s="12">
        <v>8.4149982190212039E-2</v>
      </c>
      <c r="L224" s="14">
        <v>15.32354166666668</v>
      </c>
      <c r="M224" s="15"/>
      <c r="N224" s="16">
        <f t="shared" si="51"/>
        <v>116057.46774541269</v>
      </c>
      <c r="O224" s="17">
        <f t="shared" si="52"/>
        <v>193504.98542142069</v>
      </c>
      <c r="P224" s="18">
        <f t="shared" si="53"/>
        <v>2965181.7068128684</v>
      </c>
      <c r="Q224" s="19">
        <f t="shared" si="54"/>
        <v>1.0003761762619282E-2</v>
      </c>
      <c r="R224" s="20">
        <f t="shared" si="55"/>
        <v>7.2015704476247458E-2</v>
      </c>
      <c r="S224" s="20">
        <f t="shared" si="56"/>
        <v>8.5032280194451463E-4</v>
      </c>
      <c r="T224" s="20">
        <f t="shared" si="57"/>
        <v>1.0526061158333929E-10</v>
      </c>
      <c r="U224" s="20">
        <f t="shared" si="58"/>
        <v>8.5000305097417156E-2</v>
      </c>
      <c r="V224" s="21">
        <f t="shared" si="59"/>
        <v>327147273.61332554</v>
      </c>
      <c r="W224" s="21" t="str">
        <f t="shared" si="60"/>
        <v/>
      </c>
      <c r="X224" s="19" t="str">
        <f t="shared" si="61"/>
        <v/>
      </c>
      <c r="Y224" s="17">
        <f t="shared" si="62"/>
        <v>967.888887017505</v>
      </c>
      <c r="Z224" s="17">
        <f t="shared" si="63"/>
        <v>190601.3185207402</v>
      </c>
      <c r="AA224" s="20">
        <f t="shared" si="64"/>
        <v>5.1934207672034882E-2</v>
      </c>
      <c r="AB224" s="17">
        <f t="shared" si="65"/>
        <v>190601.3185207402</v>
      </c>
      <c r="AC224" s="18">
        <f t="shared" si="66"/>
        <v>2920687.2460741699</v>
      </c>
      <c r="AD224" s="19">
        <f t="shared" si="67"/>
        <v>5.0524241349359459E-3</v>
      </c>
    </row>
    <row r="225" spans="1:30" x14ac:dyDescent="0.25">
      <c r="A225" s="8">
        <v>373</v>
      </c>
      <c r="B225" s="9">
        <v>44880</v>
      </c>
      <c r="C225" s="10">
        <v>2.375</v>
      </c>
      <c r="D225" s="11">
        <v>191466.85934327429</v>
      </c>
      <c r="E225" s="11">
        <v>1895.756428894005</v>
      </c>
      <c r="F225" s="11">
        <v>4.3030209999999963E-3</v>
      </c>
      <c r="G225" s="11">
        <v>75567.746291542004</v>
      </c>
      <c r="H225" s="12">
        <v>7.2024151946128281E-2</v>
      </c>
      <c r="I225" s="13">
        <v>2412</v>
      </c>
      <c r="J225" s="13">
        <v>459628</v>
      </c>
      <c r="K225" s="12">
        <v>9.0663118658821484E-2</v>
      </c>
      <c r="L225" s="14">
        <v>14.402986111111121</v>
      </c>
      <c r="M225" s="15"/>
      <c r="N225" s="16">
        <f t="shared" si="51"/>
        <v>115899.11305173229</v>
      </c>
      <c r="O225" s="17">
        <f t="shared" si="52"/>
        <v>193362.6200751893</v>
      </c>
      <c r="P225" s="18">
        <f t="shared" si="53"/>
        <v>2784999.1313510081</v>
      </c>
      <c r="Q225" s="19">
        <f t="shared" si="54"/>
        <v>9.8041515374421261E-3</v>
      </c>
      <c r="R225" s="20">
        <f t="shared" si="55"/>
        <v>7.2024151946128281E-2</v>
      </c>
      <c r="S225" s="20">
        <f t="shared" si="56"/>
        <v>8.9767592496460069E-4</v>
      </c>
      <c r="T225" s="20">
        <f t="shared" si="57"/>
        <v>2.0375604679186713E-9</v>
      </c>
      <c r="U225" s="20">
        <f t="shared" si="58"/>
        <v>9.1560796621346557E-2</v>
      </c>
      <c r="V225" s="21">
        <f t="shared" si="59"/>
        <v>324780218.92428994</v>
      </c>
      <c r="W225" s="21" t="str">
        <f t="shared" si="60"/>
        <v/>
      </c>
      <c r="X225" s="19" t="str">
        <f t="shared" si="61"/>
        <v/>
      </c>
      <c r="Y225" s="17">
        <f t="shared" si="62"/>
        <v>947.87821444700251</v>
      </c>
      <c r="Z225" s="17">
        <f t="shared" si="63"/>
        <v>190518.98112882729</v>
      </c>
      <c r="AA225" s="20">
        <f t="shared" si="64"/>
        <v>5.1864929141879179E-2</v>
      </c>
      <c r="AB225" s="17">
        <f t="shared" si="65"/>
        <v>190518.98112882729</v>
      </c>
      <c r="AC225" s="18">
        <f t="shared" si="66"/>
        <v>2744042.2391015412</v>
      </c>
      <c r="AD225" s="19">
        <f t="shared" si="67"/>
        <v>4.9506124333902847E-3</v>
      </c>
    </row>
    <row r="226" spans="1:30" x14ac:dyDescent="0.25">
      <c r="A226" s="8">
        <v>374</v>
      </c>
      <c r="B226" s="9">
        <v>44882</v>
      </c>
      <c r="C226" s="10">
        <v>2.291666666666667</v>
      </c>
      <c r="D226" s="11">
        <v>191364.5194687203</v>
      </c>
      <c r="E226" s="11">
        <v>1939.9700480620061</v>
      </c>
      <c r="F226" s="11">
        <v>2.236854100000045E-2</v>
      </c>
      <c r="G226" s="11">
        <v>75378.863634245005</v>
      </c>
      <c r="H226" s="12">
        <v>7.2371226132870586E-2</v>
      </c>
      <c r="I226" s="13">
        <v>2416</v>
      </c>
      <c r="J226" s="13">
        <v>460642</v>
      </c>
      <c r="K226" s="12">
        <v>9.3965126958783868E-2</v>
      </c>
      <c r="L226" s="14">
        <v>13.92819444444444</v>
      </c>
      <c r="M226" s="15"/>
      <c r="N226" s="16">
        <f t="shared" si="51"/>
        <v>115985.6558344753</v>
      </c>
      <c r="O226" s="17">
        <f t="shared" si="52"/>
        <v>193304.5118853233</v>
      </c>
      <c r="P226" s="18">
        <f t="shared" si="53"/>
        <v>2692382.8285272042</v>
      </c>
      <c r="Q226" s="19">
        <f t="shared" si="54"/>
        <v>1.0035823939861689E-2</v>
      </c>
      <c r="R226" s="20">
        <f t="shared" si="55"/>
        <v>7.2371226132870586E-2</v>
      </c>
      <c r="S226" s="20">
        <f t="shared" si="56"/>
        <v>9.5257748076011956E-4</v>
      </c>
      <c r="T226" s="20">
        <f t="shared" si="57"/>
        <v>1.0983555367437729E-8</v>
      </c>
      <c r="U226" s="20">
        <f t="shared" si="58"/>
        <v>9.4917715423099361E-2</v>
      </c>
      <c r="V226" s="21">
        <f t="shared" si="59"/>
        <v>324588770.70205921</v>
      </c>
      <c r="W226" s="21" t="str">
        <f t="shared" si="60"/>
        <v/>
      </c>
      <c r="X226" s="19" t="str">
        <f t="shared" si="61"/>
        <v/>
      </c>
      <c r="Y226" s="17">
        <f t="shared" si="62"/>
        <v>969.98502403100304</v>
      </c>
      <c r="Z226" s="17">
        <f t="shared" si="63"/>
        <v>190394.53444468931</v>
      </c>
      <c r="AA226" s="20">
        <f t="shared" si="64"/>
        <v>5.1818794804548374E-2</v>
      </c>
      <c r="AB226" s="17">
        <f t="shared" si="65"/>
        <v>190394.53444468931</v>
      </c>
      <c r="AC226" s="18">
        <f t="shared" si="66"/>
        <v>2651852.0969051071</v>
      </c>
      <c r="AD226" s="19">
        <f t="shared" si="67"/>
        <v>5.0687819598112752E-3</v>
      </c>
    </row>
    <row r="227" spans="1:30" x14ac:dyDescent="0.25">
      <c r="A227" s="8">
        <v>375</v>
      </c>
      <c r="B227" s="9">
        <v>44884</v>
      </c>
      <c r="C227" s="10">
        <v>2.208333333333333</v>
      </c>
      <c r="D227" s="11">
        <v>191262.15761880181</v>
      </c>
      <c r="E227" s="11">
        <v>2069.688658297006</v>
      </c>
      <c r="F227" s="11">
        <v>4.9735500000000054E-4</v>
      </c>
      <c r="G227" s="11">
        <v>75494.673285269004</v>
      </c>
      <c r="H227" s="12">
        <v>7.2107120953652362E-2</v>
      </c>
      <c r="I227" s="13">
        <v>2414</v>
      </c>
      <c r="J227" s="13">
        <v>460214</v>
      </c>
      <c r="K227" s="12">
        <v>9.7334843795177609E-2</v>
      </c>
      <c r="L227" s="14">
        <v>12.87805555555556</v>
      </c>
      <c r="M227" s="15"/>
      <c r="N227" s="16">
        <f t="shared" si="51"/>
        <v>115767.4843335328</v>
      </c>
      <c r="O227" s="17">
        <f t="shared" si="52"/>
        <v>193331.84677445382</v>
      </c>
      <c r="P227" s="18">
        <f t="shared" si="53"/>
        <v>2489738.2634195713</v>
      </c>
      <c r="Q227" s="19">
        <f t="shared" si="54"/>
        <v>1.070536847822884E-2</v>
      </c>
      <c r="R227" s="20">
        <f t="shared" si="55"/>
        <v>7.2107120953652362E-2</v>
      </c>
      <c r="S227" s="20">
        <f t="shared" si="56"/>
        <v>1.0532811339580236E-3</v>
      </c>
      <c r="T227" s="20">
        <f t="shared" si="57"/>
        <v>2.5310794272348901E-10</v>
      </c>
      <c r="U227" s="20">
        <f t="shared" si="58"/>
        <v>9.8388125182243574E-2</v>
      </c>
      <c r="V227" s="21">
        <f t="shared" si="59"/>
        <v>325002207.76771921</v>
      </c>
      <c r="W227" s="21" t="str">
        <f t="shared" si="60"/>
        <v/>
      </c>
      <c r="X227" s="19" t="str">
        <f t="shared" si="61"/>
        <v/>
      </c>
      <c r="Y227" s="17">
        <f t="shared" si="62"/>
        <v>1034.844329148503</v>
      </c>
      <c r="Z227" s="17">
        <f t="shared" si="63"/>
        <v>190227.31328965331</v>
      </c>
      <c r="AA227" s="20">
        <f t="shared" si="64"/>
        <v>5.177270150414013E-2</v>
      </c>
      <c r="AB227" s="17">
        <f t="shared" si="65"/>
        <v>190227.31328965331</v>
      </c>
      <c r="AC227" s="18">
        <f t="shared" si="66"/>
        <v>2449757.908728228</v>
      </c>
      <c r="AD227" s="19">
        <f t="shared" si="67"/>
        <v>5.4106067924373025E-3</v>
      </c>
    </row>
    <row r="228" spans="1:30" x14ac:dyDescent="0.25">
      <c r="A228" s="8">
        <v>376</v>
      </c>
      <c r="B228" s="9">
        <v>44887</v>
      </c>
      <c r="C228" s="10">
        <v>2.208333333333333</v>
      </c>
      <c r="D228" s="11">
        <v>191159.74342904839</v>
      </c>
      <c r="E228" s="11">
        <v>2104.194917443006</v>
      </c>
      <c r="F228" s="11">
        <v>1.032490000000019E-4</v>
      </c>
      <c r="G228" s="11">
        <v>73737.569288461003</v>
      </c>
      <c r="H228" s="12">
        <v>7.3047920945119277E-2</v>
      </c>
      <c r="I228" s="13">
        <v>2414</v>
      </c>
      <c r="J228" s="13">
        <v>461309</v>
      </c>
      <c r="K228" s="12">
        <v>9.7207280270156668E-2</v>
      </c>
      <c r="L228" s="14">
        <v>11.687673611111091</v>
      </c>
      <c r="M228" s="15"/>
      <c r="N228" s="16">
        <f t="shared" si="51"/>
        <v>117422.17414058739</v>
      </c>
      <c r="O228" s="17">
        <f t="shared" si="52"/>
        <v>193263.93844974041</v>
      </c>
      <c r="P228" s="18">
        <f t="shared" si="53"/>
        <v>2258805.8333984292</v>
      </c>
      <c r="Q228" s="19">
        <f t="shared" si="54"/>
        <v>1.0887674826052539E-2</v>
      </c>
      <c r="R228" s="20">
        <f t="shared" si="55"/>
        <v>7.3047920945119277E-2</v>
      </c>
      <c r="S228" s="20">
        <f t="shared" si="56"/>
        <v>1.070011192805563E-3</v>
      </c>
      <c r="T228" s="20">
        <f t="shared" si="57"/>
        <v>5.2503494201114562E-11</v>
      </c>
      <c r="U228" s="20">
        <f t="shared" si="58"/>
        <v>9.8277291515465715E-2</v>
      </c>
      <c r="V228" s="21">
        <f t="shared" si="59"/>
        <v>325254447.17486775</v>
      </c>
      <c r="W228" s="21" t="str">
        <f t="shared" si="60"/>
        <v/>
      </c>
      <c r="X228" s="19" t="str">
        <f t="shared" si="61"/>
        <v/>
      </c>
      <c r="Y228" s="17">
        <f t="shared" si="62"/>
        <v>1052.097458721503</v>
      </c>
      <c r="Z228" s="17">
        <f t="shared" si="63"/>
        <v>190107.64597032688</v>
      </c>
      <c r="AA228" s="20">
        <f t="shared" si="64"/>
        <v>5.1703638417916746E-2</v>
      </c>
      <c r="AB228" s="17">
        <f t="shared" si="65"/>
        <v>190107.64597032688</v>
      </c>
      <c r="AC228" s="18">
        <f t="shared" si="66"/>
        <v>2221916.1170778391</v>
      </c>
      <c r="AD228" s="19">
        <f t="shared" si="67"/>
        <v>5.503760571388315E-3</v>
      </c>
    </row>
    <row r="229" spans="1:30" x14ac:dyDescent="0.25">
      <c r="A229" s="8">
        <v>377</v>
      </c>
      <c r="B229" s="9">
        <v>44889</v>
      </c>
      <c r="C229" s="10">
        <v>2.208333333333333</v>
      </c>
      <c r="D229" s="11">
        <v>191057.31109171241</v>
      </c>
      <c r="E229" s="11">
        <v>2066.1279215110071</v>
      </c>
      <c r="F229" s="11">
        <v>1.135700000000016E-4</v>
      </c>
      <c r="G229" s="11">
        <v>71337.850266898997</v>
      </c>
      <c r="H229" s="12">
        <v>7.2879789372864351E-2</v>
      </c>
      <c r="I229" s="13">
        <v>2416</v>
      </c>
      <c r="J229" s="13">
        <v>458345</v>
      </c>
      <c r="K229" s="12">
        <v>9.6716404834080574E-2</v>
      </c>
      <c r="L229" s="14">
        <v>14.386006944444439</v>
      </c>
      <c r="M229" s="15"/>
      <c r="N229" s="16">
        <f t="shared" si="51"/>
        <v>119719.46082481342</v>
      </c>
      <c r="O229" s="17">
        <f t="shared" si="52"/>
        <v>193123.43912679341</v>
      </c>
      <c r="P229" s="18">
        <f t="shared" si="53"/>
        <v>2778275.1364130429</v>
      </c>
      <c r="Q229" s="19">
        <f t="shared" si="54"/>
        <v>1.0698483471778431E-2</v>
      </c>
      <c r="R229" s="20">
        <f t="shared" si="55"/>
        <v>7.2879789372864351E-2</v>
      </c>
      <c r="S229" s="20">
        <f t="shared" si="56"/>
        <v>1.0459084939174782E-3</v>
      </c>
      <c r="T229" s="20">
        <f t="shared" si="57"/>
        <v>5.7491032582019557E-11</v>
      </c>
      <c r="U229" s="20">
        <f t="shared" si="58"/>
        <v>9.7762313385489075E-2</v>
      </c>
      <c r="V229" s="21">
        <f t="shared" si="59"/>
        <v>326730075.81076705</v>
      </c>
      <c r="W229" s="21" t="str">
        <f t="shared" si="60"/>
        <v/>
      </c>
      <c r="X229" s="19" t="str">
        <f t="shared" si="61"/>
        <v/>
      </c>
      <c r="Y229" s="17">
        <f t="shared" si="62"/>
        <v>1033.0639607555036</v>
      </c>
      <c r="Z229" s="17">
        <f t="shared" si="63"/>
        <v>190024.24713095691</v>
      </c>
      <c r="AA229" s="20">
        <f t="shared" si="64"/>
        <v>5.1657647550186522E-2</v>
      </c>
      <c r="AB229" s="17">
        <f t="shared" si="65"/>
        <v>190024.24713095691</v>
      </c>
      <c r="AC229" s="18">
        <f t="shared" si="66"/>
        <v>2733690.1388387722</v>
      </c>
      <c r="AD229" s="19">
        <f t="shared" si="67"/>
        <v>5.4070893955981952E-3</v>
      </c>
    </row>
    <row r="230" spans="1:30" x14ac:dyDescent="0.25">
      <c r="A230" s="8">
        <v>378</v>
      </c>
      <c r="B230" s="9">
        <v>44891</v>
      </c>
      <c r="C230" s="10">
        <v>2.166666666666667</v>
      </c>
      <c r="D230" s="11">
        <v>190954.8866967792</v>
      </c>
      <c r="E230" s="11">
        <v>2061.3930572830091</v>
      </c>
      <c r="F230" s="11">
        <v>1.0106179999999741E-2</v>
      </c>
      <c r="G230" s="11">
        <v>64114.236035269998</v>
      </c>
      <c r="H230" s="12">
        <v>7.2515303303338552E-2</v>
      </c>
      <c r="I230" s="13">
        <v>2427</v>
      </c>
      <c r="J230" s="13">
        <v>463609</v>
      </c>
      <c r="K230" s="12">
        <v>9.7656045776257236E-2</v>
      </c>
      <c r="L230" s="14">
        <v>14.39361111111106</v>
      </c>
      <c r="M230" s="15"/>
      <c r="N230" s="16">
        <f t="shared" si="51"/>
        <v>126840.65066150919</v>
      </c>
      <c r="O230" s="17">
        <f t="shared" si="52"/>
        <v>193016.28986024222</v>
      </c>
      <c r="P230" s="18">
        <f t="shared" si="53"/>
        <v>2778201.4143578154</v>
      </c>
      <c r="Q230" s="19">
        <f t="shared" si="54"/>
        <v>1.0679891623528807E-2</v>
      </c>
      <c r="R230" s="20">
        <f t="shared" si="55"/>
        <v>7.2515303303338552E-2</v>
      </c>
      <c r="S230" s="20">
        <f t="shared" si="56"/>
        <v>1.0542149417969507E-3</v>
      </c>
      <c r="T230" s="20">
        <f t="shared" si="57"/>
        <v>5.168391308415342E-9</v>
      </c>
      <c r="U230" s="20">
        <f t="shared" si="58"/>
        <v>9.8710265886445506E-2</v>
      </c>
      <c r="V230" s="21">
        <f t="shared" si="59"/>
        <v>329632302.74138224</v>
      </c>
      <c r="W230" s="21" t="str">
        <f t="shared" si="60"/>
        <v/>
      </c>
      <c r="X230" s="19" t="str">
        <f t="shared" si="61"/>
        <v/>
      </c>
      <c r="Y230" s="17">
        <f t="shared" si="62"/>
        <v>1030.6965286415045</v>
      </c>
      <c r="Z230" s="17">
        <f t="shared" si="63"/>
        <v>189924.19016813769</v>
      </c>
      <c r="AA230" s="20">
        <f t="shared" si="64"/>
        <v>5.1611697591761312E-2</v>
      </c>
      <c r="AB230" s="17">
        <f t="shared" si="65"/>
        <v>189924.19016813769</v>
      </c>
      <c r="AC230" s="18">
        <f t="shared" si="66"/>
        <v>2733694.9338728767</v>
      </c>
      <c r="AD230" s="19">
        <f t="shared" si="67"/>
        <v>5.3975917897202946E-3</v>
      </c>
    </row>
    <row r="231" spans="1:30" x14ac:dyDescent="0.25">
      <c r="A231" s="8">
        <v>379</v>
      </c>
      <c r="B231" s="9">
        <v>44893</v>
      </c>
      <c r="C231" s="10">
        <v>2.166666666666667</v>
      </c>
      <c r="D231" s="11">
        <v>190852.4584938144</v>
      </c>
      <c r="E231" s="11">
        <v>2053.7638938510072</v>
      </c>
      <c r="F231" s="11">
        <v>6.706839999999903E-4</v>
      </c>
      <c r="G231" s="11">
        <v>64859.625679899997</v>
      </c>
      <c r="H231" s="12">
        <v>7.2611134920714401E-2</v>
      </c>
      <c r="I231" s="13">
        <v>2424</v>
      </c>
      <c r="J231" s="13">
        <v>460849</v>
      </c>
      <c r="K231" s="12">
        <v>9.7040197402213438E-2</v>
      </c>
      <c r="L231" s="14">
        <v>13.38517361111111</v>
      </c>
      <c r="M231" s="15"/>
      <c r="N231" s="16">
        <f t="shared" si="51"/>
        <v>125992.8328139144</v>
      </c>
      <c r="O231" s="17">
        <f t="shared" si="52"/>
        <v>192906.22305834942</v>
      </c>
      <c r="P231" s="18">
        <f t="shared" si="53"/>
        <v>2582083.286299732</v>
      </c>
      <c r="Q231" s="19">
        <f t="shared" si="54"/>
        <v>1.0646436705309365E-2</v>
      </c>
      <c r="R231" s="20">
        <f t="shared" si="55"/>
        <v>7.2611134920714401E-2</v>
      </c>
      <c r="S231" s="20">
        <f t="shared" si="56"/>
        <v>1.0442498632172433E-3</v>
      </c>
      <c r="T231" s="20">
        <f t="shared" si="57"/>
        <v>3.4101372478057209E-10</v>
      </c>
      <c r="U231" s="20">
        <f t="shared" si="58"/>
        <v>9.8084447606444414E-2</v>
      </c>
      <c r="V231" s="21">
        <f t="shared" si="59"/>
        <v>331546318.69926041</v>
      </c>
      <c r="W231" s="21" t="str">
        <f t="shared" si="60"/>
        <v/>
      </c>
      <c r="X231" s="19" t="str">
        <f t="shared" si="61"/>
        <v/>
      </c>
      <c r="Y231" s="17">
        <f t="shared" si="62"/>
        <v>1026.8819469255036</v>
      </c>
      <c r="Z231" s="17">
        <f t="shared" si="63"/>
        <v>189825.57654688889</v>
      </c>
      <c r="AA231" s="20">
        <f t="shared" si="64"/>
        <v>5.1565788506251903E-2</v>
      </c>
      <c r="AB231" s="17">
        <f t="shared" si="65"/>
        <v>189825.57654688889</v>
      </c>
      <c r="AC231" s="18">
        <f t="shared" si="66"/>
        <v>2540848.2979093692</v>
      </c>
      <c r="AD231" s="19">
        <f t="shared" si="67"/>
        <v>5.3805015404545355E-3</v>
      </c>
    </row>
    <row r="232" spans="1:30" x14ac:dyDescent="0.25">
      <c r="A232" s="8">
        <v>380</v>
      </c>
      <c r="B232" s="9">
        <v>44895</v>
      </c>
      <c r="C232" s="10">
        <v>2.166666666666667</v>
      </c>
      <c r="D232" s="11">
        <v>190750.02739972359</v>
      </c>
      <c r="E232" s="11">
        <v>2045.184692304005</v>
      </c>
      <c r="F232" s="11">
        <v>1.2319949999999221E-2</v>
      </c>
      <c r="G232" s="11">
        <v>66989.455581490998</v>
      </c>
      <c r="H232" s="12">
        <v>7.2598384777726219E-2</v>
      </c>
      <c r="I232" s="13">
        <v>2426</v>
      </c>
      <c r="J232" s="13">
        <v>464763</v>
      </c>
      <c r="K232" s="12">
        <v>9.6867168734002737E-2</v>
      </c>
      <c r="L232" s="14">
        <v>13.66826388888887</v>
      </c>
      <c r="M232" s="15"/>
      <c r="N232" s="16">
        <f t="shared" si="51"/>
        <v>123760.57181823259</v>
      </c>
      <c r="O232" s="17">
        <f t="shared" si="52"/>
        <v>192795.2244119776</v>
      </c>
      <c r="P232" s="18">
        <f t="shared" si="53"/>
        <v>2635176.0037804595</v>
      </c>
      <c r="Q232" s="19">
        <f t="shared" si="54"/>
        <v>1.0608067178747741E-2</v>
      </c>
      <c r="R232" s="20">
        <f t="shared" si="55"/>
        <v>7.2598384777726219E-2</v>
      </c>
      <c r="S232" s="20">
        <f t="shared" si="56"/>
        <v>1.0385909421992492E-3</v>
      </c>
      <c r="T232" s="20">
        <f t="shared" si="57"/>
        <v>6.256348644939334E-9</v>
      </c>
      <c r="U232" s="20">
        <f t="shared" si="58"/>
        <v>9.790576593255064E-2</v>
      </c>
      <c r="V232" s="21">
        <f t="shared" si="59"/>
        <v>331960282.47903782</v>
      </c>
      <c r="W232" s="21" t="str">
        <f t="shared" si="60"/>
        <v/>
      </c>
      <c r="X232" s="19" t="str">
        <f t="shared" si="61"/>
        <v/>
      </c>
      <c r="Y232" s="17">
        <f t="shared" si="62"/>
        <v>1022.5923461520025</v>
      </c>
      <c r="Z232" s="17">
        <f t="shared" si="63"/>
        <v>189727.43505357159</v>
      </c>
      <c r="AA232" s="20">
        <f t="shared" si="64"/>
        <v>5.1519920257301476E-2</v>
      </c>
      <c r="AB232" s="17">
        <f t="shared" si="65"/>
        <v>189727.43505357159</v>
      </c>
      <c r="AC232" s="18">
        <f t="shared" si="66"/>
        <v>2593244.6492742407</v>
      </c>
      <c r="AD232" s="19">
        <f t="shared" si="67"/>
        <v>5.360902748439051E-3</v>
      </c>
    </row>
    <row r="233" spans="1:30" x14ac:dyDescent="0.25">
      <c r="A233" s="8">
        <v>381</v>
      </c>
      <c r="B233" s="9">
        <v>44898</v>
      </c>
      <c r="C233" s="10">
        <v>2.166666666666667</v>
      </c>
      <c r="D233" s="11">
        <v>190647.59430789581</v>
      </c>
      <c r="E233" s="11">
        <v>2033.113960387006</v>
      </c>
      <c r="F233" s="11">
        <v>8.4137889999973698E-3</v>
      </c>
      <c r="G233" s="11">
        <v>65947.866393942997</v>
      </c>
      <c r="H233" s="12">
        <v>7.2445966625379665E-2</v>
      </c>
      <c r="I233" s="13">
        <v>2431</v>
      </c>
      <c r="J233" s="13">
        <v>460079</v>
      </c>
      <c r="K233" s="12">
        <v>9.6765071010812748E-2</v>
      </c>
      <c r="L233" s="14">
        <v>13.55548611111114</v>
      </c>
      <c r="M233" s="15"/>
      <c r="N233" s="16">
        <f t="shared" si="51"/>
        <v>124699.72791395281</v>
      </c>
      <c r="O233" s="17">
        <f t="shared" si="52"/>
        <v>192680.71668207183</v>
      </c>
      <c r="P233" s="18">
        <f t="shared" si="53"/>
        <v>2611880.7788627651</v>
      </c>
      <c r="Q233" s="19">
        <f t="shared" si="54"/>
        <v>1.0551725130552098E-2</v>
      </c>
      <c r="R233" s="20">
        <f t="shared" si="55"/>
        <v>7.2445966625379665E-2</v>
      </c>
      <c r="S233" s="20">
        <f t="shared" si="56"/>
        <v>1.0319270875886184E-3</v>
      </c>
      <c r="T233" s="20">
        <f t="shared" si="57"/>
        <v>4.2705017758570355E-9</v>
      </c>
      <c r="U233" s="20">
        <f t="shared" si="58"/>
        <v>9.7797002368903138E-2</v>
      </c>
      <c r="V233" s="21">
        <f t="shared" si="59"/>
        <v>332132085.52134818</v>
      </c>
      <c r="W233" s="21" t="str">
        <f t="shared" si="60"/>
        <v/>
      </c>
      <c r="X233" s="19" t="str">
        <f t="shared" si="61"/>
        <v/>
      </c>
      <c r="Y233" s="17">
        <f t="shared" si="62"/>
        <v>1016.556980193503</v>
      </c>
      <c r="Z233" s="17">
        <f t="shared" si="63"/>
        <v>189631.0373277023</v>
      </c>
      <c r="AA233" s="20">
        <f t="shared" si="64"/>
        <v>5.1451194372972887E-2</v>
      </c>
      <c r="AB233" s="17">
        <f t="shared" si="65"/>
        <v>189631.0373277023</v>
      </c>
      <c r="AC233" s="18">
        <f t="shared" si="66"/>
        <v>2570540.8927312666</v>
      </c>
      <c r="AD233" s="19">
        <f t="shared" si="67"/>
        <v>5.3321259252386045E-3</v>
      </c>
    </row>
    <row r="234" spans="1:30" x14ac:dyDescent="0.25">
      <c r="A234" s="8">
        <v>382</v>
      </c>
      <c r="B234" s="9">
        <v>44900</v>
      </c>
      <c r="C234" s="10">
        <v>2.166666666666667</v>
      </c>
      <c r="D234" s="11">
        <v>190545.16038729739</v>
      </c>
      <c r="E234" s="11">
        <v>2079.861943970006</v>
      </c>
      <c r="F234" s="11">
        <v>6.3314099999998822E-4</v>
      </c>
      <c r="G234" s="11">
        <v>69939.207303495001</v>
      </c>
      <c r="H234" s="12">
        <v>7.2371095880307088E-2</v>
      </c>
      <c r="I234" s="13">
        <v>2436</v>
      </c>
      <c r="J234" s="13">
        <v>459947</v>
      </c>
      <c r="K234" s="12">
        <v>9.6676625686389323E-2</v>
      </c>
      <c r="L234" s="14">
        <v>13.92152777777779</v>
      </c>
      <c r="M234" s="15"/>
      <c r="N234" s="16">
        <f t="shared" si="51"/>
        <v>120605.95308380239</v>
      </c>
      <c r="O234" s="17">
        <f t="shared" si="52"/>
        <v>192625.02296440839</v>
      </c>
      <c r="P234" s="18">
        <f t="shared" si="53"/>
        <v>2681634.6078940961</v>
      </c>
      <c r="Q234" s="19">
        <f t="shared" si="54"/>
        <v>1.0797465002012252E-2</v>
      </c>
      <c r="R234" s="20">
        <f t="shared" si="55"/>
        <v>7.2371095880307088E-2</v>
      </c>
      <c r="S234" s="20">
        <f t="shared" si="56"/>
        <v>1.0552565818405264E-3</v>
      </c>
      <c r="T234" s="20">
        <f t="shared" si="57"/>
        <v>3.212358442444367E-10</v>
      </c>
      <c r="U234" s="20">
        <f t="shared" si="58"/>
        <v>9.7731882589465691E-2</v>
      </c>
      <c r="V234" s="21">
        <f t="shared" si="59"/>
        <v>332257322.97989845</v>
      </c>
      <c r="W234" s="21" t="str">
        <f t="shared" si="60"/>
        <v/>
      </c>
      <c r="X234" s="19" t="str">
        <f t="shared" si="61"/>
        <v/>
      </c>
      <c r="Y234" s="17">
        <f t="shared" si="62"/>
        <v>1039.930971985003</v>
      </c>
      <c r="Z234" s="17">
        <f t="shared" si="63"/>
        <v>189505.22941531238</v>
      </c>
      <c r="AA234" s="20">
        <f t="shared" si="64"/>
        <v>5.1405428056570869E-2</v>
      </c>
      <c r="AB234" s="17">
        <f t="shared" si="65"/>
        <v>189505.22941531238</v>
      </c>
      <c r="AC234" s="18">
        <f t="shared" si="66"/>
        <v>2638202.3153394242</v>
      </c>
      <c r="AD234" s="19">
        <f t="shared" si="67"/>
        <v>5.457661427197967E-3</v>
      </c>
    </row>
    <row r="235" spans="1:30" x14ac:dyDescent="0.25">
      <c r="A235" s="8">
        <v>383</v>
      </c>
      <c r="B235" s="9">
        <v>44902</v>
      </c>
      <c r="C235" s="10">
        <v>2.166666666666667</v>
      </c>
      <c r="D235" s="11">
        <v>190442.7047315427</v>
      </c>
      <c r="E235" s="11">
        <v>2082.652030433007</v>
      </c>
      <c r="F235" s="11">
        <v>1.07875219999956E-2</v>
      </c>
      <c r="G235" s="11">
        <v>68222.272026581995</v>
      </c>
      <c r="H235" s="12">
        <v>7.2448549028963444E-2</v>
      </c>
      <c r="I235" s="13">
        <v>2423</v>
      </c>
      <c r="J235" s="13">
        <v>457957</v>
      </c>
      <c r="K235" s="12">
        <v>9.7285095415909226E-2</v>
      </c>
      <c r="L235" s="14">
        <v>13.774861111111109</v>
      </c>
      <c r="M235" s="15"/>
      <c r="N235" s="16">
        <f t="shared" si="51"/>
        <v>122220.43270496071</v>
      </c>
      <c r="O235" s="17">
        <f t="shared" si="52"/>
        <v>192525.36754949772</v>
      </c>
      <c r="P235" s="18">
        <f t="shared" si="53"/>
        <v>2652010.198359949</v>
      </c>
      <c r="Q235" s="19">
        <f t="shared" si="54"/>
        <v>1.0817546056093429E-2</v>
      </c>
      <c r="R235" s="20">
        <f t="shared" si="55"/>
        <v>7.2448549028963444E-2</v>
      </c>
      <c r="S235" s="20">
        <f t="shared" si="56"/>
        <v>1.063894790742562E-3</v>
      </c>
      <c r="T235" s="20">
        <f t="shared" si="57"/>
        <v>5.5106605871312781E-9</v>
      </c>
      <c r="U235" s="20">
        <f t="shared" si="58"/>
        <v>9.8348995717312371E-2</v>
      </c>
      <c r="V235" s="21">
        <f t="shared" si="59"/>
        <v>330001682.67132497</v>
      </c>
      <c r="W235" s="21" t="str">
        <f t="shared" si="60"/>
        <v/>
      </c>
      <c r="X235" s="19" t="str">
        <f t="shared" si="61"/>
        <v/>
      </c>
      <c r="Y235" s="17">
        <f t="shared" si="62"/>
        <v>1041.3260152165035</v>
      </c>
      <c r="Z235" s="17">
        <f t="shared" si="63"/>
        <v>189401.3787163262</v>
      </c>
      <c r="AA235" s="20">
        <f t="shared" si="64"/>
        <v>5.1359702449733383E-2</v>
      </c>
      <c r="AB235" s="17">
        <f t="shared" si="65"/>
        <v>189401.3787163262</v>
      </c>
      <c r="AC235" s="18">
        <f t="shared" si="66"/>
        <v>2608977.6860703491</v>
      </c>
      <c r="AD235" s="19">
        <f t="shared" si="67"/>
        <v>5.4679228415937869E-3</v>
      </c>
    </row>
    <row r="236" spans="1:30" x14ac:dyDescent="0.25">
      <c r="A236" s="8">
        <v>384</v>
      </c>
      <c r="B236" s="9">
        <v>44904</v>
      </c>
      <c r="C236" s="10">
        <v>2.166666666666667</v>
      </c>
      <c r="D236" s="11">
        <v>190340.24323316771</v>
      </c>
      <c r="E236" s="11">
        <v>2081.9752138900062</v>
      </c>
      <c r="F236" s="11">
        <v>4.8298000000000768E-4</v>
      </c>
      <c r="G236" s="11">
        <v>70272.288345786001</v>
      </c>
      <c r="H236" s="12">
        <v>7.2127369215776158E-2</v>
      </c>
      <c r="I236" s="13">
        <v>2435</v>
      </c>
      <c r="J236" s="13">
        <v>462444</v>
      </c>
      <c r="K236" s="12">
        <v>9.6551596878032692E-2</v>
      </c>
      <c r="L236" s="14">
        <v>13.72670138888888</v>
      </c>
      <c r="M236" s="15"/>
      <c r="N236" s="16">
        <f t="shared" si="51"/>
        <v>120067.95488738171</v>
      </c>
      <c r="O236" s="17">
        <f t="shared" si="52"/>
        <v>192422.21893003769</v>
      </c>
      <c r="P236" s="18">
        <f t="shared" si="53"/>
        <v>2641322.3398400284</v>
      </c>
      <c r="Q236" s="19">
        <f t="shared" si="54"/>
        <v>1.0819827489085271E-2</v>
      </c>
      <c r="R236" s="20">
        <f t="shared" si="55"/>
        <v>7.2127369215776158E-2</v>
      </c>
      <c r="S236" s="20">
        <f t="shared" si="56"/>
        <v>1.0560984274634751E-3</v>
      </c>
      <c r="T236" s="20">
        <f t="shared" si="57"/>
        <v>2.449954327473878E-10</v>
      </c>
      <c r="U236" s="20">
        <f t="shared" si="58"/>
        <v>9.7607695550491591E-2</v>
      </c>
      <c r="V236" s="21">
        <f t="shared" si="59"/>
        <v>332329796.497244</v>
      </c>
      <c r="W236" s="21" t="str">
        <f t="shared" si="60"/>
        <v/>
      </c>
      <c r="X236" s="19" t="str">
        <f t="shared" si="61"/>
        <v/>
      </c>
      <c r="Y236" s="17">
        <f t="shared" si="62"/>
        <v>1040.9876069450031</v>
      </c>
      <c r="Z236" s="17">
        <f t="shared" si="63"/>
        <v>189299.2556262227</v>
      </c>
      <c r="AA236" s="20">
        <f t="shared" si="64"/>
        <v>5.1314017516248873E-2</v>
      </c>
      <c r="AB236" s="17">
        <f t="shared" si="65"/>
        <v>189299.2556262227</v>
      </c>
      <c r="AC236" s="18">
        <f t="shared" si="66"/>
        <v>2598454.3551201024</v>
      </c>
      <c r="AD236" s="19">
        <f t="shared" si="67"/>
        <v>5.4690883507477099E-3</v>
      </c>
    </row>
    <row r="237" spans="1:30" x14ac:dyDescent="0.25">
      <c r="A237" s="8">
        <v>385</v>
      </c>
      <c r="B237" s="9">
        <v>44906</v>
      </c>
      <c r="C237" s="10">
        <v>2.166666666666667</v>
      </c>
      <c r="D237" s="11">
        <v>190237.7771303567</v>
      </c>
      <c r="E237" s="11">
        <v>2088.9495415720062</v>
      </c>
      <c r="F237" s="11">
        <v>7.2294000000000047E-4</v>
      </c>
      <c r="G237" s="11">
        <v>69662.968254114006</v>
      </c>
      <c r="H237" s="12">
        <v>7.1900582087498666E-2</v>
      </c>
      <c r="I237" s="13">
        <v>2440</v>
      </c>
      <c r="J237" s="13">
        <v>461219</v>
      </c>
      <c r="K237" s="12">
        <v>9.637754348203266E-2</v>
      </c>
      <c r="L237" s="14">
        <v>13.65548611111107</v>
      </c>
      <c r="M237" s="15"/>
      <c r="N237" s="16">
        <f t="shared" si="51"/>
        <v>120574.80887624269</v>
      </c>
      <c r="O237" s="17">
        <f t="shared" si="52"/>
        <v>192326.72739486871</v>
      </c>
      <c r="P237" s="18">
        <f t="shared" si="53"/>
        <v>2626314.9547360744</v>
      </c>
      <c r="Q237" s="19">
        <f t="shared" si="54"/>
        <v>1.0861462521967393E-2</v>
      </c>
      <c r="R237" s="20">
        <f t="shared" si="55"/>
        <v>7.1900582087498666E-2</v>
      </c>
      <c r="S237" s="20">
        <f t="shared" si="56"/>
        <v>1.0582957197648093E-3</v>
      </c>
      <c r="T237" s="20">
        <f t="shared" si="57"/>
        <v>3.6625312982477284E-10</v>
      </c>
      <c r="U237" s="20">
        <f t="shared" si="58"/>
        <v>9.7435839568050589E-2</v>
      </c>
      <c r="V237" s="21">
        <f t="shared" si="59"/>
        <v>332750742.16440904</v>
      </c>
      <c r="W237" s="21" t="str">
        <f t="shared" si="60"/>
        <v/>
      </c>
      <c r="X237" s="19" t="str">
        <f t="shared" si="61"/>
        <v/>
      </c>
      <c r="Y237" s="17">
        <f t="shared" si="62"/>
        <v>1044.4747707860031</v>
      </c>
      <c r="Z237" s="17">
        <f t="shared" si="63"/>
        <v>189193.30235957069</v>
      </c>
      <c r="AA237" s="20">
        <f t="shared" si="64"/>
        <v>5.1268373219938018E-2</v>
      </c>
      <c r="AB237" s="17">
        <f t="shared" si="65"/>
        <v>189193.30235957069</v>
      </c>
      <c r="AC237" s="18">
        <f t="shared" si="66"/>
        <v>2583526.512686355</v>
      </c>
      <c r="AD237" s="19">
        <f t="shared" si="67"/>
        <v>5.4903646717355051E-3</v>
      </c>
    </row>
    <row r="238" spans="1:30" x14ac:dyDescent="0.25">
      <c r="A238" s="8">
        <v>386</v>
      </c>
      <c r="B238" s="9">
        <v>44909</v>
      </c>
      <c r="C238" s="10">
        <v>2.208333333333333</v>
      </c>
      <c r="D238" s="11">
        <v>190135.30390284461</v>
      </c>
      <c r="E238" s="11">
        <v>2085.482706928005</v>
      </c>
      <c r="F238" s="11">
        <v>6.8176900000000069E-4</v>
      </c>
      <c r="G238" s="11">
        <v>69893.136740959002</v>
      </c>
      <c r="H238" s="12">
        <v>7.195399583458556E-2</v>
      </c>
      <c r="I238" s="13">
        <v>2445</v>
      </c>
      <c r="J238" s="13">
        <v>464277</v>
      </c>
      <c r="K238" s="12">
        <v>9.4392337674829851E-2</v>
      </c>
      <c r="L238" s="14">
        <v>14.144652777777759</v>
      </c>
      <c r="M238" s="15"/>
      <c r="N238" s="16">
        <f t="shared" si="51"/>
        <v>120242.16716188561</v>
      </c>
      <c r="O238" s="17">
        <f t="shared" si="52"/>
        <v>192220.78729154161</v>
      </c>
      <c r="P238" s="18">
        <f t="shared" si="53"/>
        <v>2718896.2929099319</v>
      </c>
      <c r="Q238" s="19">
        <f t="shared" si="54"/>
        <v>1.0849412991764255E-2</v>
      </c>
      <c r="R238" s="20">
        <f t="shared" si="55"/>
        <v>7.195399583458556E-2</v>
      </c>
      <c r="S238" s="20">
        <f t="shared" si="56"/>
        <v>1.0353342269774097E-3</v>
      </c>
      <c r="T238" s="20">
        <f t="shared" si="57"/>
        <v>3.3846302261212176E-10</v>
      </c>
      <c r="U238" s="20">
        <f t="shared" si="58"/>
        <v>9.5427672240270281E-2</v>
      </c>
      <c r="V238" s="21">
        <f t="shared" si="59"/>
        <v>333159052.40265411</v>
      </c>
      <c r="W238" s="21" t="str">
        <f t="shared" si="60"/>
        <v/>
      </c>
      <c r="X238" s="19" t="str">
        <f t="shared" si="61"/>
        <v/>
      </c>
      <c r="Y238" s="17">
        <f t="shared" si="62"/>
        <v>1042.7413534640025</v>
      </c>
      <c r="Z238" s="17">
        <f t="shared" si="63"/>
        <v>189092.56254938061</v>
      </c>
      <c r="AA238" s="20">
        <f t="shared" si="64"/>
        <v>5.1199982891109254E-2</v>
      </c>
      <c r="AB238" s="17">
        <f t="shared" si="65"/>
        <v>189092.56254938061</v>
      </c>
      <c r="AC238" s="18">
        <f t="shared" si="66"/>
        <v>2674648.6401212113</v>
      </c>
      <c r="AD238" s="19">
        <f t="shared" si="67"/>
        <v>5.484206941372775E-3</v>
      </c>
    </row>
    <row r="239" spans="1:30" x14ac:dyDescent="0.25">
      <c r="A239" s="8">
        <v>387</v>
      </c>
      <c r="B239" s="9">
        <v>44911</v>
      </c>
      <c r="C239" s="10">
        <v>2.208333333333333</v>
      </c>
      <c r="D239" s="11">
        <v>190032.82734807109</v>
      </c>
      <c r="E239" s="11">
        <v>2130.584734355004</v>
      </c>
      <c r="F239" s="11">
        <v>2.5041599999999712E-4</v>
      </c>
      <c r="G239" s="11">
        <v>70024.496215863997</v>
      </c>
      <c r="H239" s="12">
        <v>7.1881695207040491E-2</v>
      </c>
      <c r="I239" s="13">
        <v>2454</v>
      </c>
      <c r="J239" s="13">
        <v>460186</v>
      </c>
      <c r="K239" s="12">
        <v>9.431883668078038E-2</v>
      </c>
      <c r="L239" s="14">
        <v>13.458159722222209</v>
      </c>
      <c r="M239" s="15"/>
      <c r="N239" s="16">
        <f t="shared" si="51"/>
        <v>120008.33113220709</v>
      </c>
      <c r="O239" s="17">
        <f t="shared" si="52"/>
        <v>192163.4123328421</v>
      </c>
      <c r="P239" s="18">
        <f t="shared" si="53"/>
        <v>2586165.895942634</v>
      </c>
      <c r="Q239" s="19">
        <f t="shared" si="54"/>
        <v>1.1087358974791019E-2</v>
      </c>
      <c r="R239" s="20">
        <f t="shared" si="55"/>
        <v>7.1881695207040491E-2</v>
      </c>
      <c r="S239" s="20">
        <f t="shared" si="56"/>
        <v>1.0574713663872308E-3</v>
      </c>
      <c r="T239" s="20">
        <f t="shared" si="57"/>
        <v>1.2428876702967062E-10</v>
      </c>
      <c r="U239" s="20">
        <f t="shared" si="58"/>
        <v>9.5376308171456384E-2</v>
      </c>
      <c r="V239" s="21">
        <f t="shared" si="59"/>
        <v>333238975.84465045</v>
      </c>
      <c r="W239" s="21" t="str">
        <f t="shared" si="60"/>
        <v/>
      </c>
      <c r="X239" s="19" t="str">
        <f t="shared" si="61"/>
        <v/>
      </c>
      <c r="Y239" s="17">
        <f t="shared" si="62"/>
        <v>1065.292367177502</v>
      </c>
      <c r="Z239" s="17">
        <f t="shared" si="63"/>
        <v>188967.5349808936</v>
      </c>
      <c r="AA239" s="20">
        <f t="shared" si="64"/>
        <v>5.1154440029659125E-2</v>
      </c>
      <c r="AB239" s="17">
        <f t="shared" si="65"/>
        <v>188967.5349808936</v>
      </c>
      <c r="AC239" s="18">
        <f t="shared" si="66"/>
        <v>2543155.2680874788</v>
      </c>
      <c r="AD239" s="19">
        <f t="shared" si="67"/>
        <v>5.6058333817571079E-3</v>
      </c>
    </row>
    <row r="240" spans="1:30" x14ac:dyDescent="0.25">
      <c r="A240" s="8">
        <v>388</v>
      </c>
      <c r="B240" s="9">
        <v>44913</v>
      </c>
      <c r="C240" s="10">
        <v>2.208333333333333</v>
      </c>
      <c r="D240" s="11">
        <v>189930.33044292021</v>
      </c>
      <c r="E240" s="11">
        <v>2128.484358316005</v>
      </c>
      <c r="F240" s="11">
        <v>2.6090099999999882E-4</v>
      </c>
      <c r="G240" s="11">
        <v>67497.849903975002</v>
      </c>
      <c r="H240" s="12">
        <v>7.1725527176359535E-2</v>
      </c>
      <c r="I240" s="13">
        <v>2464</v>
      </c>
      <c r="J240" s="13">
        <v>463644</v>
      </c>
      <c r="K240" s="12">
        <v>9.4081190143794388E-2</v>
      </c>
      <c r="L240" s="14">
        <v>12.436944444444441</v>
      </c>
      <c r="M240" s="15"/>
      <c r="N240" s="16">
        <f t="shared" si="51"/>
        <v>122432.48053894521</v>
      </c>
      <c r="O240" s="17">
        <f t="shared" si="52"/>
        <v>192058.8150621372</v>
      </c>
      <c r="P240" s="18">
        <f t="shared" si="53"/>
        <v>2388624.8129936294</v>
      </c>
      <c r="Q240" s="19">
        <f t="shared" si="54"/>
        <v>1.1082461159761773E-2</v>
      </c>
      <c r="R240" s="20">
        <f t="shared" si="55"/>
        <v>7.1725527176359535E-2</v>
      </c>
      <c r="S240" s="20">
        <f t="shared" si="56"/>
        <v>1.0543357723110029E-3</v>
      </c>
      <c r="T240" s="20">
        <f t="shared" si="57"/>
        <v>1.2923621273371483E-10</v>
      </c>
      <c r="U240" s="20">
        <f t="shared" si="58"/>
        <v>9.5135526045341604E-2</v>
      </c>
      <c r="V240" s="21">
        <f t="shared" si="59"/>
        <v>333900537.28080922</v>
      </c>
      <c r="W240" s="21" t="str">
        <f t="shared" si="60"/>
        <v/>
      </c>
      <c r="X240" s="19" t="str">
        <f t="shared" si="61"/>
        <v/>
      </c>
      <c r="Y240" s="17">
        <f t="shared" si="62"/>
        <v>1064.2421791580025</v>
      </c>
      <c r="Z240" s="17">
        <f t="shared" si="63"/>
        <v>188866.08826376221</v>
      </c>
      <c r="AA240" s="20">
        <f t="shared" si="64"/>
        <v>5.1108937679008246E-2</v>
      </c>
      <c r="AB240" s="17">
        <f t="shared" si="65"/>
        <v>188866.08826376221</v>
      </c>
      <c r="AC240" s="18">
        <f t="shared" si="66"/>
        <v>2348917.0471759508</v>
      </c>
      <c r="AD240" s="19">
        <f t="shared" si="67"/>
        <v>5.6033292664535187E-3</v>
      </c>
    </row>
    <row r="241" spans="1:30" x14ac:dyDescent="0.25">
      <c r="A241" s="8">
        <v>389</v>
      </c>
      <c r="B241" s="9">
        <v>44915</v>
      </c>
      <c r="C241" s="10">
        <v>2.208333333333333</v>
      </c>
      <c r="D241" s="11">
        <v>189827.8299471552</v>
      </c>
      <c r="E241" s="11">
        <v>2113.3499966220052</v>
      </c>
      <c r="F241" s="11">
        <v>1.6902499999999981E-4</v>
      </c>
      <c r="G241" s="11">
        <v>67257.644576348001</v>
      </c>
      <c r="H241" s="12">
        <v>7.1683057171561163E-2</v>
      </c>
      <c r="I241" s="13">
        <v>2468</v>
      </c>
      <c r="J241" s="13">
        <v>462301</v>
      </c>
      <c r="K241" s="12">
        <v>9.3953924217119317E-2</v>
      </c>
      <c r="L241" s="14">
        <v>12.28395833333334</v>
      </c>
      <c r="M241" s="15"/>
      <c r="N241" s="16">
        <f t="shared" si="51"/>
        <v>122570.1853708072</v>
      </c>
      <c r="O241" s="17">
        <f t="shared" si="52"/>
        <v>191941.18011280222</v>
      </c>
      <c r="P241" s="18">
        <f t="shared" si="53"/>
        <v>2357797.4589564921</v>
      </c>
      <c r="Q241" s="19">
        <f t="shared" si="54"/>
        <v>1.1010404309174337E-2</v>
      </c>
      <c r="R241" s="20">
        <f t="shared" si="55"/>
        <v>7.1683057171561163E-2</v>
      </c>
      <c r="S241" s="20">
        <f t="shared" si="56"/>
        <v>1.0459874375751345E-3</v>
      </c>
      <c r="T241" s="20">
        <f t="shared" si="57"/>
        <v>8.3657712597881206E-11</v>
      </c>
      <c r="U241" s="20">
        <f t="shared" si="58"/>
        <v>9.4999911738352164E-2</v>
      </c>
      <c r="V241" s="21">
        <f t="shared" si="59"/>
        <v>334172382.93602759</v>
      </c>
      <c r="W241" s="21" t="str">
        <f t="shared" si="60"/>
        <v/>
      </c>
      <c r="X241" s="19" t="str">
        <f t="shared" si="61"/>
        <v/>
      </c>
      <c r="Y241" s="17">
        <f t="shared" si="62"/>
        <v>1056.6749983110026</v>
      </c>
      <c r="Z241" s="17">
        <f t="shared" si="63"/>
        <v>188771.1549488442</v>
      </c>
      <c r="AA241" s="20">
        <f t="shared" si="64"/>
        <v>5.1063475803121899E-2</v>
      </c>
      <c r="AB241" s="17">
        <f t="shared" si="65"/>
        <v>188771.1549488442</v>
      </c>
      <c r="AC241" s="18">
        <f t="shared" si="66"/>
        <v>2318857.0019268137</v>
      </c>
      <c r="AD241" s="19">
        <f t="shared" si="67"/>
        <v>5.5664914812815526E-3</v>
      </c>
    </row>
    <row r="242" spans="1:30" x14ac:dyDescent="0.25">
      <c r="A242" s="8">
        <v>390</v>
      </c>
      <c r="B242" s="9">
        <v>44918</v>
      </c>
      <c r="C242" s="10">
        <v>2.208333333333333</v>
      </c>
      <c r="D242" s="11">
        <v>189725.33068484359</v>
      </c>
      <c r="E242" s="11">
        <v>2125.886861850006</v>
      </c>
      <c r="F242" s="11">
        <v>1.7667599999999779E-4</v>
      </c>
      <c r="G242" s="11">
        <v>67741.534797922999</v>
      </c>
      <c r="H242" s="12">
        <v>7.2012792941203219E-2</v>
      </c>
      <c r="I242" s="13">
        <v>2474</v>
      </c>
      <c r="J242" s="13">
        <v>466671</v>
      </c>
      <c r="K242" s="12">
        <v>9.0335307985194763E-2</v>
      </c>
      <c r="L242" s="14">
        <v>11.88739583333334</v>
      </c>
      <c r="M242" s="15"/>
      <c r="N242" s="16">
        <f t="shared" si="51"/>
        <v>121983.79588692059</v>
      </c>
      <c r="O242" s="17">
        <f t="shared" si="52"/>
        <v>191851.2177233696</v>
      </c>
      <c r="P242" s="18">
        <f t="shared" si="53"/>
        <v>2280611.366184711</v>
      </c>
      <c r="Q242" s="19">
        <f t="shared" si="54"/>
        <v>1.1080914091018822E-2</v>
      </c>
      <c r="R242" s="20">
        <f t="shared" si="55"/>
        <v>7.2012792941203219E-2</v>
      </c>
      <c r="S242" s="20">
        <f t="shared" si="56"/>
        <v>1.0122140449759197E-3</v>
      </c>
      <c r="T242" s="20">
        <f t="shared" si="57"/>
        <v>8.4122034817288942E-11</v>
      </c>
      <c r="U242" s="20">
        <f t="shared" si="58"/>
        <v>9.1347522114292715E-2</v>
      </c>
      <c r="V242" s="21">
        <f t="shared" si="59"/>
        <v>347370861.41082233</v>
      </c>
      <c r="W242" s="21" t="str">
        <f t="shared" si="60"/>
        <v/>
      </c>
      <c r="X242" s="19" t="str">
        <f t="shared" si="61"/>
        <v/>
      </c>
      <c r="Y242" s="17">
        <f t="shared" si="62"/>
        <v>1062.943430925003</v>
      </c>
      <c r="Z242" s="17">
        <f t="shared" si="63"/>
        <v>188662.3872539186</v>
      </c>
      <c r="AA242" s="20">
        <f t="shared" si="64"/>
        <v>5.0995358800728766E-2</v>
      </c>
      <c r="AB242" s="17">
        <f t="shared" si="65"/>
        <v>188662.3872539186</v>
      </c>
      <c r="AC242" s="18">
        <f t="shared" si="66"/>
        <v>2242704.4761489527</v>
      </c>
      <c r="AD242" s="19">
        <f t="shared" si="67"/>
        <v>5.602538296220861E-3</v>
      </c>
    </row>
    <row r="243" spans="1:30" x14ac:dyDescent="0.25">
      <c r="A243" s="8">
        <v>391</v>
      </c>
      <c r="B243" s="9">
        <v>44920</v>
      </c>
      <c r="C243" s="10">
        <v>2.25</v>
      </c>
      <c r="D243" s="11">
        <v>189622.82289434769</v>
      </c>
      <c r="E243" s="11">
        <v>2127.7038590690058</v>
      </c>
      <c r="F243" s="11">
        <v>2.6213600000000049E-4</v>
      </c>
      <c r="G243" s="11">
        <v>71302.512956701001</v>
      </c>
      <c r="H243" s="12">
        <v>7.1968032617298325E-2</v>
      </c>
      <c r="I243" s="13">
        <v>2489</v>
      </c>
      <c r="J243" s="13">
        <v>462492</v>
      </c>
      <c r="K243" s="12">
        <v>8.8551653563188684E-2</v>
      </c>
      <c r="L243" s="14">
        <v>11.423090277777749</v>
      </c>
      <c r="M243" s="15"/>
      <c r="N243" s="16">
        <f t="shared" si="51"/>
        <v>118320.30993764669</v>
      </c>
      <c r="O243" s="17">
        <f t="shared" si="52"/>
        <v>191750.52701555268</v>
      </c>
      <c r="P243" s="18">
        <f t="shared" si="53"/>
        <v>2190383.5809101197</v>
      </c>
      <c r="Q243" s="19">
        <f t="shared" si="54"/>
        <v>1.1096208663334887E-2</v>
      </c>
      <c r="R243" s="20">
        <f t="shared" si="55"/>
        <v>7.1968032617298325E-2</v>
      </c>
      <c r="S243" s="20">
        <f t="shared" si="56"/>
        <v>9.9361296355299873E-4</v>
      </c>
      <c r="T243" s="20">
        <f t="shared" si="57"/>
        <v>1.224144641669713E-10</v>
      </c>
      <c r="U243" s="20">
        <f t="shared" si="58"/>
        <v>8.9545266649156144E-2</v>
      </c>
      <c r="V243" s="21">
        <f t="shared" si="59"/>
        <v>347617505.46589494</v>
      </c>
      <c r="W243" s="21" t="str">
        <f t="shared" si="60"/>
        <v/>
      </c>
      <c r="X243" s="19" t="str">
        <f t="shared" si="61"/>
        <v/>
      </c>
      <c r="Y243" s="17">
        <f t="shared" si="62"/>
        <v>1063.8519295345029</v>
      </c>
      <c r="Z243" s="17">
        <f t="shared" si="63"/>
        <v>188558.9709648132</v>
      </c>
      <c r="AA243" s="20">
        <f t="shared" si="64"/>
        <v>5.0949997954312057E-2</v>
      </c>
      <c r="AB243" s="17">
        <f t="shared" si="65"/>
        <v>188558.9709648132</v>
      </c>
      <c r="AC243" s="18">
        <f t="shared" si="66"/>
        <v>2153926.1480159345</v>
      </c>
      <c r="AD243" s="19">
        <f t="shared" si="67"/>
        <v>5.6103580428567409E-3</v>
      </c>
    </row>
    <row r="244" spans="1:30" x14ac:dyDescent="0.25">
      <c r="A244" s="8">
        <v>392</v>
      </c>
      <c r="B244" s="9">
        <v>44922</v>
      </c>
      <c r="C244" s="10">
        <v>2.25</v>
      </c>
      <c r="D244" s="11">
        <v>189520.3105838208</v>
      </c>
      <c r="E244" s="11">
        <v>2202.109417734006</v>
      </c>
      <c r="F244" s="11">
        <v>1.7335999999999741E-4</v>
      </c>
      <c r="G244" s="11">
        <v>71412.734086651006</v>
      </c>
      <c r="H244" s="12">
        <v>7.1816616095676883E-2</v>
      </c>
      <c r="I244" s="13">
        <v>2509</v>
      </c>
      <c r="J244" s="13">
        <v>463405</v>
      </c>
      <c r="K244" s="12">
        <v>8.8566556353412845E-2</v>
      </c>
      <c r="L244" s="14">
        <v>11.11350694444444</v>
      </c>
      <c r="M244" s="15"/>
      <c r="N244" s="16">
        <f t="shared" si="51"/>
        <v>118107.57649716979</v>
      </c>
      <c r="O244" s="17">
        <f t="shared" si="52"/>
        <v>191722.42017491479</v>
      </c>
      <c r="P244" s="18">
        <f t="shared" si="53"/>
        <v>2130708.4480196103</v>
      </c>
      <c r="Q244" s="19">
        <f t="shared" si="54"/>
        <v>1.1485925410940191E-2</v>
      </c>
      <c r="R244" s="20">
        <f t="shared" si="55"/>
        <v>7.1816616095676883E-2</v>
      </c>
      <c r="S244" s="20">
        <f t="shared" si="56"/>
        <v>1.0290888994499664E-3</v>
      </c>
      <c r="T244" s="20">
        <f t="shared" si="57"/>
        <v>8.1014526422679744E-11</v>
      </c>
      <c r="U244" s="20">
        <f t="shared" si="58"/>
        <v>8.9595645333877344E-2</v>
      </c>
      <c r="V244" s="21">
        <f t="shared" si="59"/>
        <v>347371118.60457611</v>
      </c>
      <c r="W244" s="21" t="str">
        <f t="shared" si="60"/>
        <v/>
      </c>
      <c r="X244" s="19" t="str">
        <f t="shared" si="61"/>
        <v/>
      </c>
      <c r="Y244" s="17">
        <f t="shared" si="62"/>
        <v>1101.054708867003</v>
      </c>
      <c r="Z244" s="17">
        <f t="shared" si="63"/>
        <v>188419.25587495379</v>
      </c>
      <c r="AA244" s="20">
        <f t="shared" si="64"/>
        <v>5.0904677456790552E-2</v>
      </c>
      <c r="AB244" s="17">
        <f t="shared" si="65"/>
        <v>188419.25587495379</v>
      </c>
      <c r="AC244" s="18">
        <f t="shared" si="66"/>
        <v>2093998.7086333528</v>
      </c>
      <c r="AD244" s="19">
        <f t="shared" si="67"/>
        <v>5.8096924043401143E-3</v>
      </c>
    </row>
    <row r="245" spans="1:30" x14ac:dyDescent="0.25">
      <c r="A245" s="8">
        <v>393</v>
      </c>
      <c r="B245" s="9">
        <v>44924</v>
      </c>
      <c r="C245" s="10">
        <v>2.291666666666667</v>
      </c>
      <c r="D245" s="11">
        <v>189417.76819775879</v>
      </c>
      <c r="E245" s="11">
        <v>2205.4651084130028</v>
      </c>
      <c r="F245" s="11">
        <v>1.026100000000026E-4</v>
      </c>
      <c r="G245" s="11">
        <v>74128.694218100994</v>
      </c>
      <c r="H245" s="12">
        <v>7.1815449923012753E-2</v>
      </c>
      <c r="I245" s="13">
        <v>2537</v>
      </c>
      <c r="J245" s="13">
        <v>458493</v>
      </c>
      <c r="K245" s="12">
        <v>8.7229333139928839E-2</v>
      </c>
      <c r="L245" s="14">
        <v>9.3816666666666606</v>
      </c>
      <c r="M245" s="15"/>
      <c r="N245" s="16">
        <f t="shared" si="51"/>
        <v>115289.0739796578</v>
      </c>
      <c r="O245" s="17">
        <f t="shared" si="52"/>
        <v>191623.23340878182</v>
      </c>
      <c r="P245" s="18">
        <f t="shared" si="53"/>
        <v>1797745.3014300535</v>
      </c>
      <c r="Q245" s="19">
        <f t="shared" si="54"/>
        <v>1.1509382600324755E-2</v>
      </c>
      <c r="R245" s="20">
        <f t="shared" si="55"/>
        <v>7.1815449923012753E-2</v>
      </c>
      <c r="S245" s="20">
        <f t="shared" si="56"/>
        <v>1.0156452190345432E-3</v>
      </c>
      <c r="T245" s="20">
        <f t="shared" si="57"/>
        <v>4.7253232675318947E-11</v>
      </c>
      <c r="U245" s="20">
        <f t="shared" si="58"/>
        <v>8.8244978406216618E-2</v>
      </c>
      <c r="V245" s="21">
        <f t="shared" si="59"/>
        <v>346096286.70291585</v>
      </c>
      <c r="W245" s="21" t="str">
        <f t="shared" si="60"/>
        <v/>
      </c>
      <c r="X245" s="19" t="str">
        <f t="shared" si="61"/>
        <v/>
      </c>
      <c r="Y245" s="17">
        <f t="shared" si="62"/>
        <v>1102.7325542065014</v>
      </c>
      <c r="Z245" s="17">
        <f t="shared" si="63"/>
        <v>188315.03564355228</v>
      </c>
      <c r="AA245" s="20">
        <f t="shared" si="64"/>
        <v>5.085939727227351E-2</v>
      </c>
      <c r="AB245" s="17">
        <f t="shared" si="65"/>
        <v>188315.03564355228</v>
      </c>
      <c r="AC245" s="18">
        <f t="shared" si="66"/>
        <v>1766708.8927292586</v>
      </c>
      <c r="AD245" s="19">
        <f t="shared" si="67"/>
        <v>5.8216954232889594E-3</v>
      </c>
    </row>
    <row r="246" spans="1:30" x14ac:dyDescent="0.25">
      <c r="A246" s="8">
        <v>394</v>
      </c>
      <c r="B246" s="9">
        <v>44927</v>
      </c>
      <c r="C246" s="10">
        <v>2.291666666666667</v>
      </c>
      <c r="D246" s="11">
        <v>189315.2210166888</v>
      </c>
      <c r="E246" s="11">
        <v>2279.6506352180049</v>
      </c>
      <c r="F246" s="11">
        <v>1.538800000000053E-4</v>
      </c>
      <c r="G246" s="11">
        <v>74454.160094980994</v>
      </c>
      <c r="H246" s="12">
        <v>7.1694793640833143E-2</v>
      </c>
      <c r="I246" s="13">
        <v>2555</v>
      </c>
      <c r="J246" s="13">
        <v>456900</v>
      </c>
      <c r="K246" s="12">
        <v>8.7287168196554688E-2</v>
      </c>
      <c r="L246" s="14">
        <v>9.9090277777777782</v>
      </c>
      <c r="M246" s="15"/>
      <c r="N246" s="16">
        <f t="shared" si="51"/>
        <v>114861.0609217078</v>
      </c>
      <c r="O246" s="17">
        <f t="shared" si="52"/>
        <v>191594.87180578682</v>
      </c>
      <c r="P246" s="18">
        <f t="shared" si="53"/>
        <v>1898518.9068033141</v>
      </c>
      <c r="Q246" s="19">
        <f t="shared" si="54"/>
        <v>1.1898286283616239E-2</v>
      </c>
      <c r="R246" s="20">
        <f t="shared" si="55"/>
        <v>7.1694793640833143E-2</v>
      </c>
      <c r="S246" s="20">
        <f t="shared" si="56"/>
        <v>1.0510736926330694E-3</v>
      </c>
      <c r="T246" s="20">
        <f t="shared" si="57"/>
        <v>7.094912585450402E-11</v>
      </c>
      <c r="U246" s="20">
        <f t="shared" si="58"/>
        <v>8.8338241960136885E-2</v>
      </c>
      <c r="V246" s="21">
        <f t="shared" si="59"/>
        <v>345679723.13167089</v>
      </c>
      <c r="W246" s="21" t="str">
        <f t="shared" si="60"/>
        <v/>
      </c>
      <c r="X246" s="19" t="str">
        <f t="shared" si="61"/>
        <v/>
      </c>
      <c r="Y246" s="17">
        <f t="shared" si="62"/>
        <v>1139.8253176090025</v>
      </c>
      <c r="Z246" s="17">
        <f t="shared" si="63"/>
        <v>188175.39569907979</v>
      </c>
      <c r="AA246" s="20">
        <f t="shared" si="64"/>
        <v>5.079155250394897E-2</v>
      </c>
      <c r="AB246" s="17">
        <f t="shared" si="65"/>
        <v>188175.39569907979</v>
      </c>
      <c r="AC246" s="18">
        <f t="shared" si="66"/>
        <v>1864635.2230765068</v>
      </c>
      <c r="AD246" s="19">
        <f t="shared" si="67"/>
        <v>6.0207801120678132E-3</v>
      </c>
    </row>
    <row r="247" spans="1:30" x14ac:dyDescent="0.25">
      <c r="A247" s="8">
        <v>395</v>
      </c>
      <c r="B247" s="9">
        <v>44929</v>
      </c>
      <c r="C247" s="10">
        <v>2.416666666666667</v>
      </c>
      <c r="D247" s="11">
        <v>189212.64414348209</v>
      </c>
      <c r="E247" s="11">
        <v>2648.576584412001</v>
      </c>
      <c r="F247" s="11">
        <v>1.5344700000000271E-4</v>
      </c>
      <c r="G247" s="11">
        <v>75036.627705909006</v>
      </c>
      <c r="H247" s="12">
        <v>7.1160985563218107E-2</v>
      </c>
      <c r="I247" s="13">
        <v>2570</v>
      </c>
      <c r="J247" s="13">
        <v>451930</v>
      </c>
      <c r="K247" s="12">
        <v>8.2487320284699822E-2</v>
      </c>
      <c r="L247" s="14">
        <v>12.178472222222229</v>
      </c>
      <c r="M247" s="15"/>
      <c r="N247" s="16">
        <f t="shared" si="51"/>
        <v>114176.01643757308</v>
      </c>
      <c r="O247" s="17">
        <f t="shared" si="52"/>
        <v>191861.22088134108</v>
      </c>
      <c r="P247" s="18">
        <f t="shared" si="53"/>
        <v>2336576.549025056</v>
      </c>
      <c r="Q247" s="19">
        <f t="shared" si="54"/>
        <v>1.3804647819113199E-2</v>
      </c>
      <c r="R247" s="20">
        <f t="shared" si="55"/>
        <v>7.1160985563218107E-2</v>
      </c>
      <c r="S247" s="20">
        <f t="shared" si="56"/>
        <v>1.1546479148152368E-3</v>
      </c>
      <c r="T247" s="20">
        <f t="shared" si="57"/>
        <v>6.6895274853451567E-11</v>
      </c>
      <c r="U247" s="20">
        <f t="shared" si="58"/>
        <v>8.3641968266410335E-2</v>
      </c>
      <c r="V247" s="21">
        <f t="shared" si="59"/>
        <v>346686102.33316159</v>
      </c>
      <c r="W247" s="21" t="str">
        <f t="shared" si="60"/>
        <v/>
      </c>
      <c r="X247" s="19" t="str">
        <f t="shared" si="61"/>
        <v/>
      </c>
      <c r="Y247" s="17">
        <f t="shared" si="62"/>
        <v>1324.2882922060005</v>
      </c>
      <c r="Z247" s="17">
        <f t="shared" si="63"/>
        <v>187888.35585127608</v>
      </c>
      <c r="AA247" s="20">
        <f t="shared" si="64"/>
        <v>5.0746372945130666E-2</v>
      </c>
      <c r="AB247" s="17">
        <f t="shared" si="65"/>
        <v>187888.35585127608</v>
      </c>
      <c r="AC247" s="18">
        <f t="shared" si="66"/>
        <v>2288193.1226137714</v>
      </c>
      <c r="AD247" s="19">
        <f t="shared" si="67"/>
        <v>6.9989418423949392E-3</v>
      </c>
    </row>
    <row r="248" spans="1:30" x14ac:dyDescent="0.25">
      <c r="A248" s="8">
        <v>396</v>
      </c>
      <c r="B248" s="9">
        <v>44932</v>
      </c>
      <c r="C248" s="10">
        <v>2.583333333333333</v>
      </c>
      <c r="D248" s="11">
        <v>189109.93422313861</v>
      </c>
      <c r="E248" s="11">
        <v>2347.5272366180061</v>
      </c>
      <c r="F248" s="11">
        <v>2.361650000000028E-4</v>
      </c>
      <c r="G248" s="11">
        <v>74190.360855534003</v>
      </c>
      <c r="H248" s="12">
        <v>7.1385550819226415E-2</v>
      </c>
      <c r="I248" s="13">
        <v>2576</v>
      </c>
      <c r="J248" s="13">
        <v>456910</v>
      </c>
      <c r="K248" s="12">
        <v>7.6953445633293829E-2</v>
      </c>
      <c r="L248" s="14">
        <v>13.196597222222209</v>
      </c>
      <c r="M248" s="15"/>
      <c r="N248" s="16">
        <f t="shared" si="51"/>
        <v>114919.57336760461</v>
      </c>
      <c r="O248" s="17">
        <f t="shared" si="52"/>
        <v>191457.46169592164</v>
      </c>
      <c r="P248" s="18">
        <f t="shared" si="53"/>
        <v>2526587.0071901144</v>
      </c>
      <c r="Q248" s="19">
        <f t="shared" si="54"/>
        <v>1.2261351507659795E-2</v>
      </c>
      <c r="R248" s="20">
        <f t="shared" si="55"/>
        <v>7.1385550819226415E-2</v>
      </c>
      <c r="S248" s="20">
        <f t="shared" si="56"/>
        <v>9.5526610126469332E-4</v>
      </c>
      <c r="T248" s="20">
        <f t="shared" si="57"/>
        <v>9.6101299821421035E-11</v>
      </c>
      <c r="U248" s="20">
        <f t="shared" si="58"/>
        <v>7.790871183065981E-2</v>
      </c>
      <c r="V248" s="21">
        <f t="shared" si="59"/>
        <v>347452987.33446497</v>
      </c>
      <c r="W248" s="21" t="str">
        <f t="shared" si="60"/>
        <v/>
      </c>
      <c r="X248" s="19" t="str">
        <f t="shared" si="61"/>
        <v/>
      </c>
      <c r="Y248" s="17">
        <f t="shared" si="62"/>
        <v>1173.763618309003</v>
      </c>
      <c r="Z248" s="17">
        <f t="shared" si="63"/>
        <v>187936.17060482962</v>
      </c>
      <c r="AA248" s="20">
        <f t="shared" si="64"/>
        <v>5.0678678947552555E-2</v>
      </c>
      <c r="AB248" s="17">
        <f t="shared" si="65"/>
        <v>187936.17060482962</v>
      </c>
      <c r="AC248" s="18">
        <f t="shared" si="66"/>
        <v>2480117.9469587738</v>
      </c>
      <c r="AD248" s="19">
        <f t="shared" si="67"/>
        <v>6.2067792637695643E-3</v>
      </c>
    </row>
    <row r="249" spans="1:30" x14ac:dyDescent="0.25">
      <c r="A249" s="8">
        <v>397</v>
      </c>
      <c r="B249" s="9">
        <v>44934</v>
      </c>
      <c r="C249" s="10">
        <v>2.583333333333333</v>
      </c>
      <c r="D249" s="11">
        <v>189007.32694247729</v>
      </c>
      <c r="E249" s="11">
        <v>2500.7013662480058</v>
      </c>
      <c r="F249" s="11">
        <v>1.4258500000000231E-4</v>
      </c>
      <c r="G249" s="11">
        <v>74190.628588381995</v>
      </c>
      <c r="H249" s="12">
        <v>7.1079016210371035E-2</v>
      </c>
      <c r="I249" s="13">
        <v>2579</v>
      </c>
      <c r="J249" s="13">
        <v>453564</v>
      </c>
      <c r="K249" s="12">
        <v>7.6935376696070062E-2</v>
      </c>
      <c r="L249" s="14">
        <v>13.50621527777777</v>
      </c>
      <c r="M249" s="15"/>
      <c r="N249" s="16">
        <f t="shared" si="51"/>
        <v>114816.69835409529</v>
      </c>
      <c r="O249" s="17">
        <f t="shared" si="52"/>
        <v>191508.0284513103</v>
      </c>
      <c r="P249" s="18">
        <f t="shared" si="53"/>
        <v>2586548.6596861868</v>
      </c>
      <c r="Q249" s="19">
        <f t="shared" si="54"/>
        <v>1.3057945332478806E-2</v>
      </c>
      <c r="R249" s="20">
        <f t="shared" si="55"/>
        <v>7.1079016210371035E-2</v>
      </c>
      <c r="S249" s="20">
        <f t="shared" si="56"/>
        <v>1.0179097537061108E-3</v>
      </c>
      <c r="T249" s="20">
        <f t="shared" si="57"/>
        <v>5.8039182203491497E-11</v>
      </c>
      <c r="U249" s="20">
        <f t="shared" si="58"/>
        <v>7.7953286507815356E-2</v>
      </c>
      <c r="V249" s="21">
        <f t="shared" si="59"/>
        <v>347346024.32657915</v>
      </c>
      <c r="W249" s="21" t="str">
        <f t="shared" si="60"/>
        <v/>
      </c>
      <c r="X249" s="19" t="str">
        <f t="shared" si="61"/>
        <v/>
      </c>
      <c r="Y249" s="17">
        <f t="shared" si="62"/>
        <v>1250.3506831240029</v>
      </c>
      <c r="Z249" s="17">
        <f t="shared" si="63"/>
        <v>187756.97625935328</v>
      </c>
      <c r="AA249" s="20">
        <f t="shared" si="64"/>
        <v>5.063359979081352E-2</v>
      </c>
      <c r="AB249" s="17">
        <f t="shared" si="65"/>
        <v>187756.97625935328</v>
      </c>
      <c r="AC249" s="18">
        <f t="shared" si="66"/>
        <v>2535886.1412634351</v>
      </c>
      <c r="AD249" s="19">
        <f t="shared" si="67"/>
        <v>6.6153556232480667E-3</v>
      </c>
    </row>
    <row r="250" spans="1:30" x14ac:dyDescent="0.25">
      <c r="A250" s="8">
        <v>398</v>
      </c>
      <c r="B250" s="9">
        <v>44937</v>
      </c>
      <c r="C250" s="10">
        <v>2.583333333333333</v>
      </c>
      <c r="D250" s="11">
        <v>188904.6628314314</v>
      </c>
      <c r="E250" s="11">
        <v>2587.187125450002</v>
      </c>
      <c r="F250" s="11">
        <v>1.48315000000002E-4</v>
      </c>
      <c r="G250" s="11">
        <v>73991.682087711</v>
      </c>
      <c r="H250" s="12">
        <v>7.0814572995960501E-2</v>
      </c>
      <c r="I250" s="13">
        <v>2595</v>
      </c>
      <c r="J250" s="13">
        <v>458729</v>
      </c>
      <c r="K250" s="12">
        <v>7.6935693697212232E-2</v>
      </c>
      <c r="L250" s="14">
        <v>15.94263888888889</v>
      </c>
      <c r="M250" s="15"/>
      <c r="N250" s="16">
        <f t="shared" si="51"/>
        <v>114912.9807437204</v>
      </c>
      <c r="O250" s="17">
        <f t="shared" si="52"/>
        <v>191491.85010519641</v>
      </c>
      <c r="P250" s="18">
        <f t="shared" si="53"/>
        <v>3052885.4163923864</v>
      </c>
      <c r="Q250" s="19">
        <f t="shared" si="54"/>
        <v>1.3510690528232538E-2</v>
      </c>
      <c r="R250" s="20">
        <f t="shared" si="55"/>
        <v>7.0814572995960501E-2</v>
      </c>
      <c r="S250" s="20">
        <f t="shared" si="56"/>
        <v>1.0536904343044801E-3</v>
      </c>
      <c r="T250" s="20">
        <f t="shared" si="57"/>
        <v>6.0404636072347834E-11</v>
      </c>
      <c r="U250" s="20">
        <f t="shared" si="58"/>
        <v>7.7989384191921349E-2</v>
      </c>
      <c r="V250" s="21">
        <f t="shared" si="59"/>
        <v>347155924.14047199</v>
      </c>
      <c r="W250" s="21" t="str">
        <f t="shared" si="60"/>
        <v/>
      </c>
      <c r="X250" s="19" t="str">
        <f t="shared" si="61"/>
        <v/>
      </c>
      <c r="Y250" s="17">
        <f t="shared" si="62"/>
        <v>1293.593562725001</v>
      </c>
      <c r="Z250" s="17">
        <f t="shared" si="63"/>
        <v>187611.0692687064</v>
      </c>
      <c r="AA250" s="20">
        <f t="shared" si="64"/>
        <v>5.0566056228925529E-2</v>
      </c>
      <c r="AB250" s="17">
        <f t="shared" si="65"/>
        <v>187611.0692687064</v>
      </c>
      <c r="AC250" s="18">
        <f t="shared" si="66"/>
        <v>2991015.528909306</v>
      </c>
      <c r="AD250" s="19">
        <f t="shared" si="67"/>
        <v>6.8478646494784298E-3</v>
      </c>
    </row>
    <row r="251" spans="1:30" x14ac:dyDescent="0.25">
      <c r="A251" s="8">
        <v>399</v>
      </c>
      <c r="B251" s="9">
        <v>44940</v>
      </c>
      <c r="C251" s="10">
        <v>2.5</v>
      </c>
      <c r="D251" s="11">
        <v>188801.9654448627</v>
      </c>
      <c r="E251" s="11">
        <v>2573.2047408940039</v>
      </c>
      <c r="F251" s="11">
        <v>1.9187260000000129E-3</v>
      </c>
      <c r="G251" s="11">
        <v>74175.578173618007</v>
      </c>
      <c r="H251" s="12">
        <v>7.0606418487133518E-2</v>
      </c>
      <c r="I251" s="13">
        <v>2603</v>
      </c>
      <c r="J251" s="13">
        <v>455939</v>
      </c>
      <c r="K251" s="12">
        <v>7.9569932196057444E-2</v>
      </c>
      <c r="L251" s="14">
        <v>22.501666666666669</v>
      </c>
      <c r="M251" s="15"/>
      <c r="N251" s="16">
        <f t="shared" si="51"/>
        <v>114626.38727124469</v>
      </c>
      <c r="O251" s="17">
        <f t="shared" si="52"/>
        <v>191375.17210448268</v>
      </c>
      <c r="P251" s="18">
        <f t="shared" si="53"/>
        <v>4306260.3309710352</v>
      </c>
      <c r="Q251" s="19">
        <f t="shared" si="54"/>
        <v>1.3445865064926728E-2</v>
      </c>
      <c r="R251" s="20">
        <f t="shared" si="55"/>
        <v>7.0606418487133518E-2</v>
      </c>
      <c r="S251" s="20">
        <f t="shared" si="56"/>
        <v>1.084468195429375E-3</v>
      </c>
      <c r="T251" s="20">
        <f t="shared" si="57"/>
        <v>8.0864040457989726E-10</v>
      </c>
      <c r="U251" s="20">
        <f t="shared" si="58"/>
        <v>8.0654401200127221E-2</v>
      </c>
      <c r="V251" s="21">
        <f t="shared" si="59"/>
        <v>346663197.89651877</v>
      </c>
      <c r="W251" s="21" t="str">
        <f t="shared" si="60"/>
        <v/>
      </c>
      <c r="X251" s="19" t="str">
        <f t="shared" si="61"/>
        <v/>
      </c>
      <c r="Y251" s="17">
        <f t="shared" si="62"/>
        <v>1286.6023704470019</v>
      </c>
      <c r="Z251" s="17">
        <f t="shared" si="63"/>
        <v>187515.36307441568</v>
      </c>
      <c r="AA251" s="20">
        <f t="shared" si="64"/>
        <v>5.0498602767934407E-2</v>
      </c>
      <c r="AB251" s="17">
        <f t="shared" si="65"/>
        <v>187515.36307441568</v>
      </c>
      <c r="AC251" s="18">
        <f t="shared" si="66"/>
        <v>4219408.1947794771</v>
      </c>
      <c r="AD251" s="19">
        <f t="shared" si="67"/>
        <v>6.8145602584986772E-3</v>
      </c>
    </row>
    <row r="252" spans="1:30" x14ac:dyDescent="0.25">
      <c r="A252" s="8">
        <v>400</v>
      </c>
      <c r="B252" s="9">
        <v>44942</v>
      </c>
      <c r="C252" s="10">
        <v>2.5</v>
      </c>
      <c r="D252" s="11">
        <v>188699.27024804029</v>
      </c>
      <c r="E252" s="11">
        <v>2414.6063611270042</v>
      </c>
      <c r="F252" s="11">
        <v>0.1021112259999999</v>
      </c>
      <c r="G252" s="11">
        <v>74023.136396171001</v>
      </c>
      <c r="H252" s="12">
        <v>7.054763067786872E-2</v>
      </c>
      <c r="I252" s="13">
        <v>2622</v>
      </c>
      <c r="J252" s="13">
        <v>458520</v>
      </c>
      <c r="K252" s="12">
        <v>7.9563154619853763E-2</v>
      </c>
      <c r="L252" s="14">
        <v>23.426076388888891</v>
      </c>
      <c r="M252" s="15"/>
      <c r="N252" s="16">
        <f t="shared" si="51"/>
        <v>114676.13385186929</v>
      </c>
      <c r="O252" s="17">
        <f t="shared" si="52"/>
        <v>191113.97872039329</v>
      </c>
      <c r="P252" s="18">
        <f t="shared" si="53"/>
        <v>4477050.664488419</v>
      </c>
      <c r="Q252" s="19">
        <f t="shared" si="54"/>
        <v>1.2634378590692528E-2</v>
      </c>
      <c r="R252" s="20">
        <f t="shared" si="55"/>
        <v>7.054763067786872E-2</v>
      </c>
      <c r="S252" s="20">
        <f t="shared" si="56"/>
        <v>1.0180945533276404E-3</v>
      </c>
      <c r="T252" s="20">
        <f t="shared" si="57"/>
        <v>4.3054174252935128E-8</v>
      </c>
      <c r="U252" s="20">
        <f t="shared" si="58"/>
        <v>8.0581292227355661E-2</v>
      </c>
      <c r="V252" s="21">
        <f t="shared" si="59"/>
        <v>346504151.51285708</v>
      </c>
      <c r="W252" s="21" t="str">
        <f t="shared" si="60"/>
        <v/>
      </c>
      <c r="X252" s="19" t="str">
        <f t="shared" si="61"/>
        <v/>
      </c>
      <c r="Y252" s="17">
        <f t="shared" si="62"/>
        <v>1207.3031805635021</v>
      </c>
      <c r="Z252" s="17">
        <f t="shared" si="63"/>
        <v>187491.9670674768</v>
      </c>
      <c r="AA252" s="20">
        <f t="shared" si="64"/>
        <v>5.0453683790633641E-2</v>
      </c>
      <c r="AB252" s="17">
        <f t="shared" si="65"/>
        <v>187491.9670674768</v>
      </c>
      <c r="AC252" s="18">
        <f t="shared" si="66"/>
        <v>4392201.1428257516</v>
      </c>
      <c r="AD252" s="19">
        <f t="shared" si="67"/>
        <v>6.3980278194851175E-3</v>
      </c>
    </row>
    <row r="253" spans="1:30" x14ac:dyDescent="0.25">
      <c r="A253" s="8">
        <v>401</v>
      </c>
      <c r="B253" s="9">
        <v>44945</v>
      </c>
      <c r="C253" s="10">
        <v>2.5</v>
      </c>
      <c r="D253" s="11">
        <v>188596.62788013721</v>
      </c>
      <c r="E253" s="11">
        <v>2426.534803411007</v>
      </c>
      <c r="F253" s="11">
        <v>2.159517999999984E-3</v>
      </c>
      <c r="G253" s="11">
        <v>72172.947451992994</v>
      </c>
      <c r="H253" s="12">
        <v>7.0606560302921992E-2</v>
      </c>
      <c r="I253" s="13">
        <v>2628</v>
      </c>
      <c r="J253" s="13">
        <v>455067</v>
      </c>
      <c r="K253" s="12">
        <v>7.9015938913569908E-2</v>
      </c>
      <c r="L253" s="14">
        <v>21.252881944444439</v>
      </c>
      <c r="M253" s="15"/>
      <c r="N253" s="16">
        <f t="shared" si="51"/>
        <v>116423.68042814422</v>
      </c>
      <c r="O253" s="17">
        <f t="shared" si="52"/>
        <v>191023.16484306622</v>
      </c>
      <c r="P253" s="18">
        <f t="shared" si="53"/>
        <v>4059792.7710638358</v>
      </c>
      <c r="Q253" s="19">
        <f t="shared" si="54"/>
        <v>1.2702830075109008E-2</v>
      </c>
      <c r="R253" s="20">
        <f t="shared" si="55"/>
        <v>7.0606560302921992E-2</v>
      </c>
      <c r="S253" s="20">
        <f t="shared" si="56"/>
        <v>1.0166402652746944E-3</v>
      </c>
      <c r="T253" s="20">
        <f t="shared" si="57"/>
        <v>9.0476878769646676E-10</v>
      </c>
      <c r="U253" s="20">
        <f t="shared" si="58"/>
        <v>8.0032580083613386E-2</v>
      </c>
      <c r="V253" s="21">
        <f t="shared" si="59"/>
        <v>348714040.63713562</v>
      </c>
      <c r="W253" s="21" t="str">
        <f t="shared" si="60"/>
        <v/>
      </c>
      <c r="X253" s="19" t="str">
        <f t="shared" si="61"/>
        <v/>
      </c>
      <c r="Y253" s="17">
        <f t="shared" si="62"/>
        <v>1213.2674017055035</v>
      </c>
      <c r="Z253" s="17">
        <f t="shared" si="63"/>
        <v>187383.36047843171</v>
      </c>
      <c r="AA253" s="20">
        <f t="shared" si="64"/>
        <v>5.0386380230790596E-2</v>
      </c>
      <c r="AB253" s="17">
        <f t="shared" si="65"/>
        <v>187383.36047843171</v>
      </c>
      <c r="AC253" s="18">
        <f t="shared" si="66"/>
        <v>3982436.4386013853</v>
      </c>
      <c r="AD253" s="19">
        <f t="shared" si="67"/>
        <v>6.4331341198560392E-3</v>
      </c>
    </row>
    <row r="254" spans="1:30" x14ac:dyDescent="0.25">
      <c r="A254" s="8">
        <v>402</v>
      </c>
      <c r="B254" s="9">
        <v>44947</v>
      </c>
      <c r="C254" s="10">
        <v>2.541666666666667</v>
      </c>
      <c r="D254" s="11">
        <v>188493.97879721239</v>
      </c>
      <c r="E254" s="11">
        <v>2544.4497400630062</v>
      </c>
      <c r="F254" s="11">
        <v>2.3476020000000309E-2</v>
      </c>
      <c r="G254" s="11">
        <v>73443.393422028996</v>
      </c>
      <c r="H254" s="12">
        <v>6.9476334242668164E-2</v>
      </c>
      <c r="I254" s="13">
        <v>2678</v>
      </c>
      <c r="J254" s="13">
        <v>457521</v>
      </c>
      <c r="K254" s="12">
        <v>7.8897779313767666E-2</v>
      </c>
      <c r="L254" s="14">
        <v>25.26427083333332</v>
      </c>
      <c r="M254" s="15"/>
      <c r="N254" s="16">
        <f t="shared" si="51"/>
        <v>115050.58537518339</v>
      </c>
      <c r="O254" s="17">
        <f t="shared" si="52"/>
        <v>191038.45201329541</v>
      </c>
      <c r="P254" s="18">
        <f t="shared" si="53"/>
        <v>4826447.191244646</v>
      </c>
      <c r="Q254" s="19">
        <f t="shared" si="54"/>
        <v>1.3319045005064865E-2</v>
      </c>
      <c r="R254" s="20">
        <f t="shared" si="55"/>
        <v>6.9476334242668164E-2</v>
      </c>
      <c r="S254" s="20">
        <f t="shared" si="56"/>
        <v>1.0650283650834233E-3</v>
      </c>
      <c r="T254" s="20">
        <f t="shared" si="57"/>
        <v>9.826339583601661E-9</v>
      </c>
      <c r="U254" s="20">
        <f t="shared" si="58"/>
        <v>7.9962817505190673E-2</v>
      </c>
      <c r="V254" s="21">
        <f t="shared" si="59"/>
        <v>343324134.19398361</v>
      </c>
      <c r="W254" s="21" t="str">
        <f t="shared" si="60"/>
        <v/>
      </c>
      <c r="X254" s="19" t="str">
        <f t="shared" si="61"/>
        <v/>
      </c>
      <c r="Y254" s="17">
        <f t="shared" si="62"/>
        <v>1272.2248700315031</v>
      </c>
      <c r="Z254" s="17">
        <f t="shared" si="63"/>
        <v>187221.75392718089</v>
      </c>
      <c r="AA254" s="20">
        <f t="shared" si="64"/>
        <v>5.0341561076481404E-2</v>
      </c>
      <c r="AB254" s="17">
        <f t="shared" si="65"/>
        <v>187221.75392718089</v>
      </c>
      <c r="AC254" s="18">
        <f t="shared" si="66"/>
        <v>4730021.0971079841</v>
      </c>
      <c r="AD254" s="19">
        <f t="shared" si="67"/>
        <v>6.7494191493522541E-3</v>
      </c>
    </row>
    <row r="255" spans="1:30" x14ac:dyDescent="0.25">
      <c r="A255" s="8">
        <v>403</v>
      </c>
      <c r="B255" s="9">
        <v>44950</v>
      </c>
      <c r="C255" s="10">
        <v>2.5</v>
      </c>
      <c r="D255" s="11">
        <v>188391.28596871669</v>
      </c>
      <c r="E255" s="11">
        <v>2468.286336531005</v>
      </c>
      <c r="F255" s="11">
        <v>1.6870793289999471</v>
      </c>
      <c r="G255" s="11">
        <v>72116.355626464996</v>
      </c>
      <c r="H255" s="12">
        <v>7.0496078288820666E-2</v>
      </c>
      <c r="I255" s="13">
        <v>2936</v>
      </c>
      <c r="J255" s="13">
        <v>454278</v>
      </c>
      <c r="K255" s="12">
        <v>8.0789479235692477E-2</v>
      </c>
      <c r="L255" s="14">
        <v>24.446111111111119</v>
      </c>
      <c r="M255" s="15"/>
      <c r="N255" s="16">
        <f t="shared" si="51"/>
        <v>116274.9303422517</v>
      </c>
      <c r="O255" s="17">
        <f t="shared" si="52"/>
        <v>190861.2593845767</v>
      </c>
      <c r="P255" s="18">
        <f t="shared" si="53"/>
        <v>4665815.5537219616</v>
      </c>
      <c r="Q255" s="19">
        <f t="shared" si="54"/>
        <v>1.2932359057515811E-2</v>
      </c>
      <c r="R255" s="20">
        <f t="shared" si="55"/>
        <v>7.0496078288820666E-2</v>
      </c>
      <c r="S255" s="20">
        <f t="shared" si="56"/>
        <v>1.0584967702063903E-3</v>
      </c>
      <c r="T255" s="20">
        <f t="shared" si="57"/>
        <v>7.2348495164388986E-7</v>
      </c>
      <c r="U255" s="20">
        <f t="shared" si="58"/>
        <v>8.184869949085051E-2</v>
      </c>
      <c r="V255" s="21">
        <f t="shared" si="59"/>
        <v>340687514.51822114</v>
      </c>
      <c r="W255" s="21" t="str">
        <f t="shared" si="60"/>
        <v/>
      </c>
      <c r="X255" s="19" t="str">
        <f t="shared" si="61"/>
        <v/>
      </c>
      <c r="Y255" s="17">
        <f t="shared" si="62"/>
        <v>1234.1431682655025</v>
      </c>
      <c r="Z255" s="17">
        <f t="shared" si="63"/>
        <v>187157.1428004512</v>
      </c>
      <c r="AA255" s="20">
        <f t="shared" si="64"/>
        <v>5.0274407084662631E-2</v>
      </c>
      <c r="AB255" s="17">
        <f t="shared" si="65"/>
        <v>187157.1428004512</v>
      </c>
      <c r="AC255" s="18">
        <f t="shared" si="66"/>
        <v>4575264.3081379207</v>
      </c>
      <c r="AD255" s="19">
        <f t="shared" si="67"/>
        <v>6.550956759594698E-3</v>
      </c>
    </row>
    <row r="256" spans="1:30" x14ac:dyDescent="0.25">
      <c r="A256" s="8">
        <v>404</v>
      </c>
      <c r="B256" s="9">
        <v>44952</v>
      </c>
      <c r="C256" s="10">
        <v>2.5</v>
      </c>
      <c r="D256" s="11">
        <v>188288.61747484159</v>
      </c>
      <c r="E256" s="11">
        <v>2268.3251072470021</v>
      </c>
      <c r="F256" s="11">
        <v>2.471700893999957</v>
      </c>
      <c r="G256" s="11">
        <v>71488.965009487001</v>
      </c>
      <c r="H256" s="12">
        <v>7.0110035908874019E-2</v>
      </c>
      <c r="I256" s="13">
        <v>2969</v>
      </c>
      <c r="J256" s="13">
        <v>459813</v>
      </c>
      <c r="K256" s="12">
        <v>8.0480194995875567E-2</v>
      </c>
      <c r="L256" s="14">
        <v>24.557708333333341</v>
      </c>
      <c r="M256" s="15"/>
      <c r="N256" s="16">
        <f t="shared" si="51"/>
        <v>116799.65246535459</v>
      </c>
      <c r="O256" s="17">
        <f t="shared" si="52"/>
        <v>190559.41428298262</v>
      </c>
      <c r="P256" s="18">
        <f t="shared" si="53"/>
        <v>4679702.5161323231</v>
      </c>
      <c r="Q256" s="19">
        <f t="shared" si="54"/>
        <v>1.1903505873913513E-2</v>
      </c>
      <c r="R256" s="20">
        <f t="shared" si="55"/>
        <v>7.0110035908874019E-2</v>
      </c>
      <c r="S256" s="20">
        <f t="shared" si="56"/>
        <v>9.6955009492101366E-4</v>
      </c>
      <c r="T256" s="20">
        <f t="shared" si="57"/>
        <v>1.0564789979785997E-6</v>
      </c>
      <c r="U256" s="20">
        <f t="shared" si="58"/>
        <v>8.1450801569794562E-2</v>
      </c>
      <c r="V256" s="21">
        <f t="shared" si="59"/>
        <v>341810392.16522938</v>
      </c>
      <c r="W256" s="21" t="str">
        <f t="shared" si="60"/>
        <v/>
      </c>
      <c r="X256" s="19" t="str">
        <f t="shared" si="61"/>
        <v/>
      </c>
      <c r="Y256" s="17">
        <f t="shared" si="62"/>
        <v>1134.162553623501</v>
      </c>
      <c r="Z256" s="17">
        <f t="shared" si="63"/>
        <v>187154.4549212181</v>
      </c>
      <c r="AA256" s="20">
        <f t="shared" si="64"/>
        <v>5.022968753150938E-2</v>
      </c>
      <c r="AB256" s="17">
        <f t="shared" si="65"/>
        <v>187154.4549212181</v>
      </c>
      <c r="AC256" s="18">
        <f t="shared" si="66"/>
        <v>4596084.5172392568</v>
      </c>
      <c r="AD256" s="19">
        <f t="shared" si="67"/>
        <v>6.0235322178997016E-3</v>
      </c>
    </row>
    <row r="257" spans="1:30" x14ac:dyDescent="0.25">
      <c r="A257" s="8">
        <v>405</v>
      </c>
      <c r="B257" s="9">
        <v>44955</v>
      </c>
      <c r="C257" s="10">
        <v>2.5</v>
      </c>
      <c r="D257" s="11">
        <v>188186.0164664661</v>
      </c>
      <c r="E257" s="11">
        <v>2390.598452467008</v>
      </c>
      <c r="F257" s="11">
        <v>5.1925036359999286</v>
      </c>
      <c r="G257" s="11">
        <v>71545.434949186994</v>
      </c>
      <c r="H257" s="12">
        <v>6.9782839236349134E-2</v>
      </c>
      <c r="I257" s="13">
        <v>2994</v>
      </c>
      <c r="J257" s="13">
        <v>456021</v>
      </c>
      <c r="K257" s="12">
        <v>8.034131018015464E-2</v>
      </c>
      <c r="L257" s="14">
        <v>24.866388888888881</v>
      </c>
      <c r="M257" s="15"/>
      <c r="N257" s="16">
        <f t="shared" si="51"/>
        <v>116640.5815172791</v>
      </c>
      <c r="O257" s="17">
        <f t="shared" si="52"/>
        <v>190581.80742256911</v>
      </c>
      <c r="P257" s="18">
        <f t="shared" si="53"/>
        <v>4739081.3385169329</v>
      </c>
      <c r="Q257" s="19">
        <f t="shared" si="54"/>
        <v>1.2543686539641391E-2</v>
      </c>
      <c r="R257" s="20">
        <f t="shared" si="55"/>
        <v>6.9782839236349134E-2</v>
      </c>
      <c r="S257" s="20">
        <f t="shared" si="56"/>
        <v>1.0206061820755661E-3</v>
      </c>
      <c r="T257" s="20">
        <f t="shared" si="57"/>
        <v>2.2168094796022704E-6</v>
      </c>
      <c r="U257" s="20">
        <f t="shared" si="58"/>
        <v>8.1364133171709818E-2</v>
      </c>
      <c r="V257" s="21">
        <f t="shared" si="59"/>
        <v>342214695.57938665</v>
      </c>
      <c r="W257" s="21" t="str">
        <f t="shared" si="60"/>
        <v/>
      </c>
      <c r="X257" s="19" t="str">
        <f t="shared" si="61"/>
        <v/>
      </c>
      <c r="Y257" s="17">
        <f t="shared" si="62"/>
        <v>1195.299226233504</v>
      </c>
      <c r="Z257" s="17">
        <f t="shared" si="63"/>
        <v>186990.7172402326</v>
      </c>
      <c r="AA257" s="20">
        <f t="shared" si="64"/>
        <v>5.0162682775331362E-2</v>
      </c>
      <c r="AB257" s="17">
        <f t="shared" si="65"/>
        <v>186990.7172402326</v>
      </c>
      <c r="AC257" s="18">
        <f t="shared" si="66"/>
        <v>4649783.893507882</v>
      </c>
      <c r="AD257" s="19">
        <f t="shared" si="67"/>
        <v>6.3516899325327973E-3</v>
      </c>
    </row>
    <row r="258" spans="1:30" x14ac:dyDescent="0.25">
      <c r="A258" s="8">
        <v>406</v>
      </c>
      <c r="B258" s="9">
        <v>44957</v>
      </c>
      <c r="C258" s="10">
        <v>2.625</v>
      </c>
      <c r="D258" s="11">
        <v>188083.370681753</v>
      </c>
      <c r="E258" s="11">
        <v>2386.4942219770069</v>
      </c>
      <c r="F258" s="11">
        <v>2.573623101999992</v>
      </c>
      <c r="G258" s="11">
        <v>71631.231609313996</v>
      </c>
      <c r="H258" s="12">
        <v>7.0018335899738882E-2</v>
      </c>
      <c r="I258" s="13">
        <v>3019</v>
      </c>
      <c r="J258" s="13">
        <v>454337</v>
      </c>
      <c r="K258" s="12">
        <v>7.6518286667428062E-2</v>
      </c>
      <c r="L258" s="14">
        <v>23.990416666666661</v>
      </c>
      <c r="M258" s="15"/>
      <c r="N258" s="16">
        <f t="shared" ref="N258:N321" si="68">D258-G258</f>
        <v>116452.13907243901</v>
      </c>
      <c r="O258" s="17">
        <f t="shared" ref="O258:O321" si="69">D258+E258+F258</f>
        <v>190472.43852683203</v>
      </c>
      <c r="P258" s="18">
        <f t="shared" ref="P258:P321" si="70">O258*L258</f>
        <v>4569513.1637747521</v>
      </c>
      <c r="Q258" s="19">
        <f t="shared" ref="Q258:Q321" si="71">IF(O258&gt;0,E258/O258,"")</f>
        <v>1.2529341465016311E-2</v>
      </c>
      <c r="R258" s="20">
        <f t="shared" ref="R258:R321" si="72">IF(H258&lt;&gt;"",H258,IF(D258&gt;0,G258/D258,""))</f>
        <v>7.0018335899738882E-2</v>
      </c>
      <c r="S258" s="20">
        <f t="shared" ref="S258:S321" si="73">IF(AND(K258&lt;&gt;"",D258&gt;0),E258*K258/D258,"")</f>
        <v>9.7090161849759605E-4</v>
      </c>
      <c r="T258" s="20">
        <f t="shared" ref="T258:T321" si="74">IF(AND(K258&lt;&gt;"",D258&gt;0),F258*K258/D258,"")</f>
        <v>1.0470315880608366E-6</v>
      </c>
      <c r="U258" s="20">
        <f t="shared" ref="U258:U321" si="75">IF(K258&lt;&gt;"",K258+S258+T258,"")</f>
        <v>7.7490235317513714E-2</v>
      </c>
      <c r="V258" s="21">
        <f t="shared" ref="V258:V321" si="76">IF(AND(K258&lt;&gt;"",K258&gt;0,C258&gt;0),D258*(365.25/C258)/K258,"")</f>
        <v>342015728.7559644</v>
      </c>
      <c r="W258" s="21" t="str">
        <f t="shared" ref="W258:W321" si="77">IF(AND(M258&lt;&gt;"",L258&gt;0),M258/L258,"")</f>
        <v/>
      </c>
      <c r="X258" s="19" t="str">
        <f t="shared" ref="X258:X321" si="78">IF(AND(V258&lt;&gt;"",W258&lt;&gt;"",W258&gt;0),V258/W258,"")</f>
        <v/>
      </c>
      <c r="Y258" s="17">
        <f t="shared" ref="Y258:Y321" si="79">IF(A258&lt;620,E258*0.5,"")</f>
        <v>1193.2471109885034</v>
      </c>
      <c r="Z258" s="17">
        <f t="shared" ref="Z258:Z321" si="80">IF(Y258&lt;&gt;"",D258-Y258,"")</f>
        <v>186890.1235707645</v>
      </c>
      <c r="AA258" s="20">
        <f t="shared" ref="AA258:AA321" si="81">IF(B258&lt;&gt;"",MAX(0.08*0.85^((B258-DATE(2020,3,16))/365.25),0.015),"")</f>
        <v>5.0118062601991406E-2</v>
      </c>
      <c r="AB258" s="17">
        <f t="shared" ref="AB258:AB321" si="82">IF(Z258&lt;&gt;"",Z258,"")</f>
        <v>186890.1235707645</v>
      </c>
      <c r="AC258" s="18">
        <f t="shared" ref="AC258:AC321" si="83">IF(AB258&lt;&gt;"",AB258*L258,"")</f>
        <v>4483571.9353474602</v>
      </c>
      <c r="AD258" s="19">
        <f t="shared" ref="AD258:AD321" si="84">IF(AND(Y258&lt;&gt;"",D258&gt;0),Y258/D258,"")</f>
        <v>6.3442456750072845E-3</v>
      </c>
    </row>
    <row r="259" spans="1:30" x14ac:dyDescent="0.25">
      <c r="A259" s="8">
        <v>407</v>
      </c>
      <c r="B259" s="9">
        <v>44960</v>
      </c>
      <c r="C259" s="10">
        <v>2.583333333333333</v>
      </c>
      <c r="D259" s="11">
        <v>187980.72423954139</v>
      </c>
      <c r="E259" s="11">
        <v>2457.652630990005</v>
      </c>
      <c r="F259" s="11">
        <v>3.1092046480000448</v>
      </c>
      <c r="G259" s="11">
        <v>72380.933069449995</v>
      </c>
      <c r="H259" s="12">
        <v>7.016215379957981E-2</v>
      </c>
      <c r="I259" s="13">
        <v>3046</v>
      </c>
      <c r="J259" s="13">
        <v>449556</v>
      </c>
      <c r="K259" s="12">
        <v>7.7603655306155747E-2</v>
      </c>
      <c r="L259" s="14">
        <v>24.50649305555557</v>
      </c>
      <c r="M259" s="15"/>
      <c r="N259" s="16">
        <f t="shared" si="68"/>
        <v>115599.7911700914</v>
      </c>
      <c r="O259" s="17">
        <f t="shared" si="69"/>
        <v>190441.48607517939</v>
      </c>
      <c r="P259" s="18">
        <f t="shared" si="70"/>
        <v>4667052.9559910661</v>
      </c>
      <c r="Q259" s="19">
        <f t="shared" si="71"/>
        <v>1.2905027584272331E-2</v>
      </c>
      <c r="R259" s="20">
        <f t="shared" si="72"/>
        <v>7.016215379957981E-2</v>
      </c>
      <c r="S259" s="20">
        <f t="shared" si="73"/>
        <v>1.014587152002774E-3</v>
      </c>
      <c r="T259" s="20">
        <f t="shared" si="74"/>
        <v>1.2835658908954178E-6</v>
      </c>
      <c r="U259" s="20">
        <f t="shared" si="75"/>
        <v>7.861952602404941E-2</v>
      </c>
      <c r="V259" s="21">
        <f t="shared" si="76"/>
        <v>342484496.95939499</v>
      </c>
      <c r="W259" s="21" t="str">
        <f t="shared" si="77"/>
        <v/>
      </c>
      <c r="X259" s="19" t="str">
        <f t="shared" si="78"/>
        <v/>
      </c>
      <c r="Y259" s="17">
        <f t="shared" si="79"/>
        <v>1228.8263154950025</v>
      </c>
      <c r="Z259" s="17">
        <f t="shared" si="80"/>
        <v>186751.89792404638</v>
      </c>
      <c r="AA259" s="20">
        <f t="shared" si="81"/>
        <v>5.0051206749809278E-2</v>
      </c>
      <c r="AB259" s="17">
        <f t="shared" si="82"/>
        <v>186751.89792404638</v>
      </c>
      <c r="AC259" s="18">
        <f t="shared" si="83"/>
        <v>4576634.0895874649</v>
      </c>
      <c r="AD259" s="19">
        <f t="shared" si="84"/>
        <v>6.5369804295951385E-3</v>
      </c>
    </row>
    <row r="260" spans="1:30" x14ac:dyDescent="0.25">
      <c r="A260" s="8">
        <v>408</v>
      </c>
      <c r="B260" s="9">
        <v>44963</v>
      </c>
      <c r="C260" s="10">
        <v>2.5</v>
      </c>
      <c r="D260" s="11">
        <v>187878.0511793457</v>
      </c>
      <c r="E260" s="11">
        <v>2533.838693103005</v>
      </c>
      <c r="F260" s="11">
        <v>3.2230000950000628</v>
      </c>
      <c r="G260" s="11">
        <v>72315.140409095999</v>
      </c>
      <c r="H260" s="12">
        <v>7.0022138593019409E-2</v>
      </c>
      <c r="I260" s="13">
        <v>3052</v>
      </c>
      <c r="J260" s="13">
        <v>452881</v>
      </c>
      <c r="K260" s="12">
        <v>8.0126450497112034E-2</v>
      </c>
      <c r="L260" s="14">
        <v>23.288159722222218</v>
      </c>
      <c r="M260" s="15"/>
      <c r="N260" s="16">
        <f t="shared" si="68"/>
        <v>115562.9107702497</v>
      </c>
      <c r="O260" s="17">
        <f t="shared" si="69"/>
        <v>190415.11287254369</v>
      </c>
      <c r="P260" s="18">
        <f t="shared" si="70"/>
        <v>4434417.562100769</v>
      </c>
      <c r="Q260" s="19">
        <f t="shared" si="71"/>
        <v>1.3306920101447283E-2</v>
      </c>
      <c r="R260" s="20">
        <f t="shared" si="72"/>
        <v>7.0022138593019409E-2</v>
      </c>
      <c r="S260" s="20">
        <f t="shared" si="73"/>
        <v>1.0806344825068355E-3</v>
      </c>
      <c r="T260" s="20">
        <f t="shared" si="74"/>
        <v>1.374548841352897E-6</v>
      </c>
      <c r="U260" s="20">
        <f t="shared" si="75"/>
        <v>8.1208459528460231E-2</v>
      </c>
      <c r="V260" s="21">
        <f t="shared" si="76"/>
        <v>342570812.84652364</v>
      </c>
      <c r="W260" s="21" t="str">
        <f t="shared" si="77"/>
        <v/>
      </c>
      <c r="X260" s="19" t="str">
        <f t="shared" si="78"/>
        <v/>
      </c>
      <c r="Y260" s="17">
        <f t="shared" si="79"/>
        <v>1266.9193465515025</v>
      </c>
      <c r="Z260" s="17">
        <f t="shared" si="80"/>
        <v>186611.1318327942</v>
      </c>
      <c r="AA260" s="20">
        <f t="shared" si="81"/>
        <v>4.9984440081141814E-2</v>
      </c>
      <c r="AB260" s="17">
        <f t="shared" si="82"/>
        <v>186611.1318327942</v>
      </c>
      <c r="AC260" s="18">
        <f t="shared" si="83"/>
        <v>4345829.8440667782</v>
      </c>
      <c r="AD260" s="19">
        <f t="shared" si="84"/>
        <v>6.7433068344003606E-3</v>
      </c>
    </row>
    <row r="261" spans="1:30" x14ac:dyDescent="0.25">
      <c r="A261" s="8">
        <v>409</v>
      </c>
      <c r="B261" s="9">
        <v>44965</v>
      </c>
      <c r="C261" s="10">
        <v>2.416666666666667</v>
      </c>
      <c r="D261" s="11">
        <v>187775.3498164622</v>
      </c>
      <c r="E261" s="11">
        <v>2880.103708709009</v>
      </c>
      <c r="F261" s="11">
        <v>3.6811800289999521</v>
      </c>
      <c r="G261" s="11">
        <v>72344.281827772007</v>
      </c>
      <c r="H261" s="12">
        <v>6.9634537410230693E-2</v>
      </c>
      <c r="I261" s="13">
        <v>3062</v>
      </c>
      <c r="J261" s="13">
        <v>449735</v>
      </c>
      <c r="K261" s="12">
        <v>8.2922746004179468E-2</v>
      </c>
      <c r="L261" s="14">
        <v>23.569201388888871</v>
      </c>
      <c r="M261" s="15"/>
      <c r="N261" s="16">
        <f t="shared" si="68"/>
        <v>115431.06798869019</v>
      </c>
      <c r="O261" s="17">
        <f t="shared" si="69"/>
        <v>190659.13470520021</v>
      </c>
      <c r="P261" s="18">
        <f t="shared" si="70"/>
        <v>4493683.5424981555</v>
      </c>
      <c r="Q261" s="19">
        <f t="shared" si="71"/>
        <v>1.5106035769868909E-2</v>
      </c>
      <c r="R261" s="20">
        <f t="shared" si="72"/>
        <v>6.9634537410230693E-2</v>
      </c>
      <c r="S261" s="20">
        <f t="shared" si="73"/>
        <v>1.2718714598929461E-3</v>
      </c>
      <c r="T261" s="20">
        <f t="shared" si="74"/>
        <v>1.6256316755036585E-6</v>
      </c>
      <c r="U261" s="20">
        <f t="shared" si="75"/>
        <v>8.4196243095747927E-2</v>
      </c>
      <c r="V261" s="21">
        <f t="shared" si="76"/>
        <v>342245996.88372511</v>
      </c>
      <c r="W261" s="21" t="str">
        <f t="shared" si="77"/>
        <v/>
      </c>
      <c r="X261" s="19" t="str">
        <f t="shared" si="78"/>
        <v/>
      </c>
      <c r="Y261" s="17">
        <f t="shared" si="79"/>
        <v>1440.0518543545045</v>
      </c>
      <c r="Z261" s="17">
        <f t="shared" si="80"/>
        <v>186335.2979621077</v>
      </c>
      <c r="AA261" s="20">
        <f t="shared" si="81"/>
        <v>4.9939978456337769E-2</v>
      </c>
      <c r="AB261" s="17">
        <f t="shared" si="82"/>
        <v>186335.2979621077</v>
      </c>
      <c r="AC261" s="18">
        <f t="shared" si="83"/>
        <v>4391774.1635275306</v>
      </c>
      <c r="AD261" s="19">
        <f t="shared" si="84"/>
        <v>7.669014360841604E-3</v>
      </c>
    </row>
    <row r="262" spans="1:30" x14ac:dyDescent="0.25">
      <c r="A262" s="8">
        <v>410</v>
      </c>
      <c r="B262" s="9">
        <v>44968</v>
      </c>
      <c r="C262" s="10">
        <v>2.541666666666667</v>
      </c>
      <c r="D262" s="11">
        <v>187672.52664172251</v>
      </c>
      <c r="E262" s="11">
        <v>2493.9825039720072</v>
      </c>
      <c r="F262" s="11">
        <v>3.608680019000055</v>
      </c>
      <c r="G262" s="11">
        <v>73035.876714836006</v>
      </c>
      <c r="H262" s="12">
        <v>6.9746798138683966E-2</v>
      </c>
      <c r="I262" s="13">
        <v>3073</v>
      </c>
      <c r="J262" s="13">
        <v>453646</v>
      </c>
      <c r="K262" s="12">
        <v>7.8900708092997165E-2</v>
      </c>
      <c r="L262" s="14">
        <v>20.417118055555541</v>
      </c>
      <c r="M262" s="15"/>
      <c r="N262" s="16">
        <f t="shared" si="68"/>
        <v>114636.6499268865</v>
      </c>
      <c r="O262" s="17">
        <f t="shared" si="69"/>
        <v>190170.11782571353</v>
      </c>
      <c r="P262" s="18">
        <f t="shared" si="70"/>
        <v>3882725.7462865002</v>
      </c>
      <c r="Q262" s="19">
        <f t="shared" si="71"/>
        <v>1.3114481562543301E-2</v>
      </c>
      <c r="R262" s="20">
        <f t="shared" si="72"/>
        <v>6.9746798138683966E-2</v>
      </c>
      <c r="S262" s="20">
        <f t="shared" si="73"/>
        <v>1.0485124757263801E-3</v>
      </c>
      <c r="T262" s="20">
        <f t="shared" si="74"/>
        <v>1.5171501864186844E-6</v>
      </c>
      <c r="U262" s="20">
        <f t="shared" si="75"/>
        <v>7.9950737718909967E-2</v>
      </c>
      <c r="V262" s="21">
        <f t="shared" si="76"/>
        <v>341815247.41535777</v>
      </c>
      <c r="W262" s="21" t="str">
        <f t="shared" si="77"/>
        <v/>
      </c>
      <c r="X262" s="19" t="str">
        <f t="shared" si="78"/>
        <v/>
      </c>
      <c r="Y262" s="17">
        <f t="shared" si="79"/>
        <v>1246.9912519860036</v>
      </c>
      <c r="Z262" s="17">
        <f t="shared" si="80"/>
        <v>186425.5353897365</v>
      </c>
      <c r="AA262" s="20">
        <f t="shared" si="81"/>
        <v>4.9873360162566716E-2</v>
      </c>
      <c r="AB262" s="17">
        <f t="shared" si="82"/>
        <v>186425.5353897365</v>
      </c>
      <c r="AC262" s="18">
        <f t="shared" si="83"/>
        <v>3806272.1646223976</v>
      </c>
      <c r="AD262" s="19">
        <f t="shared" si="84"/>
        <v>6.6445061208483683E-3</v>
      </c>
    </row>
    <row r="263" spans="1:30" x14ac:dyDescent="0.25">
      <c r="A263" s="8">
        <v>411</v>
      </c>
      <c r="B263" s="9">
        <v>44970</v>
      </c>
      <c r="C263" s="10">
        <v>2.458333333333333</v>
      </c>
      <c r="D263" s="11">
        <v>187569.83606804209</v>
      </c>
      <c r="E263" s="11">
        <v>2478.851842494008</v>
      </c>
      <c r="F263" s="11">
        <v>5.675638026000132</v>
      </c>
      <c r="G263" s="11">
        <v>73193.820430506006</v>
      </c>
      <c r="H263" s="12">
        <v>6.9582857540662554E-2</v>
      </c>
      <c r="I263" s="13">
        <v>3103</v>
      </c>
      <c r="J263" s="13">
        <v>448847</v>
      </c>
      <c r="K263" s="12">
        <v>8.1634535608528749E-2</v>
      </c>
      <c r="L263" s="14">
        <v>20.663263888888881</v>
      </c>
      <c r="M263" s="15"/>
      <c r="N263" s="16">
        <f t="shared" si="68"/>
        <v>114376.01563753608</v>
      </c>
      <c r="O263" s="17">
        <f t="shared" si="69"/>
        <v>190054.36354856211</v>
      </c>
      <c r="P263" s="18">
        <f t="shared" si="70"/>
        <v>3927143.4672387629</v>
      </c>
      <c r="Q263" s="19">
        <f t="shared" si="71"/>
        <v>1.3042856771139692E-2</v>
      </c>
      <c r="R263" s="20">
        <f t="shared" si="72"/>
        <v>6.9582857540662554E-2</v>
      </c>
      <c r="S263" s="20">
        <f t="shared" si="73"/>
        <v>1.0788510735326171E-3</v>
      </c>
      <c r="T263" s="20">
        <f t="shared" si="74"/>
        <v>2.4701630296598041E-6</v>
      </c>
      <c r="U263" s="20">
        <f t="shared" si="75"/>
        <v>8.2715856845091029E-2</v>
      </c>
      <c r="V263" s="21">
        <f t="shared" si="76"/>
        <v>341380356.02581537</v>
      </c>
      <c r="W263" s="21" t="str">
        <f t="shared" si="77"/>
        <v/>
      </c>
      <c r="X263" s="19" t="str">
        <f t="shared" si="78"/>
        <v/>
      </c>
      <c r="Y263" s="17">
        <f t="shared" si="79"/>
        <v>1239.425921247004</v>
      </c>
      <c r="Z263" s="17">
        <f t="shared" si="80"/>
        <v>186330.4101467951</v>
      </c>
      <c r="AA263" s="20">
        <f t="shared" si="81"/>
        <v>4.9828997344384389E-2</v>
      </c>
      <c r="AB263" s="17">
        <f t="shared" si="82"/>
        <v>186330.4101467951</v>
      </c>
      <c r="AC263" s="18">
        <f t="shared" si="83"/>
        <v>3850194.4353881255</v>
      </c>
      <c r="AD263" s="19">
        <f t="shared" si="84"/>
        <v>6.6078104413195456E-3</v>
      </c>
    </row>
    <row r="264" spans="1:30" x14ac:dyDescent="0.25">
      <c r="A264" s="8">
        <v>413</v>
      </c>
      <c r="B264" s="9">
        <v>44975</v>
      </c>
      <c r="C264" s="10">
        <v>5.125</v>
      </c>
      <c r="D264" s="11">
        <v>187364.4598558225</v>
      </c>
      <c r="E264" s="11">
        <v>2537.5371365300048</v>
      </c>
      <c r="F264" s="11">
        <v>3.3360883759999092</v>
      </c>
      <c r="G264" s="11">
        <v>73099.508757949996</v>
      </c>
      <c r="H264" s="12">
        <v>6.9324103837869119E-2</v>
      </c>
      <c r="I264" s="13">
        <v>3140</v>
      </c>
      <c r="J264" s="13">
        <v>451183</v>
      </c>
      <c r="K264" s="12">
        <v>3.8012751435578078E-2</v>
      </c>
      <c r="L264" s="14">
        <v>23.37493055555554</v>
      </c>
      <c r="M264" s="15"/>
      <c r="N264" s="16">
        <f t="shared" si="68"/>
        <v>114264.9510978725</v>
      </c>
      <c r="O264" s="17">
        <f t="shared" si="69"/>
        <v>189905.33308072851</v>
      </c>
      <c r="P264" s="18">
        <f t="shared" si="70"/>
        <v>4439023.9728916734</v>
      </c>
      <c r="Q264" s="19">
        <f t="shared" si="71"/>
        <v>1.3362116246894979E-2</v>
      </c>
      <c r="R264" s="20">
        <f t="shared" si="72"/>
        <v>6.9324103837869119E-2</v>
      </c>
      <c r="S264" s="20">
        <f t="shared" si="73"/>
        <v>5.148189176522E-4</v>
      </c>
      <c r="T264" s="20">
        <f t="shared" si="74"/>
        <v>6.7683005785403241E-7</v>
      </c>
      <c r="U264" s="20">
        <f t="shared" si="75"/>
        <v>3.8528247183288129E-2</v>
      </c>
      <c r="V264" s="21">
        <f t="shared" si="76"/>
        <v>351280679.74804264</v>
      </c>
      <c r="W264" s="21" t="str">
        <f t="shared" si="77"/>
        <v/>
      </c>
      <c r="X264" s="19" t="str">
        <f t="shared" si="78"/>
        <v/>
      </c>
      <c r="Y264" s="17">
        <f t="shared" si="79"/>
        <v>1268.7685682650024</v>
      </c>
      <c r="Z264" s="17">
        <f t="shared" si="80"/>
        <v>186095.69128755751</v>
      </c>
      <c r="AA264" s="20">
        <f t="shared" si="81"/>
        <v>4.9718262864640136E-2</v>
      </c>
      <c r="AB264" s="17">
        <f t="shared" si="82"/>
        <v>186095.69128755751</v>
      </c>
      <c r="AC264" s="18">
        <f t="shared" si="83"/>
        <v>4349973.8605347592</v>
      </c>
      <c r="AD264" s="19">
        <f t="shared" si="84"/>
        <v>6.77166080078006E-3</v>
      </c>
    </row>
    <row r="265" spans="1:30" x14ac:dyDescent="0.25">
      <c r="A265" s="8">
        <v>414</v>
      </c>
      <c r="B265" s="9">
        <v>44978</v>
      </c>
      <c r="C265" s="10">
        <v>2.541666666666667</v>
      </c>
      <c r="D265" s="11">
        <v>187261.7503895775</v>
      </c>
      <c r="E265" s="11">
        <v>2515.0821204050062</v>
      </c>
      <c r="F265" s="11">
        <v>7.1982460110001094</v>
      </c>
      <c r="G265" s="11">
        <v>75149.173887351004</v>
      </c>
      <c r="H265" s="12">
        <v>6.9356411456782049E-2</v>
      </c>
      <c r="I265" s="13">
        <v>3152</v>
      </c>
      <c r="J265" s="13">
        <v>455646</v>
      </c>
      <c r="K265" s="12">
        <v>7.6493867891538656E-2</v>
      </c>
      <c r="L265" s="14">
        <v>25.479652777777769</v>
      </c>
      <c r="M265" s="15"/>
      <c r="N265" s="16">
        <f t="shared" si="68"/>
        <v>112112.5765022265</v>
      </c>
      <c r="O265" s="17">
        <f t="shared" si="69"/>
        <v>189784.0307559935</v>
      </c>
      <c r="P265" s="18">
        <f t="shared" si="70"/>
        <v>4835631.2064298112</v>
      </c>
      <c r="Q265" s="19">
        <f t="shared" si="71"/>
        <v>1.3252337988535309E-2</v>
      </c>
      <c r="R265" s="20">
        <f t="shared" si="72"/>
        <v>6.9356411456782049E-2</v>
      </c>
      <c r="S265" s="20">
        <f t="shared" si="73"/>
        <v>1.0273767016189296E-3</v>
      </c>
      <c r="T265" s="20">
        <f t="shared" si="74"/>
        <v>2.9403852002383275E-6</v>
      </c>
      <c r="U265" s="20">
        <f t="shared" si="75"/>
        <v>7.7524184978357821E-2</v>
      </c>
      <c r="V265" s="21">
        <f t="shared" si="76"/>
        <v>351798585.06523663</v>
      </c>
      <c r="W265" s="21" t="str">
        <f t="shared" si="77"/>
        <v/>
      </c>
      <c r="X265" s="19" t="str">
        <f t="shared" si="78"/>
        <v/>
      </c>
      <c r="Y265" s="17">
        <f t="shared" si="79"/>
        <v>1257.5410602025031</v>
      </c>
      <c r="Z265" s="17">
        <f t="shared" si="80"/>
        <v>186004.20932937501</v>
      </c>
      <c r="AA265" s="20">
        <f t="shared" si="81"/>
        <v>4.9651940332198531E-2</v>
      </c>
      <c r="AB265" s="17">
        <f t="shared" si="82"/>
        <v>186004.20932937501</v>
      </c>
      <c r="AC265" s="18">
        <f t="shared" si="83"/>
        <v>4739322.6689175675</v>
      </c>
      <c r="AD265" s="19">
        <f t="shared" si="84"/>
        <v>6.7154186991541364E-3</v>
      </c>
    </row>
    <row r="266" spans="1:30" x14ac:dyDescent="0.25">
      <c r="A266" s="8">
        <v>415</v>
      </c>
      <c r="B266" s="9">
        <v>44980</v>
      </c>
      <c r="C266" s="10">
        <v>2.541666666666667</v>
      </c>
      <c r="D266" s="11">
        <v>187159.04758807251</v>
      </c>
      <c r="E266" s="11">
        <v>2526.4494508300031</v>
      </c>
      <c r="F266" s="11">
        <v>5.40229023299998</v>
      </c>
      <c r="G266" s="11">
        <v>75362.822543057002</v>
      </c>
      <c r="H266" s="12">
        <v>6.9396301322447257E-2</v>
      </c>
      <c r="I266" s="13">
        <v>3172</v>
      </c>
      <c r="J266" s="13">
        <v>454499</v>
      </c>
      <c r="K266" s="12">
        <v>7.595867546867556E-2</v>
      </c>
      <c r="L266" s="14">
        <v>24.168368055555622</v>
      </c>
      <c r="M266" s="15"/>
      <c r="N266" s="16">
        <f t="shared" si="68"/>
        <v>111796.22504501551</v>
      </c>
      <c r="O266" s="17">
        <f t="shared" si="69"/>
        <v>189690.89932913551</v>
      </c>
      <c r="P266" s="18">
        <f t="shared" si="70"/>
        <v>4584519.4717758959</v>
      </c>
      <c r="Q266" s="19">
        <f t="shared" si="71"/>
        <v>1.3318769955570313E-2</v>
      </c>
      <c r="R266" s="20">
        <f t="shared" si="72"/>
        <v>6.9396301322447257E-2</v>
      </c>
      <c r="S266" s="20">
        <f t="shared" si="73"/>
        <v>1.0253618855017074E-3</v>
      </c>
      <c r="T266" s="20">
        <f t="shared" si="74"/>
        <v>2.1925245713966355E-6</v>
      </c>
      <c r="U266" s="20">
        <f t="shared" si="75"/>
        <v>7.698622987874866E-2</v>
      </c>
      <c r="V266" s="21">
        <f t="shared" si="76"/>
        <v>354082998.77253485</v>
      </c>
      <c r="W266" s="21" t="str">
        <f t="shared" si="77"/>
        <v/>
      </c>
      <c r="X266" s="19" t="str">
        <f t="shared" si="78"/>
        <v/>
      </c>
      <c r="Y266" s="17">
        <f t="shared" si="79"/>
        <v>1263.2247254150016</v>
      </c>
      <c r="Z266" s="17">
        <f t="shared" si="80"/>
        <v>185895.82286265751</v>
      </c>
      <c r="AA266" s="20">
        <f t="shared" si="81"/>
        <v>4.9607774469016722E-2</v>
      </c>
      <c r="AB266" s="17">
        <f t="shared" si="82"/>
        <v>185895.82286265751</v>
      </c>
      <c r="AC266" s="18">
        <f t="shared" si="83"/>
        <v>4492798.6669350779</v>
      </c>
      <c r="AD266" s="19">
        <f t="shared" si="84"/>
        <v>6.7494718620031372E-3</v>
      </c>
    </row>
    <row r="267" spans="1:30" x14ac:dyDescent="0.25">
      <c r="A267" s="8">
        <v>416</v>
      </c>
      <c r="B267" s="9">
        <v>44984</v>
      </c>
      <c r="C267" s="10">
        <v>3.25</v>
      </c>
      <c r="D267" s="11">
        <v>187056.33994884911</v>
      </c>
      <c r="E267" s="11">
        <v>2687.8739933360048</v>
      </c>
      <c r="F267" s="11">
        <v>5.9464342830000616</v>
      </c>
      <c r="G267" s="11">
        <v>75039.256422296996</v>
      </c>
      <c r="H267" s="12">
        <v>6.9429714442146573E-2</v>
      </c>
      <c r="I267" s="13">
        <v>3173</v>
      </c>
      <c r="J267" s="13">
        <v>460345</v>
      </c>
      <c r="K267" s="12">
        <v>5.9287268728488107E-2</v>
      </c>
      <c r="L267" s="14">
        <v>22.876597222222301</v>
      </c>
      <c r="M267" s="15"/>
      <c r="N267" s="16">
        <f t="shared" si="68"/>
        <v>112017.08352655212</v>
      </c>
      <c r="O267" s="17">
        <f t="shared" si="69"/>
        <v>189750.16037646809</v>
      </c>
      <c r="P267" s="18">
        <f t="shared" si="70"/>
        <v>4340837.9917845465</v>
      </c>
      <c r="Q267" s="19">
        <f t="shared" si="71"/>
        <v>1.4165331865876736E-2</v>
      </c>
      <c r="R267" s="20">
        <f t="shared" si="72"/>
        <v>6.9429714442146573E-2</v>
      </c>
      <c r="S267" s="20">
        <f t="shared" si="73"/>
        <v>8.5191823915084909E-4</v>
      </c>
      <c r="T267" s="20">
        <f t="shared" si="74"/>
        <v>1.8847147731476195E-6</v>
      </c>
      <c r="U267" s="20">
        <f t="shared" si="75"/>
        <v>6.014107168241211E-2</v>
      </c>
      <c r="V267" s="21">
        <f t="shared" si="76"/>
        <v>354582952.9890939</v>
      </c>
      <c r="W267" s="21" t="str">
        <f t="shared" si="77"/>
        <v/>
      </c>
      <c r="X267" s="19" t="str">
        <f t="shared" si="78"/>
        <v/>
      </c>
      <c r="Y267" s="17">
        <f t="shared" si="79"/>
        <v>1343.9369966680024</v>
      </c>
      <c r="Z267" s="17">
        <f t="shared" si="80"/>
        <v>185712.40295218112</v>
      </c>
      <c r="AA267" s="20">
        <f t="shared" si="81"/>
        <v>4.9519560565547335E-2</v>
      </c>
      <c r="AB267" s="17">
        <f t="shared" si="82"/>
        <v>185712.40295218112</v>
      </c>
      <c r="AC267" s="18">
        <f t="shared" si="83"/>
        <v>4248467.8415080952</v>
      </c>
      <c r="AD267" s="19">
        <f t="shared" si="84"/>
        <v>7.1846642409206995E-3</v>
      </c>
    </row>
    <row r="268" spans="1:30" x14ac:dyDescent="0.25">
      <c r="A268" s="8">
        <v>417</v>
      </c>
      <c r="B268" s="9">
        <v>44986</v>
      </c>
      <c r="C268" s="10">
        <v>2.375</v>
      </c>
      <c r="D268" s="11">
        <v>186953.57577476499</v>
      </c>
      <c r="E268" s="11">
        <v>2731.1007615059989</v>
      </c>
      <c r="F268" s="11">
        <v>6.5857223210005484</v>
      </c>
      <c r="G268" s="11">
        <v>74203.193711633998</v>
      </c>
      <c r="H268" s="12">
        <v>7.0156162351604337E-2</v>
      </c>
      <c r="I268" s="13">
        <v>3175</v>
      </c>
      <c r="J268" s="13">
        <v>458335</v>
      </c>
      <c r="K268" s="12">
        <v>8.1075906792389227E-2</v>
      </c>
      <c r="L268" s="14">
        <v>22.46208333333335</v>
      </c>
      <c r="M268" s="15"/>
      <c r="N268" s="16">
        <f t="shared" si="68"/>
        <v>112750.38206313099</v>
      </c>
      <c r="O268" s="17">
        <f t="shared" si="69"/>
        <v>189691.262258592</v>
      </c>
      <c r="P268" s="18">
        <f t="shared" si="70"/>
        <v>4260860.9404576849</v>
      </c>
      <c r="Q268" s="19">
        <f t="shared" si="71"/>
        <v>1.4397609721120903E-2</v>
      </c>
      <c r="R268" s="20">
        <f t="shared" si="72"/>
        <v>7.0156162351604337E-2</v>
      </c>
      <c r="S268" s="20">
        <f t="shared" si="73"/>
        <v>1.1843928090856648E-3</v>
      </c>
      <c r="T268" s="20">
        <f t="shared" si="74"/>
        <v>2.8560213777417863E-6</v>
      </c>
      <c r="U268" s="20">
        <f t="shared" si="75"/>
        <v>8.2263155622852635E-2</v>
      </c>
      <c r="V268" s="21">
        <f t="shared" si="76"/>
        <v>354624365.72440833</v>
      </c>
      <c r="W268" s="21" t="str">
        <f t="shared" si="77"/>
        <v/>
      </c>
      <c r="X268" s="19" t="str">
        <f t="shared" si="78"/>
        <v/>
      </c>
      <c r="Y268" s="17">
        <f t="shared" si="79"/>
        <v>1365.5503807529994</v>
      </c>
      <c r="Z268" s="17">
        <f t="shared" si="80"/>
        <v>185588.02539401199</v>
      </c>
      <c r="AA268" s="20">
        <f t="shared" si="81"/>
        <v>4.9475512455400418E-2</v>
      </c>
      <c r="AB268" s="17">
        <f t="shared" si="82"/>
        <v>185588.02539401199</v>
      </c>
      <c r="AC268" s="18">
        <f t="shared" si="83"/>
        <v>4168693.692069083</v>
      </c>
      <c r="AD268" s="19">
        <f t="shared" si="84"/>
        <v>7.3042217839051436E-3</v>
      </c>
    </row>
    <row r="269" spans="1:30" x14ac:dyDescent="0.25">
      <c r="A269" s="8">
        <v>418</v>
      </c>
      <c r="B269" s="9">
        <v>44988</v>
      </c>
      <c r="C269" s="10">
        <v>2.333333333333333</v>
      </c>
      <c r="D269" s="11">
        <v>186850.79611508359</v>
      </c>
      <c r="E269" s="11">
        <v>2723.6062717599989</v>
      </c>
      <c r="F269" s="11">
        <v>6.3622923090001224</v>
      </c>
      <c r="G269" s="11">
        <v>73108.627341647996</v>
      </c>
      <c r="H269" s="12">
        <v>6.9773580151034187E-2</v>
      </c>
      <c r="I269" s="13">
        <v>3175</v>
      </c>
      <c r="J269" s="13">
        <v>464062</v>
      </c>
      <c r="K269" s="12">
        <v>8.2301501863273854E-2</v>
      </c>
      <c r="L269" s="14">
        <v>21.222847222222271</v>
      </c>
      <c r="M269" s="15"/>
      <c r="N269" s="16">
        <f t="shared" si="68"/>
        <v>113742.16877343559</v>
      </c>
      <c r="O269" s="17">
        <f t="shared" si="69"/>
        <v>189580.76467915258</v>
      </c>
      <c r="P269" s="18">
        <f t="shared" si="70"/>
        <v>4023443.6050577271</v>
      </c>
      <c r="Q269" s="19">
        <f t="shared" si="71"/>
        <v>1.436646949055957E-2</v>
      </c>
      <c r="R269" s="20">
        <f t="shared" si="72"/>
        <v>6.9773580151034187E-2</v>
      </c>
      <c r="S269" s="20">
        <f t="shared" si="73"/>
        <v>1.1996571131118921E-3</v>
      </c>
      <c r="T269" s="20">
        <f t="shared" si="74"/>
        <v>2.802376137596754E-6</v>
      </c>
      <c r="U269" s="20">
        <f t="shared" si="75"/>
        <v>8.3503961352523345E-2</v>
      </c>
      <c r="V269" s="21">
        <f t="shared" si="76"/>
        <v>355386258.72611141</v>
      </c>
      <c r="W269" s="21" t="str">
        <f t="shared" si="77"/>
        <v/>
      </c>
      <c r="X269" s="19" t="str">
        <f t="shared" si="78"/>
        <v/>
      </c>
      <c r="Y269" s="17">
        <f t="shared" si="79"/>
        <v>1361.8031358799994</v>
      </c>
      <c r="Z269" s="17">
        <f t="shared" si="80"/>
        <v>185488.99297920358</v>
      </c>
      <c r="AA269" s="20">
        <f t="shared" si="81"/>
        <v>4.9431503526457546E-2</v>
      </c>
      <c r="AB269" s="17">
        <f t="shared" si="82"/>
        <v>185488.99297920358</v>
      </c>
      <c r="AC269" s="18">
        <f t="shared" si="83"/>
        <v>3936604.5594014972</v>
      </c>
      <c r="AD269" s="19">
        <f t="shared" si="84"/>
        <v>7.2881848201559116E-3</v>
      </c>
    </row>
    <row r="270" spans="1:30" x14ac:dyDescent="0.25">
      <c r="A270" s="8">
        <v>419</v>
      </c>
      <c r="B270" s="9">
        <v>44991</v>
      </c>
      <c r="C270" s="10">
        <v>2.333333333333333</v>
      </c>
      <c r="D270" s="11">
        <v>186748.0184896125</v>
      </c>
      <c r="E270" s="11">
        <v>2699.880623032001</v>
      </c>
      <c r="F270" s="11">
        <v>6.1600435810000311</v>
      </c>
      <c r="G270" s="11">
        <v>72541.748808100994</v>
      </c>
      <c r="H270" s="12">
        <v>7.1136513298353507E-2</v>
      </c>
      <c r="I270" s="13">
        <v>3176</v>
      </c>
      <c r="J270" s="13">
        <v>466376</v>
      </c>
      <c r="K270" s="12">
        <v>8.3174942466159765E-2</v>
      </c>
      <c r="L270" s="14">
        <v>20.823402777777758</v>
      </c>
      <c r="M270" s="15"/>
      <c r="N270" s="16">
        <f t="shared" si="68"/>
        <v>114206.26968151151</v>
      </c>
      <c r="O270" s="17">
        <f t="shared" si="69"/>
        <v>189454.0591562255</v>
      </c>
      <c r="P270" s="18">
        <f t="shared" si="70"/>
        <v>3945078.181695018</v>
      </c>
      <c r="Q270" s="19">
        <f t="shared" si="71"/>
        <v>1.4250846010143575E-2</v>
      </c>
      <c r="R270" s="20">
        <f t="shared" si="72"/>
        <v>7.1136513298353507E-2</v>
      </c>
      <c r="S270" s="20">
        <f t="shared" si="73"/>
        <v>1.2024888794130745E-3</v>
      </c>
      <c r="T270" s="20">
        <f t="shared" si="74"/>
        <v>2.7435968241195208E-6</v>
      </c>
      <c r="U270" s="20">
        <f t="shared" si="75"/>
        <v>8.4380174942396954E-2</v>
      </c>
      <c r="V270" s="21">
        <f t="shared" si="76"/>
        <v>351460831.81971288</v>
      </c>
      <c r="W270" s="21" t="str">
        <f t="shared" si="77"/>
        <v/>
      </c>
      <c r="X270" s="19" t="str">
        <f t="shared" si="78"/>
        <v/>
      </c>
      <c r="Y270" s="17">
        <f t="shared" si="79"/>
        <v>1349.9403115160005</v>
      </c>
      <c r="Z270" s="17">
        <f t="shared" si="80"/>
        <v>185398.0781780965</v>
      </c>
      <c r="AA270" s="20">
        <f t="shared" si="81"/>
        <v>4.9365563521570482E-2</v>
      </c>
      <c r="AB270" s="17">
        <f t="shared" si="82"/>
        <v>185398.0781780965</v>
      </c>
      <c r="AC270" s="18">
        <f t="shared" si="83"/>
        <v>3860618.8561284328</v>
      </c>
      <c r="AD270" s="19">
        <f t="shared" si="84"/>
        <v>7.2286727454143693E-3</v>
      </c>
    </row>
    <row r="271" spans="1:30" x14ac:dyDescent="0.25">
      <c r="A271" s="8">
        <v>420</v>
      </c>
      <c r="B271" s="9">
        <v>44993</v>
      </c>
      <c r="C271" s="10">
        <v>2.333333333333333</v>
      </c>
      <c r="D271" s="11">
        <v>186645.24872318521</v>
      </c>
      <c r="E271" s="11">
        <v>2732.735127647004</v>
      </c>
      <c r="F271" s="11">
        <v>6.9380275740003086</v>
      </c>
      <c r="G271" s="11">
        <v>70394.686312046004</v>
      </c>
      <c r="H271" s="12">
        <v>7.1239982139969266E-2</v>
      </c>
      <c r="I271" s="13">
        <v>3176</v>
      </c>
      <c r="J271" s="13">
        <v>472253</v>
      </c>
      <c r="K271" s="12">
        <v>8.301725212148145E-2</v>
      </c>
      <c r="L271" s="14">
        <v>19.305972222222209</v>
      </c>
      <c r="M271" s="15"/>
      <c r="N271" s="16">
        <f t="shared" si="68"/>
        <v>116250.56241113921</v>
      </c>
      <c r="O271" s="17">
        <f t="shared" si="69"/>
        <v>189384.92187840623</v>
      </c>
      <c r="P271" s="18">
        <f t="shared" si="70"/>
        <v>3656260.0410922337</v>
      </c>
      <c r="Q271" s="19">
        <f t="shared" si="71"/>
        <v>1.4429528499642357E-2</v>
      </c>
      <c r="R271" s="20">
        <f t="shared" si="72"/>
        <v>7.1239982139969266E-2</v>
      </c>
      <c r="S271" s="20">
        <f t="shared" si="73"/>
        <v>1.2154831833386974E-3</v>
      </c>
      <c r="T271" s="20">
        <f t="shared" si="74"/>
        <v>3.0859397079579973E-6</v>
      </c>
      <c r="U271" s="20">
        <f t="shared" si="75"/>
        <v>8.4235821244528108E-2</v>
      </c>
      <c r="V271" s="21">
        <f t="shared" si="76"/>
        <v>351934647.07992345</v>
      </c>
      <c r="W271" s="21" t="str">
        <f t="shared" si="77"/>
        <v/>
      </c>
      <c r="X271" s="19" t="str">
        <f t="shared" si="78"/>
        <v/>
      </c>
      <c r="Y271" s="17">
        <f t="shared" si="79"/>
        <v>1366.367563823502</v>
      </c>
      <c r="Z271" s="17">
        <f t="shared" si="80"/>
        <v>185278.88115936171</v>
      </c>
      <c r="AA271" s="20">
        <f t="shared" si="81"/>
        <v>4.9321652393227881E-2</v>
      </c>
      <c r="AB271" s="17">
        <f t="shared" si="82"/>
        <v>185278.88115936171</v>
      </c>
      <c r="AC271" s="18">
        <f t="shared" si="83"/>
        <v>3576988.9330270472</v>
      </c>
      <c r="AD271" s="19">
        <f t="shared" si="84"/>
        <v>7.3206662005630297E-3</v>
      </c>
    </row>
    <row r="272" spans="1:30" x14ac:dyDescent="0.25">
      <c r="A272" s="8">
        <v>421</v>
      </c>
      <c r="B272" s="9">
        <v>44995</v>
      </c>
      <c r="C272" s="10">
        <v>2.375</v>
      </c>
      <c r="D272" s="11">
        <v>186542.46733158291</v>
      </c>
      <c r="E272" s="11">
        <v>3283.4122690309969</v>
      </c>
      <c r="F272" s="11">
        <v>49.803100875999903</v>
      </c>
      <c r="G272" s="11">
        <v>70240.879430147004</v>
      </c>
      <c r="H272" s="12">
        <v>7.1469527918561357E-2</v>
      </c>
      <c r="I272" s="13">
        <v>3178</v>
      </c>
      <c r="J272" s="13">
        <v>472666</v>
      </c>
      <c r="K272" s="12">
        <v>8.1557474737526753E-2</v>
      </c>
      <c r="L272" s="14">
        <v>17.266006944444442</v>
      </c>
      <c r="M272" s="15"/>
      <c r="N272" s="16">
        <f t="shared" si="68"/>
        <v>116301.58790143591</v>
      </c>
      <c r="O272" s="17">
        <f t="shared" si="69"/>
        <v>189875.68270148989</v>
      </c>
      <c r="P272" s="18">
        <f t="shared" si="70"/>
        <v>3278394.8561050538</v>
      </c>
      <c r="Q272" s="19">
        <f t="shared" si="71"/>
        <v>1.7292431670636637E-2</v>
      </c>
      <c r="R272" s="20">
        <f t="shared" si="72"/>
        <v>7.1469527918561357E-2</v>
      </c>
      <c r="S272" s="20">
        <f t="shared" si="73"/>
        <v>1.4355273467482586E-3</v>
      </c>
      <c r="T272" s="20">
        <f t="shared" si="74"/>
        <v>2.1774211522167239E-5</v>
      </c>
      <c r="U272" s="20">
        <f t="shared" si="75"/>
        <v>8.3014776295797177E-2</v>
      </c>
      <c r="V272" s="21">
        <f t="shared" si="76"/>
        <v>351755224.92579013</v>
      </c>
      <c r="W272" s="21" t="str">
        <f t="shared" si="77"/>
        <v/>
      </c>
      <c r="X272" s="19" t="str">
        <f t="shared" si="78"/>
        <v/>
      </c>
      <c r="Y272" s="17">
        <f t="shared" si="79"/>
        <v>1641.7061345154984</v>
      </c>
      <c r="Z272" s="17">
        <f t="shared" si="80"/>
        <v>184900.76119706742</v>
      </c>
      <c r="AA272" s="20">
        <f t="shared" si="81"/>
        <v>4.9277780324242737E-2</v>
      </c>
      <c r="AB272" s="17">
        <f t="shared" si="82"/>
        <v>184900.76119706742</v>
      </c>
      <c r="AC272" s="18">
        <f t="shared" si="83"/>
        <v>3192497.8268616293</v>
      </c>
      <c r="AD272" s="19">
        <f t="shared" si="84"/>
        <v>8.8007098758768609E-3</v>
      </c>
    </row>
    <row r="273" spans="1:30" x14ac:dyDescent="0.25">
      <c r="A273" s="8">
        <v>422</v>
      </c>
      <c r="B273" s="9">
        <v>44998</v>
      </c>
      <c r="C273" s="10">
        <v>2.333333333333333</v>
      </c>
      <c r="D273" s="11">
        <v>186439.49662865419</v>
      </c>
      <c r="E273" s="11">
        <v>2497.2470528950048</v>
      </c>
      <c r="F273" s="11">
        <v>9.6241957340003772</v>
      </c>
      <c r="G273" s="11">
        <v>69471.615585153006</v>
      </c>
      <c r="H273" s="12">
        <v>7.1610379129841542E-2</v>
      </c>
      <c r="I273" s="13">
        <v>3180</v>
      </c>
      <c r="J273" s="13">
        <v>479889</v>
      </c>
      <c r="K273" s="12">
        <v>8.3460314760727669E-2</v>
      </c>
      <c r="L273" s="14">
        <v>20.025625000000009</v>
      </c>
      <c r="M273" s="15"/>
      <c r="N273" s="16">
        <f t="shared" si="68"/>
        <v>116967.88104350118</v>
      </c>
      <c r="O273" s="17">
        <f t="shared" si="69"/>
        <v>188946.36787728319</v>
      </c>
      <c r="P273" s="18">
        <f t="shared" si="70"/>
        <v>3783769.1082225209</v>
      </c>
      <c r="Q273" s="19">
        <f t="shared" si="71"/>
        <v>1.3216697843680783E-2</v>
      </c>
      <c r="R273" s="20">
        <f t="shared" si="72"/>
        <v>7.1610379129841542E-2</v>
      </c>
      <c r="S273" s="20">
        <f t="shared" si="73"/>
        <v>1.1179016723320422E-3</v>
      </c>
      <c r="T273" s="20">
        <f t="shared" si="74"/>
        <v>4.3083060177876119E-6</v>
      </c>
      <c r="U273" s="20">
        <f t="shared" si="75"/>
        <v>8.45825247390775E-2</v>
      </c>
      <c r="V273" s="21">
        <f t="shared" si="76"/>
        <v>349680442.24975979</v>
      </c>
      <c r="W273" s="21" t="str">
        <f t="shared" si="77"/>
        <v/>
      </c>
      <c r="X273" s="19" t="str">
        <f t="shared" si="78"/>
        <v/>
      </c>
      <c r="Y273" s="17">
        <f t="shared" si="79"/>
        <v>1248.6235264475024</v>
      </c>
      <c r="Z273" s="17">
        <f t="shared" si="80"/>
        <v>185190.87310220668</v>
      </c>
      <c r="AA273" s="20">
        <f t="shared" si="81"/>
        <v>4.9212045381066986E-2</v>
      </c>
      <c r="AB273" s="17">
        <f t="shared" si="82"/>
        <v>185190.87310220668</v>
      </c>
      <c r="AC273" s="18">
        <f t="shared" si="83"/>
        <v>3708562.9781673793</v>
      </c>
      <c r="AD273" s="19">
        <f t="shared" si="84"/>
        <v>6.6972049862078385E-3</v>
      </c>
    </row>
    <row r="274" spans="1:30" x14ac:dyDescent="0.25">
      <c r="A274" s="8">
        <v>423</v>
      </c>
      <c r="B274" s="9">
        <v>45000</v>
      </c>
      <c r="C274" s="10">
        <v>2.333333333333333</v>
      </c>
      <c r="D274" s="11">
        <v>186336.79600282121</v>
      </c>
      <c r="E274" s="11">
        <v>2303.0671823180078</v>
      </c>
      <c r="F274" s="11">
        <v>16.665739220000319</v>
      </c>
      <c r="G274" s="11">
        <v>68676.534709411004</v>
      </c>
      <c r="H274" s="12">
        <v>7.1714418983621714E-2</v>
      </c>
      <c r="I274" s="13">
        <v>3182</v>
      </c>
      <c r="J274" s="13">
        <v>481189</v>
      </c>
      <c r="K274" s="12">
        <v>8.3254324472714483E-2</v>
      </c>
      <c r="L274" s="14">
        <v>20.314548611111121</v>
      </c>
      <c r="M274" s="15"/>
      <c r="N274" s="16">
        <f t="shared" si="68"/>
        <v>117660.26129341021</v>
      </c>
      <c r="O274" s="17">
        <f t="shared" si="69"/>
        <v>188656.52892435924</v>
      </c>
      <c r="P274" s="18">
        <f t="shared" si="70"/>
        <v>3832472.2276373869</v>
      </c>
      <c r="Q274" s="19">
        <f t="shared" si="71"/>
        <v>1.2207725836201564E-2</v>
      </c>
      <c r="R274" s="20">
        <f t="shared" si="72"/>
        <v>7.1714418983621714E-2</v>
      </c>
      <c r="S274" s="20">
        <f t="shared" si="73"/>
        <v>1.0289986014155824E-3</v>
      </c>
      <c r="T274" s="20">
        <f t="shared" si="74"/>
        <v>7.4461667816728098E-6</v>
      </c>
      <c r="U274" s="20">
        <f t="shared" si="75"/>
        <v>8.4290769240911737E-2</v>
      </c>
      <c r="V274" s="21">
        <f t="shared" si="76"/>
        <v>350352532.97349864</v>
      </c>
      <c r="W274" s="21" t="str">
        <f t="shared" si="77"/>
        <v/>
      </c>
      <c r="X274" s="19" t="str">
        <f t="shared" si="78"/>
        <v/>
      </c>
      <c r="Y274" s="17">
        <f t="shared" si="79"/>
        <v>1151.5335911590039</v>
      </c>
      <c r="Z274" s="17">
        <f t="shared" si="80"/>
        <v>185185.2624116622</v>
      </c>
      <c r="AA274" s="20">
        <f t="shared" si="81"/>
        <v>4.9168270808539596E-2</v>
      </c>
      <c r="AB274" s="17">
        <f t="shared" si="82"/>
        <v>185185.2624116622</v>
      </c>
      <c r="AC274" s="18">
        <f t="shared" si="83"/>
        <v>3761955.0153230811</v>
      </c>
      <c r="AD274" s="19">
        <f t="shared" si="84"/>
        <v>6.1798507641054922E-3</v>
      </c>
    </row>
    <row r="275" spans="1:30" x14ac:dyDescent="0.25">
      <c r="A275" s="8">
        <v>424</v>
      </c>
      <c r="B275" s="9">
        <v>45002</v>
      </c>
      <c r="C275" s="10">
        <v>2.333333333333333</v>
      </c>
      <c r="D275" s="11">
        <v>186234.1619791656</v>
      </c>
      <c r="E275" s="11">
        <v>2156.337511502004</v>
      </c>
      <c r="F275" s="11">
        <v>8.2595859380003329</v>
      </c>
      <c r="G275" s="11">
        <v>67957.349348792995</v>
      </c>
      <c r="H275" s="12">
        <v>7.1845620151250761E-2</v>
      </c>
      <c r="I275" s="13">
        <v>3184</v>
      </c>
      <c r="J275" s="13">
        <v>488094</v>
      </c>
      <c r="K275" s="12">
        <v>8.3238660927050012E-2</v>
      </c>
      <c r="L275" s="14">
        <v>20.260312500000001</v>
      </c>
      <c r="M275" s="15"/>
      <c r="N275" s="16">
        <f t="shared" si="68"/>
        <v>118276.8126303726</v>
      </c>
      <c r="O275" s="17">
        <f t="shared" si="69"/>
        <v>188398.75907660561</v>
      </c>
      <c r="P275" s="18">
        <f t="shared" si="70"/>
        <v>3817017.7335042413</v>
      </c>
      <c r="Q275" s="19">
        <f t="shared" si="71"/>
        <v>1.1445603580781583E-2</v>
      </c>
      <c r="R275" s="20">
        <f t="shared" si="72"/>
        <v>7.1845620151250761E-2</v>
      </c>
      <c r="S275" s="20">
        <f t="shared" si="73"/>
        <v>9.6379012881790248E-4</v>
      </c>
      <c r="T275" s="20">
        <f t="shared" si="74"/>
        <v>3.6916796896154529E-6</v>
      </c>
      <c r="U275" s="20">
        <f t="shared" si="75"/>
        <v>8.4206142735557529E-2</v>
      </c>
      <c r="V275" s="21">
        <f t="shared" si="76"/>
        <v>350225451.07205707</v>
      </c>
      <c r="W275" s="21" t="str">
        <f t="shared" si="77"/>
        <v/>
      </c>
      <c r="X275" s="19" t="str">
        <f t="shared" si="78"/>
        <v/>
      </c>
      <c r="Y275" s="17">
        <f t="shared" si="79"/>
        <v>1078.168755751002</v>
      </c>
      <c r="Z275" s="17">
        <f t="shared" si="80"/>
        <v>185155.99322341458</v>
      </c>
      <c r="AA275" s="20">
        <f t="shared" si="81"/>
        <v>4.9124535173902015E-2</v>
      </c>
      <c r="AB275" s="17">
        <f t="shared" si="82"/>
        <v>185155.99322341458</v>
      </c>
      <c r="AC275" s="18">
        <f t="shared" si="83"/>
        <v>3751318.2839542618</v>
      </c>
      <c r="AD275" s="19">
        <f t="shared" si="84"/>
        <v>5.7893178367115E-3</v>
      </c>
    </row>
    <row r="276" spans="1:30" x14ac:dyDescent="0.25">
      <c r="A276" s="8">
        <v>425</v>
      </c>
      <c r="B276" s="9">
        <v>45005</v>
      </c>
      <c r="C276" s="10">
        <v>2.25</v>
      </c>
      <c r="D276" s="11">
        <v>186131.56564333511</v>
      </c>
      <c r="E276" s="11">
        <v>2191.149965233004</v>
      </c>
      <c r="F276" s="11">
        <v>8.0590358380000406</v>
      </c>
      <c r="G276" s="11">
        <v>67518.107405039002</v>
      </c>
      <c r="H276" s="12">
        <v>7.1963988648080762E-2</v>
      </c>
      <c r="I276" s="13">
        <v>3179</v>
      </c>
      <c r="J276" s="13">
        <v>487146</v>
      </c>
      <c r="K276" s="12">
        <v>8.6396908907541842E-2</v>
      </c>
      <c r="L276" s="14">
        <v>22.760173611111121</v>
      </c>
      <c r="M276" s="15"/>
      <c r="N276" s="16">
        <f t="shared" si="68"/>
        <v>118613.45823829611</v>
      </c>
      <c r="O276" s="17">
        <f t="shared" si="69"/>
        <v>188330.7746444061</v>
      </c>
      <c r="P276" s="18">
        <f t="shared" si="70"/>
        <v>4286441.1272217268</v>
      </c>
      <c r="Q276" s="19">
        <f t="shared" si="71"/>
        <v>1.1634582661119462E-2</v>
      </c>
      <c r="R276" s="20">
        <f t="shared" si="72"/>
        <v>7.1963988648080762E-2</v>
      </c>
      <c r="S276" s="20">
        <f t="shared" si="73"/>
        <v>1.0170686701886558E-3</v>
      </c>
      <c r="T276" s="20">
        <f t="shared" si="74"/>
        <v>3.7407721939679313E-6</v>
      </c>
      <c r="U276" s="20">
        <f t="shared" si="75"/>
        <v>8.7417718349924456E-2</v>
      </c>
      <c r="V276" s="21">
        <f t="shared" si="76"/>
        <v>349727297.7875849</v>
      </c>
      <c r="W276" s="21" t="str">
        <f t="shared" si="77"/>
        <v/>
      </c>
      <c r="X276" s="19" t="str">
        <f t="shared" si="78"/>
        <v/>
      </c>
      <c r="Y276" s="17">
        <f t="shared" si="79"/>
        <v>1095.574982616502</v>
      </c>
      <c r="Z276" s="17">
        <f t="shared" si="80"/>
        <v>185035.99066071861</v>
      </c>
      <c r="AA276" s="20">
        <f t="shared" si="81"/>
        <v>4.9059004654732029E-2</v>
      </c>
      <c r="AB276" s="17">
        <f t="shared" si="82"/>
        <v>185035.99066071861</v>
      </c>
      <c r="AC276" s="18">
        <f t="shared" si="83"/>
        <v>4211451.2717418913</v>
      </c>
      <c r="AD276" s="19">
        <f t="shared" si="84"/>
        <v>5.8860246451471875E-3</v>
      </c>
    </row>
    <row r="277" spans="1:30" x14ac:dyDescent="0.25">
      <c r="A277" s="8">
        <v>426</v>
      </c>
      <c r="B277" s="9">
        <v>45007</v>
      </c>
      <c r="C277" s="10">
        <v>2.291666666666667</v>
      </c>
      <c r="D277" s="11">
        <v>186028.96998644841</v>
      </c>
      <c r="E277" s="11">
        <v>2101.236845570003</v>
      </c>
      <c r="F277" s="11">
        <v>12.796620535999949</v>
      </c>
      <c r="G277" s="11">
        <v>67337.621565063004</v>
      </c>
      <c r="H277" s="12">
        <v>7.2210460003718682E-2</v>
      </c>
      <c r="I277" s="13">
        <v>3184</v>
      </c>
      <c r="J277" s="13">
        <v>501357</v>
      </c>
      <c r="K277" s="12">
        <v>8.2853605152442708E-2</v>
      </c>
      <c r="L277" s="14">
        <v>22.285590277777771</v>
      </c>
      <c r="M277" s="15"/>
      <c r="N277" s="16">
        <f t="shared" si="68"/>
        <v>118691.34842138541</v>
      </c>
      <c r="O277" s="17">
        <f t="shared" si="69"/>
        <v>188143.00345255443</v>
      </c>
      <c r="P277" s="18">
        <f t="shared" si="70"/>
        <v>4192877.8885741569</v>
      </c>
      <c r="Q277" s="19">
        <f t="shared" si="71"/>
        <v>1.1168296492619186E-2</v>
      </c>
      <c r="R277" s="20">
        <f t="shared" si="72"/>
        <v>7.2210460003718682E-2</v>
      </c>
      <c r="S277" s="20">
        <f t="shared" si="73"/>
        <v>9.3584912042088658E-4</v>
      </c>
      <c r="T277" s="20">
        <f t="shared" si="74"/>
        <v>5.6993604020525128E-6</v>
      </c>
      <c r="U277" s="20">
        <f t="shared" si="75"/>
        <v>8.3795153633265645E-2</v>
      </c>
      <c r="V277" s="21">
        <f t="shared" si="76"/>
        <v>357855707.2607587</v>
      </c>
      <c r="W277" s="21" t="str">
        <f t="shared" si="77"/>
        <v/>
      </c>
      <c r="X277" s="19" t="str">
        <f t="shared" si="78"/>
        <v/>
      </c>
      <c r="Y277" s="17">
        <f t="shared" si="79"/>
        <v>1050.6184227850015</v>
      </c>
      <c r="Z277" s="17">
        <f t="shared" si="80"/>
        <v>184978.35156366343</v>
      </c>
      <c r="AA277" s="20">
        <f t="shared" si="81"/>
        <v>4.9015366213355518E-2</v>
      </c>
      <c r="AB277" s="17">
        <f t="shared" si="82"/>
        <v>184978.35156366343</v>
      </c>
      <c r="AC277" s="18">
        <f t="shared" si="83"/>
        <v>4122351.7532065362</v>
      </c>
      <c r="AD277" s="19">
        <f t="shared" si="84"/>
        <v>5.647606514520483E-3</v>
      </c>
    </row>
    <row r="278" spans="1:30" x14ac:dyDescent="0.25">
      <c r="A278" s="8">
        <v>427</v>
      </c>
      <c r="B278" s="9">
        <v>45009</v>
      </c>
      <c r="C278" s="10">
        <v>2.291666666666667</v>
      </c>
      <c r="D278" s="11">
        <v>185926.40519675781</v>
      </c>
      <c r="E278" s="11">
        <v>2027.891735896003</v>
      </c>
      <c r="F278" s="11">
        <v>9.1893485580004555</v>
      </c>
      <c r="G278" s="11">
        <v>67258.983584361995</v>
      </c>
      <c r="H278" s="12">
        <v>7.2309561575913242E-2</v>
      </c>
      <c r="I278" s="13">
        <v>3188</v>
      </c>
      <c r="J278" s="13">
        <v>499089</v>
      </c>
      <c r="K278" s="12">
        <v>8.2830848474336E-2</v>
      </c>
      <c r="L278" s="14">
        <v>21.480173611111109</v>
      </c>
      <c r="M278" s="15"/>
      <c r="N278" s="16">
        <f t="shared" si="68"/>
        <v>118667.42161239582</v>
      </c>
      <c r="O278" s="17">
        <f t="shared" si="69"/>
        <v>187963.48628121181</v>
      </c>
      <c r="P278" s="18">
        <f t="shared" si="70"/>
        <v>4037488.3178701308</v>
      </c>
      <c r="Q278" s="19">
        <f t="shared" si="71"/>
        <v>1.0788753581970054E-2</v>
      </c>
      <c r="R278" s="20">
        <f t="shared" si="72"/>
        <v>7.2309561575913242E-2</v>
      </c>
      <c r="S278" s="20">
        <f t="shared" si="73"/>
        <v>9.0343269381561262E-4</v>
      </c>
      <c r="T278" s="20">
        <f t="shared" si="74"/>
        <v>4.0938861652280623E-6</v>
      </c>
      <c r="U278" s="20">
        <f t="shared" si="75"/>
        <v>8.3738375054316833E-2</v>
      </c>
      <c r="V278" s="21">
        <f t="shared" si="76"/>
        <v>357756669.81668276</v>
      </c>
      <c r="W278" s="21" t="str">
        <f t="shared" si="77"/>
        <v/>
      </c>
      <c r="X278" s="19" t="str">
        <f t="shared" si="78"/>
        <v/>
      </c>
      <c r="Y278" s="17">
        <f t="shared" si="79"/>
        <v>1013.9458679480015</v>
      </c>
      <c r="Z278" s="17">
        <f t="shared" si="80"/>
        <v>184912.45932880981</v>
      </c>
      <c r="AA278" s="20">
        <f t="shared" si="81"/>
        <v>4.8971766588778894E-2</v>
      </c>
      <c r="AB278" s="17">
        <f t="shared" si="82"/>
        <v>184912.45932880981</v>
      </c>
      <c r="AC278" s="18">
        <f t="shared" si="83"/>
        <v>3971951.7292403569</v>
      </c>
      <c r="AD278" s="19">
        <f t="shared" si="84"/>
        <v>5.4534796543556398E-3</v>
      </c>
    </row>
    <row r="279" spans="1:30" x14ac:dyDescent="0.25">
      <c r="A279" s="8">
        <v>428</v>
      </c>
      <c r="B279" s="9">
        <v>45012</v>
      </c>
      <c r="C279" s="10">
        <v>2.25</v>
      </c>
      <c r="D279" s="11">
        <v>185823.8657533165</v>
      </c>
      <c r="E279" s="11">
        <v>2016.9593353160019</v>
      </c>
      <c r="F279" s="11">
        <v>11.04245377399948</v>
      </c>
      <c r="G279" s="11">
        <v>67444.836301921998</v>
      </c>
      <c r="H279" s="12">
        <v>7.221332388383972E-2</v>
      </c>
      <c r="I279" s="13">
        <v>3191</v>
      </c>
      <c r="J279" s="13">
        <v>493820</v>
      </c>
      <c r="K279" s="12">
        <v>8.4263688607903744E-2</v>
      </c>
      <c r="L279" s="14">
        <v>20.328159722222221</v>
      </c>
      <c r="M279" s="15"/>
      <c r="N279" s="16">
        <f t="shared" si="68"/>
        <v>118379.0294513945</v>
      </c>
      <c r="O279" s="17">
        <f t="shared" si="69"/>
        <v>187851.86754240649</v>
      </c>
      <c r="P279" s="18">
        <f t="shared" si="70"/>
        <v>3818682.7675197711</v>
      </c>
      <c r="Q279" s="19">
        <f t="shared" si="71"/>
        <v>1.0736967173673079E-2</v>
      </c>
      <c r="R279" s="20">
        <f t="shared" si="72"/>
        <v>7.221332388383972E-2</v>
      </c>
      <c r="S279" s="20">
        <f t="shared" si="73"/>
        <v>9.1461036329688352E-4</v>
      </c>
      <c r="T279" s="20">
        <f t="shared" si="74"/>
        <v>5.0073109958582219E-6</v>
      </c>
      <c r="U279" s="20">
        <f t="shared" si="75"/>
        <v>8.5183306282196489E-2</v>
      </c>
      <c r="V279" s="21">
        <f t="shared" si="76"/>
        <v>357988215.78992999</v>
      </c>
      <c r="W279" s="21" t="str">
        <f t="shared" si="77"/>
        <v/>
      </c>
      <c r="X279" s="19" t="str">
        <f t="shared" si="78"/>
        <v/>
      </c>
      <c r="Y279" s="17">
        <f t="shared" si="79"/>
        <v>1008.4796676580009</v>
      </c>
      <c r="Z279" s="17">
        <f t="shared" si="80"/>
        <v>184815.38608565848</v>
      </c>
      <c r="AA279" s="20">
        <f t="shared" si="81"/>
        <v>4.8906439857892309E-2</v>
      </c>
      <c r="AB279" s="17">
        <f t="shared" si="82"/>
        <v>184815.38608565848</v>
      </c>
      <c r="AC279" s="18">
        <f t="shared" si="83"/>
        <v>3756956.6874734317</v>
      </c>
      <c r="AD279" s="19">
        <f t="shared" si="84"/>
        <v>5.4270729089059546E-3</v>
      </c>
    </row>
    <row r="280" spans="1:30" x14ac:dyDescent="0.25">
      <c r="A280" s="8">
        <v>429</v>
      </c>
      <c r="B280" s="9">
        <v>45014</v>
      </c>
      <c r="C280" s="10">
        <v>2.25</v>
      </c>
      <c r="D280" s="11">
        <v>185721.33027549589</v>
      </c>
      <c r="E280" s="11">
        <v>2036.977794371001</v>
      </c>
      <c r="F280" s="11">
        <v>12.226395100000371</v>
      </c>
      <c r="G280" s="11">
        <v>67066.840268472006</v>
      </c>
      <c r="H280" s="12">
        <v>7.232662426829306E-2</v>
      </c>
      <c r="I280" s="13">
        <v>3207</v>
      </c>
      <c r="J280" s="13">
        <v>496989</v>
      </c>
      <c r="K280" s="12">
        <v>8.1891949226974556E-2</v>
      </c>
      <c r="L280" s="14">
        <v>21.066319444444439</v>
      </c>
      <c r="M280" s="15"/>
      <c r="N280" s="16">
        <f t="shared" si="68"/>
        <v>118654.49000702388</v>
      </c>
      <c r="O280" s="17">
        <f t="shared" si="69"/>
        <v>187770.53446496688</v>
      </c>
      <c r="P280" s="18">
        <f t="shared" si="70"/>
        <v>3955634.0612930567</v>
      </c>
      <c r="Q280" s="19">
        <f t="shared" si="71"/>
        <v>1.0848229197276148E-2</v>
      </c>
      <c r="R280" s="20">
        <f t="shared" si="72"/>
        <v>7.232662426829306E-2</v>
      </c>
      <c r="S280" s="20">
        <f t="shared" si="73"/>
        <v>8.9818483351189872E-4</v>
      </c>
      <c r="T280" s="20">
        <f t="shared" si="74"/>
        <v>5.391105724220979E-6</v>
      </c>
      <c r="U280" s="20">
        <f t="shared" si="75"/>
        <v>8.2795525166210665E-2</v>
      </c>
      <c r="V280" s="21">
        <f t="shared" si="76"/>
        <v>368152949.09101278</v>
      </c>
      <c r="W280" s="21" t="str">
        <f t="shared" si="77"/>
        <v/>
      </c>
      <c r="X280" s="19" t="str">
        <f t="shared" si="78"/>
        <v/>
      </c>
      <c r="Y280" s="17">
        <f t="shared" si="79"/>
        <v>1018.4888971855005</v>
      </c>
      <c r="Z280" s="17">
        <f t="shared" si="80"/>
        <v>184702.84137831038</v>
      </c>
      <c r="AA280" s="20">
        <f t="shared" si="81"/>
        <v>4.8862937124322957E-2</v>
      </c>
      <c r="AB280" s="17">
        <f t="shared" si="82"/>
        <v>184702.84137831038</v>
      </c>
      <c r="AC280" s="18">
        <f t="shared" si="83"/>
        <v>3891009.0587720368</v>
      </c>
      <c r="AD280" s="19">
        <f t="shared" si="84"/>
        <v>5.4839629657761511E-3</v>
      </c>
    </row>
    <row r="281" spans="1:30" x14ac:dyDescent="0.25">
      <c r="A281" s="8">
        <v>430</v>
      </c>
      <c r="B281" s="9">
        <v>45016</v>
      </c>
      <c r="C281" s="10">
        <v>2.25</v>
      </c>
      <c r="D281" s="11">
        <v>185618.78839763851</v>
      </c>
      <c r="E281" s="11">
        <v>2023.385780288</v>
      </c>
      <c r="F281" s="11">
        <v>18.9702619670066</v>
      </c>
      <c r="G281" s="11">
        <v>69743.542788537001</v>
      </c>
      <c r="H281" s="12">
        <v>7.2745718235594656E-2</v>
      </c>
      <c r="I281" s="13">
        <v>3211</v>
      </c>
      <c r="J281" s="13">
        <v>516726</v>
      </c>
      <c r="K281" s="12">
        <v>8.1901679325086726E-2</v>
      </c>
      <c r="L281" s="14">
        <v>20.663298611111099</v>
      </c>
      <c r="M281" s="15"/>
      <c r="N281" s="16">
        <f t="shared" si="68"/>
        <v>115875.2456091015</v>
      </c>
      <c r="O281" s="17">
        <f t="shared" si="69"/>
        <v>187661.14443989351</v>
      </c>
      <c r="P281" s="18">
        <f t="shared" si="70"/>
        <v>3877698.2652643709</v>
      </c>
      <c r="Q281" s="19">
        <f t="shared" si="71"/>
        <v>1.078212427152748E-2</v>
      </c>
      <c r="R281" s="20">
        <f t="shared" si="72"/>
        <v>7.2745718235594656E-2</v>
      </c>
      <c r="S281" s="20">
        <f t="shared" si="73"/>
        <v>8.9279051306530603E-4</v>
      </c>
      <c r="T281" s="20">
        <f t="shared" si="74"/>
        <v>8.3703612427761653E-6</v>
      </c>
      <c r="U281" s="20">
        <f t="shared" si="75"/>
        <v>8.2802840199394809E-2</v>
      </c>
      <c r="V281" s="21">
        <f t="shared" si="76"/>
        <v>367905968.45129353</v>
      </c>
      <c r="W281" s="21" t="str">
        <f t="shared" si="77"/>
        <v/>
      </c>
      <c r="X281" s="19" t="str">
        <f t="shared" si="78"/>
        <v/>
      </c>
      <c r="Y281" s="17">
        <f t="shared" si="79"/>
        <v>1011.692890144</v>
      </c>
      <c r="Z281" s="17">
        <f t="shared" si="80"/>
        <v>184607.09550749449</v>
      </c>
      <c r="AA281" s="20">
        <f t="shared" si="81"/>
        <v>4.8819473086840121E-2</v>
      </c>
      <c r="AB281" s="17">
        <f t="shared" si="82"/>
        <v>184607.09550749449</v>
      </c>
      <c r="AC281" s="18">
        <f t="shared" si="83"/>
        <v>3814591.5402012649</v>
      </c>
      <c r="AD281" s="19">
        <f t="shared" si="84"/>
        <v>5.4503797750081158E-3</v>
      </c>
    </row>
    <row r="282" spans="1:30" x14ac:dyDescent="0.25">
      <c r="A282" s="8">
        <v>431</v>
      </c>
      <c r="B282" s="9">
        <v>45018</v>
      </c>
      <c r="C282" s="10">
        <v>2.291666666666667</v>
      </c>
      <c r="D282" s="11">
        <v>185516.25166108451</v>
      </c>
      <c r="E282" s="11">
        <v>2036.8074101770021</v>
      </c>
      <c r="F282" s="11">
        <v>11.571781479000229</v>
      </c>
      <c r="G282" s="11">
        <v>69919.933168614996</v>
      </c>
      <c r="H282" s="12">
        <v>7.2848839680119237E-2</v>
      </c>
      <c r="I282" s="13">
        <v>3216</v>
      </c>
      <c r="J282" s="13">
        <v>501978</v>
      </c>
      <c r="K282" s="12">
        <v>8.0375921617031817E-2</v>
      </c>
      <c r="L282" s="14">
        <v>20.84684027777778</v>
      </c>
      <c r="M282" s="15"/>
      <c r="N282" s="16">
        <f t="shared" si="68"/>
        <v>115596.31849246951</v>
      </c>
      <c r="O282" s="17">
        <f t="shared" si="69"/>
        <v>187564.63085274049</v>
      </c>
      <c r="P282" s="18">
        <f t="shared" si="70"/>
        <v>3910129.9011474312</v>
      </c>
      <c r="Q282" s="19">
        <f t="shared" si="71"/>
        <v>1.0859229700807115E-2</v>
      </c>
      <c r="R282" s="20">
        <f t="shared" si="72"/>
        <v>7.2848839680119237E-2</v>
      </c>
      <c r="S282" s="20">
        <f t="shared" si="73"/>
        <v>8.8245785090815081E-4</v>
      </c>
      <c r="T282" s="20">
        <f t="shared" si="74"/>
        <v>5.0135370502456479E-6</v>
      </c>
      <c r="U282" s="20">
        <f t="shared" si="75"/>
        <v>8.126339300499022E-2</v>
      </c>
      <c r="V282" s="21">
        <f t="shared" si="76"/>
        <v>367870338.49393386</v>
      </c>
      <c r="W282" s="21" t="str">
        <f t="shared" si="77"/>
        <v/>
      </c>
      <c r="X282" s="19" t="str">
        <f t="shared" si="78"/>
        <v/>
      </c>
      <c r="Y282" s="17">
        <f t="shared" si="79"/>
        <v>1018.4037050885011</v>
      </c>
      <c r="Z282" s="17">
        <f t="shared" si="80"/>
        <v>184497.847955996</v>
      </c>
      <c r="AA282" s="20">
        <f t="shared" si="81"/>
        <v>4.8776047711023271E-2</v>
      </c>
      <c r="AB282" s="17">
        <f t="shared" si="82"/>
        <v>184497.847955996</v>
      </c>
      <c r="AC282" s="18">
        <f t="shared" si="83"/>
        <v>3846197.1679323781</v>
      </c>
      <c r="AD282" s="19">
        <f t="shared" si="84"/>
        <v>5.4895659866446636E-3</v>
      </c>
    </row>
    <row r="283" spans="1:30" x14ac:dyDescent="0.25">
      <c r="A283" s="8">
        <v>432</v>
      </c>
      <c r="B283" s="9">
        <v>45021</v>
      </c>
      <c r="C283" s="10">
        <v>2.291666666666667</v>
      </c>
      <c r="D283" s="11">
        <v>185413.71102076949</v>
      </c>
      <c r="E283" s="11">
        <v>2044.5492078580021</v>
      </c>
      <c r="F283" s="11">
        <v>17.816737257001432</v>
      </c>
      <c r="G283" s="11">
        <v>69421.485373596995</v>
      </c>
      <c r="H283" s="12">
        <v>7.2795321143115113E-2</v>
      </c>
      <c r="I283" s="13">
        <v>3230</v>
      </c>
      <c r="J283" s="13">
        <v>511373</v>
      </c>
      <c r="K283" s="12">
        <v>8.0403470604391264E-2</v>
      </c>
      <c r="L283" s="14">
        <v>21.03843749999999</v>
      </c>
      <c r="M283" s="15"/>
      <c r="N283" s="16">
        <f t="shared" si="68"/>
        <v>115992.2256471725</v>
      </c>
      <c r="O283" s="17">
        <f t="shared" si="69"/>
        <v>187476.07696588451</v>
      </c>
      <c r="P283" s="18">
        <f t="shared" si="70"/>
        <v>3944203.7279919488</v>
      </c>
      <c r="Q283" s="19">
        <f t="shared" si="71"/>
        <v>1.0905653889002883E-2</v>
      </c>
      <c r="R283" s="20">
        <f t="shared" si="72"/>
        <v>7.2795321143115113E-2</v>
      </c>
      <c r="S283" s="20">
        <f t="shared" si="73"/>
        <v>8.8660569506010252E-4</v>
      </c>
      <c r="T283" s="20">
        <f t="shared" si="74"/>
        <v>7.7261142254415581E-6</v>
      </c>
      <c r="U283" s="20">
        <f t="shared" si="75"/>
        <v>8.1297802413676817E-2</v>
      </c>
      <c r="V283" s="21">
        <f t="shared" si="76"/>
        <v>367541029.71165133</v>
      </c>
      <c r="W283" s="21" t="str">
        <f t="shared" si="77"/>
        <v/>
      </c>
      <c r="X283" s="19" t="str">
        <f t="shared" si="78"/>
        <v/>
      </c>
      <c r="Y283" s="17">
        <f t="shared" si="79"/>
        <v>1022.274603929001</v>
      </c>
      <c r="Z283" s="17">
        <f t="shared" si="80"/>
        <v>184391.4364168405</v>
      </c>
      <c r="AA283" s="20">
        <f t="shared" si="81"/>
        <v>4.8710982062702163E-2</v>
      </c>
      <c r="AB283" s="17">
        <f t="shared" si="82"/>
        <v>184391.4364168405</v>
      </c>
      <c r="AC283" s="18">
        <f t="shared" si="83"/>
        <v>3879307.7105909209</v>
      </c>
      <c r="AD283" s="19">
        <f t="shared" si="84"/>
        <v>5.5134790102684952E-3</v>
      </c>
    </row>
    <row r="284" spans="1:30" x14ac:dyDescent="0.25">
      <c r="A284" s="8">
        <v>433</v>
      </c>
      <c r="B284" s="9">
        <v>45023</v>
      </c>
      <c r="C284" s="10">
        <v>2.25</v>
      </c>
      <c r="D284" s="11">
        <v>185311.16844255221</v>
      </c>
      <c r="E284" s="11">
        <v>2022.702712436999</v>
      </c>
      <c r="F284" s="11">
        <v>12.55325263700105</v>
      </c>
      <c r="G284" s="11">
        <v>69441.802705633003</v>
      </c>
      <c r="H284" s="12">
        <v>7.2754181146891167E-2</v>
      </c>
      <c r="I284" s="13">
        <v>3239</v>
      </c>
      <c r="J284" s="13">
        <v>510350</v>
      </c>
      <c r="K284" s="12">
        <v>8.1943519833740083E-2</v>
      </c>
      <c r="L284" s="14">
        <v>20.490277777777791</v>
      </c>
      <c r="M284" s="15"/>
      <c r="N284" s="16">
        <f t="shared" si="68"/>
        <v>115869.36573691921</v>
      </c>
      <c r="O284" s="17">
        <f t="shared" si="69"/>
        <v>187346.42440762621</v>
      </c>
      <c r="P284" s="18">
        <f t="shared" si="70"/>
        <v>3838780.2767857104</v>
      </c>
      <c r="Q284" s="19">
        <f t="shared" si="71"/>
        <v>1.079659096154419E-2</v>
      </c>
      <c r="R284" s="20">
        <f t="shared" si="72"/>
        <v>7.2754181146891167E-2</v>
      </c>
      <c r="S284" s="20">
        <f t="shared" si="73"/>
        <v>8.9442736359262654E-4</v>
      </c>
      <c r="T284" s="20">
        <f t="shared" si="74"/>
        <v>5.5509752330817388E-6</v>
      </c>
      <c r="U284" s="20">
        <f t="shared" si="75"/>
        <v>8.2843498172565797E-2</v>
      </c>
      <c r="V284" s="21">
        <f t="shared" si="76"/>
        <v>367108707.78079551</v>
      </c>
      <c r="W284" s="21" t="str">
        <f t="shared" si="77"/>
        <v/>
      </c>
      <c r="X284" s="19" t="str">
        <f t="shared" si="78"/>
        <v/>
      </c>
      <c r="Y284" s="17">
        <f t="shared" si="79"/>
        <v>1011.3513562184995</v>
      </c>
      <c r="Z284" s="17">
        <f t="shared" si="80"/>
        <v>184299.8170863337</v>
      </c>
      <c r="AA284" s="20">
        <f t="shared" si="81"/>
        <v>4.8667653190661325E-2</v>
      </c>
      <c r="AB284" s="17">
        <f t="shared" si="82"/>
        <v>184299.8170863337</v>
      </c>
      <c r="AC284" s="18">
        <f t="shared" si="83"/>
        <v>3776354.4464926152</v>
      </c>
      <c r="AD284" s="19">
        <f t="shared" si="84"/>
        <v>5.4575844765234732E-3</v>
      </c>
    </row>
    <row r="285" spans="1:30" x14ac:dyDescent="0.25">
      <c r="A285" s="8">
        <v>434</v>
      </c>
      <c r="B285" s="9">
        <v>45025</v>
      </c>
      <c r="C285" s="10">
        <v>2.25</v>
      </c>
      <c r="D285" s="11">
        <v>185208.63420066671</v>
      </c>
      <c r="E285" s="11">
        <v>2086.5505658510001</v>
      </c>
      <c r="F285" s="11">
        <v>14.215974563000991</v>
      </c>
      <c r="G285" s="11">
        <v>69327.104886720001</v>
      </c>
      <c r="H285" s="12">
        <v>7.2641742060737882E-2</v>
      </c>
      <c r="I285" s="13">
        <v>3249</v>
      </c>
      <c r="J285" s="13">
        <v>515305</v>
      </c>
      <c r="K285" s="12">
        <v>8.1802201435974581E-2</v>
      </c>
      <c r="L285" s="14">
        <v>20.185069444444441</v>
      </c>
      <c r="M285" s="15"/>
      <c r="N285" s="16">
        <f t="shared" si="68"/>
        <v>115881.52931394671</v>
      </c>
      <c r="O285" s="17">
        <f t="shared" si="69"/>
        <v>187309.40074108072</v>
      </c>
      <c r="P285" s="18">
        <f t="shared" si="70"/>
        <v>3780853.2615559874</v>
      </c>
      <c r="Q285" s="19">
        <f t="shared" si="71"/>
        <v>1.113959340852975E-2</v>
      </c>
      <c r="R285" s="20">
        <f t="shared" si="72"/>
        <v>7.2641742060737882E-2</v>
      </c>
      <c r="S285" s="20">
        <f t="shared" si="73"/>
        <v>9.2157922567022432E-4</v>
      </c>
      <c r="T285" s="20">
        <f t="shared" si="74"/>
        <v>6.2788542220517684E-6</v>
      </c>
      <c r="U285" s="20">
        <f t="shared" si="75"/>
        <v>8.2730059515866858E-2</v>
      </c>
      <c r="V285" s="21">
        <f t="shared" si="76"/>
        <v>367539435.66470027</v>
      </c>
      <c r="W285" s="21" t="str">
        <f t="shared" si="77"/>
        <v/>
      </c>
      <c r="X285" s="19" t="str">
        <f t="shared" si="78"/>
        <v/>
      </c>
      <c r="Y285" s="17">
        <f t="shared" si="79"/>
        <v>1043.2752829255001</v>
      </c>
      <c r="Z285" s="17">
        <f t="shared" si="80"/>
        <v>184165.35891774122</v>
      </c>
      <c r="AA285" s="20">
        <f t="shared" si="81"/>
        <v>4.8624362860055559E-2</v>
      </c>
      <c r="AB285" s="17">
        <f t="shared" si="82"/>
        <v>184165.35891774122</v>
      </c>
      <c r="AC285" s="18">
        <f t="shared" si="83"/>
        <v>3717390.5590156419</v>
      </c>
      <c r="AD285" s="19">
        <f t="shared" si="84"/>
        <v>5.632973254341641E-3</v>
      </c>
    </row>
    <row r="286" spans="1:30" x14ac:dyDescent="0.25">
      <c r="A286" s="8">
        <v>435</v>
      </c>
      <c r="B286" s="9">
        <v>45028</v>
      </c>
      <c r="C286" s="10">
        <v>2.291666666666667</v>
      </c>
      <c r="D286" s="11">
        <v>185106.07919342161</v>
      </c>
      <c r="E286" s="11">
        <v>2105.0991831830011</v>
      </c>
      <c r="F286" s="11">
        <v>17.428389565000209</v>
      </c>
      <c r="G286" s="11">
        <v>69603.841411942994</v>
      </c>
      <c r="H286" s="12">
        <v>7.2541305424947425E-2</v>
      </c>
      <c r="I286" s="13">
        <v>3254</v>
      </c>
      <c r="J286" s="13">
        <v>514082</v>
      </c>
      <c r="K286" s="12">
        <v>8.1134763402186102E-2</v>
      </c>
      <c r="L286" s="14">
        <v>23.543159722222221</v>
      </c>
      <c r="M286" s="15"/>
      <c r="N286" s="16">
        <f t="shared" si="68"/>
        <v>115502.23778147862</v>
      </c>
      <c r="O286" s="17">
        <f t="shared" si="69"/>
        <v>187228.6067661696</v>
      </c>
      <c r="P286" s="18">
        <f t="shared" si="70"/>
        <v>4407952.9936650665</v>
      </c>
      <c r="Q286" s="19">
        <f t="shared" si="71"/>
        <v>1.1243469785640536E-2</v>
      </c>
      <c r="R286" s="20">
        <f t="shared" si="72"/>
        <v>7.2541305424947425E-2</v>
      </c>
      <c r="S286" s="20">
        <f t="shared" si="73"/>
        <v>9.2269646091535751E-4</v>
      </c>
      <c r="T286" s="20">
        <f t="shared" si="74"/>
        <v>7.6391238472500391E-6</v>
      </c>
      <c r="U286" s="20">
        <f t="shared" si="75"/>
        <v>8.206509898694872E-2</v>
      </c>
      <c r="V286" s="21">
        <f t="shared" si="76"/>
        <v>363623953.79290938</v>
      </c>
      <c r="W286" s="21" t="str">
        <f t="shared" si="77"/>
        <v/>
      </c>
      <c r="X286" s="19" t="str">
        <f t="shared" si="78"/>
        <v/>
      </c>
      <c r="Y286" s="17">
        <f t="shared" si="79"/>
        <v>1052.5495915915005</v>
      </c>
      <c r="Z286" s="17">
        <f t="shared" si="80"/>
        <v>184053.52960183012</v>
      </c>
      <c r="AA286" s="20">
        <f t="shared" si="81"/>
        <v>4.8559499554352029E-2</v>
      </c>
      <c r="AB286" s="17">
        <f t="shared" si="82"/>
        <v>184053.52960183012</v>
      </c>
      <c r="AC286" s="18">
        <f t="shared" si="83"/>
        <v>4333201.6448546425</v>
      </c>
      <c r="AD286" s="19">
        <f t="shared" si="84"/>
        <v>5.686196780666869E-3</v>
      </c>
    </row>
    <row r="287" spans="1:30" x14ac:dyDescent="0.25">
      <c r="A287" s="8">
        <v>436</v>
      </c>
      <c r="B287" s="9">
        <v>45030</v>
      </c>
      <c r="C287" s="10">
        <v>2.291666666666667</v>
      </c>
      <c r="D287" s="11">
        <v>185003.51904635361</v>
      </c>
      <c r="E287" s="11">
        <v>2036.652200468001</v>
      </c>
      <c r="F287" s="11">
        <v>13.71957058100006</v>
      </c>
      <c r="G287" s="11">
        <v>69403.718712975999</v>
      </c>
      <c r="H287" s="12">
        <v>7.2962774001066724E-2</v>
      </c>
      <c r="I287" s="13">
        <v>3266</v>
      </c>
      <c r="J287" s="13">
        <v>511927</v>
      </c>
      <c r="K287" s="12">
        <v>8.060890449880935E-2</v>
      </c>
      <c r="L287" s="14">
        <v>24.768368055555548</v>
      </c>
      <c r="M287" s="15"/>
      <c r="N287" s="16">
        <f t="shared" si="68"/>
        <v>115599.80033337761</v>
      </c>
      <c r="O287" s="17">
        <f t="shared" si="69"/>
        <v>187053.8908174026</v>
      </c>
      <c r="P287" s="18">
        <f t="shared" si="70"/>
        <v>4633019.6139891297</v>
      </c>
      <c r="Q287" s="19">
        <f t="shared" si="71"/>
        <v>1.0888050452027917E-2</v>
      </c>
      <c r="R287" s="20">
        <f t="shared" si="72"/>
        <v>7.2962774001066724E-2</v>
      </c>
      <c r="S287" s="20">
        <f t="shared" si="73"/>
        <v>8.874009725386941E-4</v>
      </c>
      <c r="T287" s="20">
        <f t="shared" si="74"/>
        <v>5.9778298295580747E-6</v>
      </c>
      <c r="U287" s="20">
        <f t="shared" si="75"/>
        <v>8.1502283301177605E-2</v>
      </c>
      <c r="V287" s="21">
        <f t="shared" si="76"/>
        <v>365793300.61578983</v>
      </c>
      <c r="W287" s="21" t="str">
        <f t="shared" si="77"/>
        <v/>
      </c>
      <c r="X287" s="19" t="str">
        <f t="shared" si="78"/>
        <v/>
      </c>
      <c r="Y287" s="17">
        <f t="shared" si="79"/>
        <v>1018.3261002340005</v>
      </c>
      <c r="Z287" s="17">
        <f t="shared" si="80"/>
        <v>183985.19294611961</v>
      </c>
      <c r="AA287" s="20">
        <f t="shared" si="81"/>
        <v>4.8516305427412663E-2</v>
      </c>
      <c r="AB287" s="17">
        <f t="shared" si="82"/>
        <v>183985.19294611961</v>
      </c>
      <c r="AC287" s="18">
        <f t="shared" si="83"/>
        <v>4557012.9756618934</v>
      </c>
      <c r="AD287" s="19">
        <f t="shared" si="84"/>
        <v>5.5043607034245302E-3</v>
      </c>
    </row>
    <row r="288" spans="1:30" x14ac:dyDescent="0.25">
      <c r="A288" s="8">
        <v>437</v>
      </c>
      <c r="B288" s="9">
        <v>45032</v>
      </c>
      <c r="C288" s="10">
        <v>2.291666666666667</v>
      </c>
      <c r="D288" s="11">
        <v>184900.9832602586</v>
      </c>
      <c r="E288" s="11">
        <v>2060.8290723210011</v>
      </c>
      <c r="F288" s="11">
        <v>16.617557597001031</v>
      </c>
      <c r="G288" s="11">
        <v>69696.479284211993</v>
      </c>
      <c r="H288" s="12">
        <v>7.2777894820947792E-2</v>
      </c>
      <c r="I288" s="13">
        <v>3269</v>
      </c>
      <c r="J288" s="13">
        <v>517661</v>
      </c>
      <c r="K288" s="12">
        <v>8.04772757901559E-2</v>
      </c>
      <c r="L288" s="14">
        <v>24.445520833333351</v>
      </c>
      <c r="M288" s="15"/>
      <c r="N288" s="16">
        <f t="shared" si="68"/>
        <v>115204.5039760466</v>
      </c>
      <c r="O288" s="17">
        <f t="shared" si="69"/>
        <v>186978.4298901766</v>
      </c>
      <c r="P288" s="18">
        <f t="shared" si="70"/>
        <v>4570785.1032642713</v>
      </c>
      <c r="Q288" s="19">
        <f t="shared" si="71"/>
        <v>1.1021747661114958E-2</v>
      </c>
      <c r="R288" s="20">
        <f t="shared" si="72"/>
        <v>7.2777894820947792E-2</v>
      </c>
      <c r="S288" s="20">
        <f t="shared" si="73"/>
        <v>8.9696607711439377E-4</v>
      </c>
      <c r="T288" s="20">
        <f t="shared" si="74"/>
        <v>7.2327131100772813E-6</v>
      </c>
      <c r="U288" s="20">
        <f t="shared" si="75"/>
        <v>8.1381474580380378E-2</v>
      </c>
      <c r="V288" s="21">
        <f t="shared" si="76"/>
        <v>366188524.72676188</v>
      </c>
      <c r="W288" s="21" t="str">
        <f t="shared" si="77"/>
        <v/>
      </c>
      <c r="X288" s="19" t="str">
        <f t="shared" si="78"/>
        <v/>
      </c>
      <c r="Y288" s="17">
        <f t="shared" si="79"/>
        <v>1030.4145361605006</v>
      </c>
      <c r="Z288" s="17">
        <f t="shared" si="80"/>
        <v>183870.56872409809</v>
      </c>
      <c r="AA288" s="20">
        <f t="shared" si="81"/>
        <v>4.8473149722051342E-2</v>
      </c>
      <c r="AB288" s="17">
        <f t="shared" si="82"/>
        <v>183870.56872409809</v>
      </c>
      <c r="AC288" s="18">
        <f t="shared" si="83"/>
        <v>4494811.8183817919</v>
      </c>
      <c r="AD288" s="19">
        <f t="shared" si="84"/>
        <v>5.572791004091816E-3</v>
      </c>
    </row>
    <row r="289" spans="1:30" x14ac:dyDescent="0.25">
      <c r="A289" s="8">
        <v>438</v>
      </c>
      <c r="B289" s="9">
        <v>45035</v>
      </c>
      <c r="C289" s="10">
        <v>2.291666666666667</v>
      </c>
      <c r="D289" s="11">
        <v>184798.44064537669</v>
      </c>
      <c r="E289" s="11">
        <v>2075.925782328</v>
      </c>
      <c r="F289" s="11">
        <v>23.1833255930005</v>
      </c>
      <c r="G289" s="11">
        <v>69725.356457468006</v>
      </c>
      <c r="H289" s="12">
        <v>7.2579068108645395E-2</v>
      </c>
      <c r="I289" s="13">
        <v>3280</v>
      </c>
      <c r="J289" s="13">
        <v>520471</v>
      </c>
      <c r="K289" s="12">
        <v>7.9959580341613795E-2</v>
      </c>
      <c r="L289" s="14">
        <v>23.64354166666666</v>
      </c>
      <c r="M289" s="15"/>
      <c r="N289" s="16">
        <f t="shared" si="68"/>
        <v>115073.08418790868</v>
      </c>
      <c r="O289" s="17">
        <f t="shared" si="69"/>
        <v>186897.5497532977</v>
      </c>
      <c r="P289" s="18">
        <f t="shared" si="70"/>
        <v>4418920.0049899993</v>
      </c>
      <c r="Q289" s="19">
        <f t="shared" si="71"/>
        <v>1.1107292658829367E-2</v>
      </c>
      <c r="R289" s="20">
        <f t="shared" si="72"/>
        <v>7.2579068108645395E-2</v>
      </c>
      <c r="S289" s="20">
        <f t="shared" si="73"/>
        <v>8.982227003409293E-4</v>
      </c>
      <c r="T289" s="20">
        <f t="shared" si="74"/>
        <v>1.0031085645882541E-5</v>
      </c>
      <c r="U289" s="20">
        <f t="shared" si="75"/>
        <v>8.086783412760061E-2</v>
      </c>
      <c r="V289" s="21">
        <f t="shared" si="76"/>
        <v>368355003.13270515</v>
      </c>
      <c r="W289" s="21" t="str">
        <f t="shared" si="77"/>
        <v/>
      </c>
      <c r="X289" s="19" t="str">
        <f t="shared" si="78"/>
        <v/>
      </c>
      <c r="Y289" s="17">
        <f t="shared" si="79"/>
        <v>1037.962891164</v>
      </c>
      <c r="Z289" s="17">
        <f t="shared" si="80"/>
        <v>183760.47775421268</v>
      </c>
      <c r="AA289" s="20">
        <f t="shared" si="81"/>
        <v>4.8408488129715752E-2</v>
      </c>
      <c r="AB289" s="17">
        <f t="shared" si="82"/>
        <v>183760.47775421268</v>
      </c>
      <c r="AC289" s="18">
        <f t="shared" si="83"/>
        <v>4344748.5124682998</v>
      </c>
      <c r="AD289" s="19">
        <f t="shared" si="84"/>
        <v>5.6167297058302744E-3</v>
      </c>
    </row>
    <row r="290" spans="1:30" x14ac:dyDescent="0.25">
      <c r="A290" s="8">
        <v>439</v>
      </c>
      <c r="B290" s="9">
        <v>45037</v>
      </c>
      <c r="C290" s="10">
        <v>2.375</v>
      </c>
      <c r="D290" s="11">
        <v>184695.89430826731</v>
      </c>
      <c r="E290" s="11">
        <v>2121.3506011929981</v>
      </c>
      <c r="F290" s="11">
        <v>19.781366928000651</v>
      </c>
      <c r="G290" s="11">
        <v>69317.638387351995</v>
      </c>
      <c r="H290" s="12">
        <v>7.2749303578063612E-2</v>
      </c>
      <c r="I290" s="13">
        <v>3291</v>
      </c>
      <c r="J290" s="13">
        <v>514130</v>
      </c>
      <c r="K290" s="12">
        <v>7.7325931822189456E-2</v>
      </c>
      <c r="L290" s="14">
        <v>21.944409722222229</v>
      </c>
      <c r="M290" s="15"/>
      <c r="N290" s="16">
        <f t="shared" si="68"/>
        <v>115378.25592091531</v>
      </c>
      <c r="O290" s="17">
        <f t="shared" si="69"/>
        <v>186837.02627638832</v>
      </c>
      <c r="P290" s="18">
        <f t="shared" si="70"/>
        <v>4100028.255890666</v>
      </c>
      <c r="Q290" s="19">
        <f t="shared" si="71"/>
        <v>1.1354016082737693E-2</v>
      </c>
      <c r="R290" s="20">
        <f t="shared" si="72"/>
        <v>7.2749303578063612E-2</v>
      </c>
      <c r="S290" s="20">
        <f t="shared" si="73"/>
        <v>8.8813783637781639E-4</v>
      </c>
      <c r="T290" s="20">
        <f t="shared" si="74"/>
        <v>8.2817901077502381E-6</v>
      </c>
      <c r="U290" s="20">
        <f t="shared" si="75"/>
        <v>7.8222351448675023E-2</v>
      </c>
      <c r="V290" s="21">
        <f t="shared" si="76"/>
        <v>367331937.78535378</v>
      </c>
      <c r="W290" s="21" t="str">
        <f t="shared" si="77"/>
        <v/>
      </c>
      <c r="X290" s="19" t="str">
        <f t="shared" si="78"/>
        <v/>
      </c>
      <c r="Y290" s="17">
        <f t="shared" si="79"/>
        <v>1060.675300596499</v>
      </c>
      <c r="Z290" s="17">
        <f t="shared" si="80"/>
        <v>183635.21900767082</v>
      </c>
      <c r="AA290" s="20">
        <f t="shared" si="81"/>
        <v>4.8365428328844509E-2</v>
      </c>
      <c r="AB290" s="17">
        <f t="shared" si="82"/>
        <v>183635.21900767082</v>
      </c>
      <c r="AC290" s="18">
        <f t="shared" si="83"/>
        <v>4029766.48533434</v>
      </c>
      <c r="AD290" s="19">
        <f t="shared" si="84"/>
        <v>5.7428201345189368E-3</v>
      </c>
    </row>
    <row r="291" spans="1:30" x14ac:dyDescent="0.25">
      <c r="A291" s="8">
        <v>440</v>
      </c>
      <c r="B291" s="9">
        <v>45039</v>
      </c>
      <c r="C291" s="10">
        <v>2.333333333333333</v>
      </c>
      <c r="D291" s="11">
        <v>184593.33418076171</v>
      </c>
      <c r="E291" s="11">
        <v>2103.3867389329998</v>
      </c>
      <c r="F291" s="11">
        <v>14.150599864001039</v>
      </c>
      <c r="G291" s="11">
        <v>69159.951672377996</v>
      </c>
      <c r="H291" s="12">
        <v>7.268291202929035E-2</v>
      </c>
      <c r="I291" s="13">
        <v>3306</v>
      </c>
      <c r="J291" s="13">
        <v>516775</v>
      </c>
      <c r="K291" s="12">
        <v>7.8619446039794011E-2</v>
      </c>
      <c r="L291" s="14">
        <v>21.736354166666679</v>
      </c>
      <c r="M291" s="15"/>
      <c r="N291" s="16">
        <f t="shared" si="68"/>
        <v>115433.38250838371</v>
      </c>
      <c r="O291" s="17">
        <f t="shared" si="69"/>
        <v>186710.87151955871</v>
      </c>
      <c r="P291" s="18">
        <f t="shared" si="70"/>
        <v>4058413.630116127</v>
      </c>
      <c r="Q291" s="19">
        <f t="shared" si="71"/>
        <v>1.1265475447757533E-2</v>
      </c>
      <c r="R291" s="20">
        <f t="shared" si="72"/>
        <v>7.268291202929035E-2</v>
      </c>
      <c r="S291" s="20">
        <f t="shared" si="73"/>
        <v>8.9584545918882806E-4</v>
      </c>
      <c r="T291" s="20">
        <f t="shared" si="74"/>
        <v>6.0268282566971052E-6</v>
      </c>
      <c r="U291" s="20">
        <f t="shared" si="75"/>
        <v>7.9521318327239535E-2</v>
      </c>
      <c r="V291" s="21">
        <f t="shared" si="76"/>
        <v>367535652.74094373</v>
      </c>
      <c r="W291" s="21" t="str">
        <f t="shared" si="77"/>
        <v/>
      </c>
      <c r="X291" s="19" t="str">
        <f t="shared" si="78"/>
        <v/>
      </c>
      <c r="Y291" s="17">
        <f t="shared" si="79"/>
        <v>1051.6933694664999</v>
      </c>
      <c r="Z291" s="17">
        <f t="shared" si="80"/>
        <v>183541.64081129522</v>
      </c>
      <c r="AA291" s="20">
        <f t="shared" si="81"/>
        <v>4.8322406830067027E-2</v>
      </c>
      <c r="AB291" s="17">
        <f t="shared" si="82"/>
        <v>183541.64081129522</v>
      </c>
      <c r="AC291" s="18">
        <f t="shared" si="83"/>
        <v>3989526.1090054358</v>
      </c>
      <c r="AD291" s="19">
        <f t="shared" si="84"/>
        <v>5.697352908944354E-3</v>
      </c>
    </row>
    <row r="292" spans="1:30" x14ac:dyDescent="0.25">
      <c r="A292" s="8">
        <v>441</v>
      </c>
      <c r="B292" s="9">
        <v>45042</v>
      </c>
      <c r="C292" s="10">
        <v>2.291666666666667</v>
      </c>
      <c r="D292" s="11">
        <v>184490.7817433897</v>
      </c>
      <c r="E292" s="11">
        <v>2089.425945518999</v>
      </c>
      <c r="F292" s="11">
        <v>17.659162163001209</v>
      </c>
      <c r="G292" s="11">
        <v>69099.098773958001</v>
      </c>
      <c r="H292" s="12">
        <v>7.26086066918048E-2</v>
      </c>
      <c r="I292" s="13">
        <v>3319</v>
      </c>
      <c r="J292" s="13">
        <v>521933</v>
      </c>
      <c r="K292" s="12">
        <v>8.0047223639546555E-2</v>
      </c>
      <c r="L292" s="14">
        <v>22.1110763888889</v>
      </c>
      <c r="M292" s="15"/>
      <c r="N292" s="16">
        <f t="shared" si="68"/>
        <v>115391.6829694317</v>
      </c>
      <c r="O292" s="17">
        <f t="shared" si="69"/>
        <v>186597.86685107171</v>
      </c>
      <c r="P292" s="18">
        <f t="shared" si="70"/>
        <v>4125879.6879477664</v>
      </c>
      <c r="Q292" s="19">
        <f t="shared" si="71"/>
        <v>1.1197480339829504E-2</v>
      </c>
      <c r="R292" s="20">
        <f t="shared" si="72"/>
        <v>7.26086066918048E-2</v>
      </c>
      <c r="S292" s="20">
        <f t="shared" si="73"/>
        <v>9.0656424325776907E-4</v>
      </c>
      <c r="T292" s="20">
        <f t="shared" si="74"/>
        <v>7.6619920496348842E-6</v>
      </c>
      <c r="U292" s="20">
        <f t="shared" si="75"/>
        <v>8.0961449874853958E-2</v>
      </c>
      <c r="V292" s="21">
        <f t="shared" si="76"/>
        <v>367339114.2765311</v>
      </c>
      <c r="W292" s="21" t="str">
        <f t="shared" si="77"/>
        <v/>
      </c>
      <c r="X292" s="19" t="str">
        <f t="shared" si="78"/>
        <v/>
      </c>
      <c r="Y292" s="17">
        <f t="shared" si="79"/>
        <v>1044.7129727594995</v>
      </c>
      <c r="Z292" s="17">
        <f t="shared" si="80"/>
        <v>183446.0687706302</v>
      </c>
      <c r="AA292" s="20">
        <f t="shared" si="81"/>
        <v>4.8257946323806609E-2</v>
      </c>
      <c r="AB292" s="17">
        <f t="shared" si="82"/>
        <v>183446.0687706302</v>
      </c>
      <c r="AC292" s="18">
        <f t="shared" si="83"/>
        <v>4056190.0398287708</v>
      </c>
      <c r="AD292" s="19">
        <f t="shared" si="84"/>
        <v>5.6626838635905532E-3</v>
      </c>
    </row>
    <row r="293" spans="1:30" x14ac:dyDescent="0.25">
      <c r="A293" s="8">
        <v>442</v>
      </c>
      <c r="B293" s="9">
        <v>45044</v>
      </c>
      <c r="C293" s="10">
        <v>2.291666666666667</v>
      </c>
      <c r="D293" s="11">
        <v>184388.2358404354</v>
      </c>
      <c r="E293" s="11">
        <v>2096.6058557059991</v>
      </c>
      <c r="F293" s="11">
        <v>14.204411309002291</v>
      </c>
      <c r="G293" s="11">
        <v>69486.140473430001</v>
      </c>
      <c r="H293" s="12">
        <v>7.2916698178788319E-2</v>
      </c>
      <c r="I293" s="13">
        <v>3324</v>
      </c>
      <c r="J293" s="13">
        <v>527990</v>
      </c>
      <c r="K293" s="12">
        <v>7.9664001326389511E-2</v>
      </c>
      <c r="L293" s="14">
        <v>22.689340277777799</v>
      </c>
      <c r="M293" s="15"/>
      <c r="N293" s="16">
        <f t="shared" si="68"/>
        <v>114902.0953670054</v>
      </c>
      <c r="O293" s="17">
        <f t="shared" si="69"/>
        <v>186499.04610745041</v>
      </c>
      <c r="P293" s="18">
        <f t="shared" si="70"/>
        <v>4231540.3186129136</v>
      </c>
      <c r="Q293" s="19">
        <f t="shared" si="71"/>
        <v>1.1241911953254984E-2</v>
      </c>
      <c r="R293" s="20">
        <f t="shared" si="72"/>
        <v>7.2916698178788319E-2</v>
      </c>
      <c r="S293" s="20">
        <f t="shared" si="73"/>
        <v>9.0582791742970404E-4</v>
      </c>
      <c r="T293" s="20">
        <f t="shared" si="74"/>
        <v>6.1369438034006655E-6</v>
      </c>
      <c r="U293" s="20">
        <f t="shared" si="75"/>
        <v>8.0575966187622611E-2</v>
      </c>
      <c r="V293" s="21">
        <f t="shared" si="76"/>
        <v>368901031.71168935</v>
      </c>
      <c r="W293" s="21" t="str">
        <f t="shared" si="77"/>
        <v/>
      </c>
      <c r="X293" s="19" t="str">
        <f t="shared" si="78"/>
        <v/>
      </c>
      <c r="Y293" s="17">
        <f t="shared" si="79"/>
        <v>1048.3029278529996</v>
      </c>
      <c r="Z293" s="17">
        <f t="shared" si="80"/>
        <v>183339.93291258242</v>
      </c>
      <c r="AA293" s="20">
        <f t="shared" si="81"/>
        <v>4.8215020431273257E-2</v>
      </c>
      <c r="AB293" s="17">
        <f t="shared" si="82"/>
        <v>183339.93291258242</v>
      </c>
      <c r="AC293" s="18">
        <f t="shared" si="83"/>
        <v>4159862.1243585357</v>
      </c>
      <c r="AD293" s="19">
        <f t="shared" si="84"/>
        <v>5.6853026608496464E-3</v>
      </c>
    </row>
    <row r="294" spans="1:30" x14ac:dyDescent="0.25">
      <c r="A294" s="8">
        <v>443</v>
      </c>
      <c r="B294" s="9">
        <v>45046</v>
      </c>
      <c r="C294" s="10">
        <v>2.291666666666667</v>
      </c>
      <c r="D294" s="11">
        <v>184285.68934208879</v>
      </c>
      <c r="E294" s="11">
        <v>2130.5091890129988</v>
      </c>
      <c r="F294" s="11">
        <v>18.008439946002429</v>
      </c>
      <c r="G294" s="11">
        <v>69355.015053331997</v>
      </c>
      <c r="H294" s="12">
        <v>7.2854065370390797E-2</v>
      </c>
      <c r="I294" s="13">
        <v>3330</v>
      </c>
      <c r="J294" s="13">
        <v>526975</v>
      </c>
      <c r="K294" s="12">
        <v>7.9555838372073348E-2</v>
      </c>
      <c r="L294" s="14">
        <v>23.381180555555559</v>
      </c>
      <c r="M294" s="15"/>
      <c r="N294" s="16">
        <f t="shared" si="68"/>
        <v>114930.6742887568</v>
      </c>
      <c r="O294" s="17">
        <f t="shared" si="69"/>
        <v>186434.2069710478</v>
      </c>
      <c r="P294" s="18">
        <f t="shared" si="70"/>
        <v>4359051.8549218839</v>
      </c>
      <c r="Q294" s="19">
        <f t="shared" si="71"/>
        <v>1.1427673191668389E-2</v>
      </c>
      <c r="R294" s="20">
        <f t="shared" si="72"/>
        <v>7.2854065370390797E-2</v>
      </c>
      <c r="S294" s="20">
        <f t="shared" si="73"/>
        <v>9.1973742126391232E-4</v>
      </c>
      <c r="T294" s="20">
        <f t="shared" si="74"/>
        <v>7.7742148226056055E-6</v>
      </c>
      <c r="U294" s="20">
        <f t="shared" si="75"/>
        <v>8.0483350008159871E-2</v>
      </c>
      <c r="V294" s="21">
        <f t="shared" si="76"/>
        <v>369197142.95339835</v>
      </c>
      <c r="W294" s="21" t="str">
        <f t="shared" si="77"/>
        <v/>
      </c>
      <c r="X294" s="19" t="str">
        <f t="shared" si="78"/>
        <v/>
      </c>
      <c r="Y294" s="17">
        <f t="shared" si="79"/>
        <v>1065.2545945064994</v>
      </c>
      <c r="Z294" s="17">
        <f t="shared" si="80"/>
        <v>183220.4347475823</v>
      </c>
      <c r="AA294" s="20">
        <f t="shared" si="81"/>
        <v>4.8172132721720953E-2</v>
      </c>
      <c r="AB294" s="17">
        <f t="shared" si="82"/>
        <v>183220.4347475823</v>
      </c>
      <c r="AC294" s="18">
        <f t="shared" si="83"/>
        <v>4283910.0663006073</v>
      </c>
      <c r="AD294" s="19">
        <f t="shared" si="84"/>
        <v>5.7804520704213313E-3</v>
      </c>
    </row>
    <row r="295" spans="1:30" x14ac:dyDescent="0.25">
      <c r="A295" s="8">
        <v>444</v>
      </c>
      <c r="B295" s="9">
        <v>45049</v>
      </c>
      <c r="C295" s="10">
        <v>2.291666666666667</v>
      </c>
      <c r="D295" s="11">
        <v>184183.1334669833</v>
      </c>
      <c r="E295" s="11">
        <v>2098.5753318629991</v>
      </c>
      <c r="F295" s="11">
        <v>22.024726417003698</v>
      </c>
      <c r="G295" s="11">
        <v>69189.551320856001</v>
      </c>
      <c r="H295" s="12">
        <v>7.2768665948355418E-2</v>
      </c>
      <c r="I295" s="13">
        <v>3338</v>
      </c>
      <c r="J295" s="13">
        <v>531342</v>
      </c>
      <c r="K295" s="12">
        <v>7.9518711395548725E-2</v>
      </c>
      <c r="L295" s="14">
        <v>21.738437499999989</v>
      </c>
      <c r="M295" s="15"/>
      <c r="N295" s="16">
        <f t="shared" si="68"/>
        <v>114993.5821461273</v>
      </c>
      <c r="O295" s="17">
        <f t="shared" si="69"/>
        <v>186303.73352526329</v>
      </c>
      <c r="P295" s="18">
        <f t="shared" si="70"/>
        <v>4049952.0672555887</v>
      </c>
      <c r="Q295" s="19">
        <f t="shared" si="71"/>
        <v>1.126426879458337E-2</v>
      </c>
      <c r="R295" s="20">
        <f t="shared" si="72"/>
        <v>7.2768665948355418E-2</v>
      </c>
      <c r="S295" s="20">
        <f t="shared" si="73"/>
        <v>9.0603304990544066E-4</v>
      </c>
      <c r="T295" s="20">
        <f t="shared" si="74"/>
        <v>9.5088938414308566E-6</v>
      </c>
      <c r="U295" s="20">
        <f t="shared" si="75"/>
        <v>8.0434253339295603E-2</v>
      </c>
      <c r="V295" s="21">
        <f t="shared" si="76"/>
        <v>369163963.74143869</v>
      </c>
      <c r="W295" s="21" t="str">
        <f t="shared" si="77"/>
        <v/>
      </c>
      <c r="X295" s="19" t="str">
        <f t="shared" si="78"/>
        <v/>
      </c>
      <c r="Y295" s="17">
        <f t="shared" si="79"/>
        <v>1049.2876659314995</v>
      </c>
      <c r="Z295" s="17">
        <f t="shared" si="80"/>
        <v>183133.84580105179</v>
      </c>
      <c r="AA295" s="20">
        <f t="shared" si="81"/>
        <v>4.8107872676193708E-2</v>
      </c>
      <c r="AB295" s="17">
        <f t="shared" si="82"/>
        <v>183133.84580105179</v>
      </c>
      <c r="AC295" s="18">
        <f t="shared" si="83"/>
        <v>3981043.6610808</v>
      </c>
      <c r="AD295" s="19">
        <f t="shared" si="84"/>
        <v>5.6969802075801639E-3</v>
      </c>
    </row>
    <row r="296" spans="1:30" x14ac:dyDescent="0.25">
      <c r="A296" s="8">
        <v>445</v>
      </c>
      <c r="B296" s="9">
        <v>45051</v>
      </c>
      <c r="C296" s="10">
        <v>2.375</v>
      </c>
      <c r="D296" s="11">
        <v>184080.59040142229</v>
      </c>
      <c r="E296" s="11">
        <v>2413.033244517997</v>
      </c>
      <c r="F296" s="11">
        <v>42.550357624004477</v>
      </c>
      <c r="G296" s="11">
        <v>69064.963561960001</v>
      </c>
      <c r="H296" s="12">
        <v>7.2008609176591687E-2</v>
      </c>
      <c r="I296" s="13">
        <v>3350</v>
      </c>
      <c r="J296" s="13">
        <v>530793</v>
      </c>
      <c r="K296" s="12">
        <v>7.6856878915968541E-2</v>
      </c>
      <c r="L296" s="14">
        <v>22.2357986111111</v>
      </c>
      <c r="M296" s="15"/>
      <c r="N296" s="16">
        <f t="shared" si="68"/>
        <v>115015.62683946229</v>
      </c>
      <c r="O296" s="17">
        <f t="shared" si="69"/>
        <v>186536.17400356432</v>
      </c>
      <c r="P296" s="18">
        <f t="shared" si="70"/>
        <v>4147780.7988304337</v>
      </c>
      <c r="Q296" s="19">
        <f t="shared" si="71"/>
        <v>1.2936006956333783E-2</v>
      </c>
      <c r="R296" s="20">
        <f t="shared" si="72"/>
        <v>7.2008609176591687E-2</v>
      </c>
      <c r="S296" s="20">
        <f t="shared" si="73"/>
        <v>1.0074837520332805E-3</v>
      </c>
      <c r="T296" s="20">
        <f t="shared" si="74"/>
        <v>1.7765521484952836E-5</v>
      </c>
      <c r="U296" s="20">
        <f t="shared" si="75"/>
        <v>7.7882128189486782E-2</v>
      </c>
      <c r="V296" s="21">
        <f t="shared" si="76"/>
        <v>368342528.51024342</v>
      </c>
      <c r="W296" s="21" t="str">
        <f t="shared" si="77"/>
        <v/>
      </c>
      <c r="X296" s="19" t="str">
        <f t="shared" si="78"/>
        <v/>
      </c>
      <c r="Y296" s="17">
        <f t="shared" si="79"/>
        <v>1206.5166222589985</v>
      </c>
      <c r="Z296" s="17">
        <f t="shared" si="80"/>
        <v>182874.0737791633</v>
      </c>
      <c r="AA296" s="20">
        <f t="shared" si="81"/>
        <v>4.8065080275567079E-2</v>
      </c>
      <c r="AB296" s="17">
        <f t="shared" si="82"/>
        <v>182874.0737791633</v>
      </c>
      <c r="AC296" s="18">
        <f t="shared" si="83"/>
        <v>4066351.0757469484</v>
      </c>
      <c r="AD296" s="19">
        <f t="shared" si="84"/>
        <v>6.5542848359404025E-3</v>
      </c>
    </row>
    <row r="297" spans="1:30" x14ac:dyDescent="0.25">
      <c r="A297" s="8">
        <v>446</v>
      </c>
      <c r="B297" s="9">
        <v>45053</v>
      </c>
      <c r="C297" s="10">
        <v>2.375</v>
      </c>
      <c r="D297" s="11">
        <v>183977.94383586009</v>
      </c>
      <c r="E297" s="11">
        <v>2444.9803361179988</v>
      </c>
      <c r="F297" s="11">
        <v>55.398700465000687</v>
      </c>
      <c r="G297" s="11">
        <v>69060.826997887998</v>
      </c>
      <c r="H297" s="12">
        <v>7.1779444805836923E-2</v>
      </c>
      <c r="I297" s="13">
        <v>3362</v>
      </c>
      <c r="J297" s="13">
        <v>527221</v>
      </c>
      <c r="K297" s="12">
        <v>7.6836641920490237E-2</v>
      </c>
      <c r="L297" s="14">
        <v>22.235104166666659</v>
      </c>
      <c r="M297" s="15"/>
      <c r="N297" s="16">
        <f t="shared" si="68"/>
        <v>114917.11683797209</v>
      </c>
      <c r="O297" s="17">
        <f t="shared" si="69"/>
        <v>186478.3228724431</v>
      </c>
      <c r="P297" s="18">
        <f t="shared" si="70"/>
        <v>4146364.9338940699</v>
      </c>
      <c r="Q297" s="19">
        <f t="shared" si="71"/>
        <v>1.3111338081855448E-2</v>
      </c>
      <c r="R297" s="20">
        <f t="shared" si="72"/>
        <v>7.1779444805836923E-2</v>
      </c>
      <c r="S297" s="20">
        <f t="shared" si="73"/>
        <v>1.0211228295743187E-3</v>
      </c>
      <c r="T297" s="20">
        <f t="shared" si="74"/>
        <v>2.3136741403564203E-5</v>
      </c>
      <c r="U297" s="20">
        <f t="shared" si="75"/>
        <v>7.7880901491468132E-2</v>
      </c>
      <c r="V297" s="21">
        <f t="shared" si="76"/>
        <v>368234093.06849164</v>
      </c>
      <c r="W297" s="21" t="str">
        <f t="shared" si="77"/>
        <v/>
      </c>
      <c r="X297" s="19" t="str">
        <f t="shared" si="78"/>
        <v/>
      </c>
      <c r="Y297" s="17">
        <f t="shared" si="79"/>
        <v>1222.4901680589994</v>
      </c>
      <c r="Z297" s="17">
        <f t="shared" si="80"/>
        <v>182755.45366780108</v>
      </c>
      <c r="AA297" s="20">
        <f t="shared" si="81"/>
        <v>4.8022325939179211E-2</v>
      </c>
      <c r="AB297" s="17">
        <f t="shared" si="82"/>
        <v>182755.45366780108</v>
      </c>
      <c r="AC297" s="18">
        <f t="shared" si="83"/>
        <v>4063586.5493299793</v>
      </c>
      <c r="AD297" s="19">
        <f t="shared" si="84"/>
        <v>6.6447648156654614E-3</v>
      </c>
    </row>
    <row r="298" spans="1:30" x14ac:dyDescent="0.25">
      <c r="A298" s="8">
        <v>447</v>
      </c>
      <c r="B298" s="9">
        <v>45056</v>
      </c>
      <c r="C298" s="10">
        <v>2.375</v>
      </c>
      <c r="D298" s="11">
        <v>183875.288935958</v>
      </c>
      <c r="E298" s="11">
        <v>2535.9827020910002</v>
      </c>
      <c r="F298" s="11">
        <v>55.579014794999708</v>
      </c>
      <c r="G298" s="11">
        <v>69087.575109013997</v>
      </c>
      <c r="H298" s="12">
        <v>7.2809891973333929E-2</v>
      </c>
      <c r="I298" s="13">
        <v>3370</v>
      </c>
      <c r="J298" s="13">
        <v>533002</v>
      </c>
      <c r="K298" s="12">
        <v>7.7100544791616057E-2</v>
      </c>
      <c r="L298" s="14">
        <v>20.86236111111111</v>
      </c>
      <c r="M298" s="15"/>
      <c r="N298" s="16">
        <f t="shared" si="68"/>
        <v>114787.713826944</v>
      </c>
      <c r="O298" s="17">
        <f t="shared" si="69"/>
        <v>186466.85065284398</v>
      </c>
      <c r="P298" s="18">
        <f t="shared" si="70"/>
        <v>3890138.7735712552</v>
      </c>
      <c r="Q298" s="19">
        <f t="shared" si="71"/>
        <v>1.3600179834711665E-2</v>
      </c>
      <c r="R298" s="20">
        <f t="shared" si="72"/>
        <v>7.2809891973333929E-2</v>
      </c>
      <c r="S298" s="20">
        <f t="shared" si="73"/>
        <v>1.0633601124152708E-3</v>
      </c>
      <c r="T298" s="20">
        <f t="shared" si="74"/>
        <v>2.3304775451193179E-5</v>
      </c>
      <c r="U298" s="20">
        <f t="shared" si="75"/>
        <v>7.8187209679482519E-2</v>
      </c>
      <c r="V298" s="21">
        <f t="shared" si="76"/>
        <v>366768924.72578335</v>
      </c>
      <c r="W298" s="21" t="str">
        <f t="shared" si="77"/>
        <v/>
      </c>
      <c r="X298" s="19" t="str">
        <f t="shared" si="78"/>
        <v/>
      </c>
      <c r="Y298" s="17">
        <f t="shared" si="79"/>
        <v>1267.9913510455001</v>
      </c>
      <c r="Z298" s="17">
        <f t="shared" si="80"/>
        <v>182607.29758491251</v>
      </c>
      <c r="AA298" s="20">
        <f t="shared" si="81"/>
        <v>4.7958265730987833E-2</v>
      </c>
      <c r="AB298" s="17">
        <f t="shared" si="82"/>
        <v>182607.29758491251</v>
      </c>
      <c r="AC298" s="18">
        <f t="shared" si="83"/>
        <v>3809619.3837405723</v>
      </c>
      <c r="AD298" s="19">
        <f t="shared" si="84"/>
        <v>6.895931249832757E-3</v>
      </c>
    </row>
    <row r="299" spans="1:30" x14ac:dyDescent="0.25">
      <c r="A299" s="8">
        <v>448</v>
      </c>
      <c r="B299" s="9">
        <v>45058</v>
      </c>
      <c r="C299" s="10">
        <v>2.416666666666667</v>
      </c>
      <c r="D299" s="11">
        <v>183772.60613141159</v>
      </c>
      <c r="E299" s="11">
        <v>2213.468948887999</v>
      </c>
      <c r="F299" s="11">
        <v>29.228065866999771</v>
      </c>
      <c r="G299" s="11">
        <v>69388.333274417004</v>
      </c>
      <c r="H299" s="12">
        <v>7.2986981613053378E-2</v>
      </c>
      <c r="I299" s="13">
        <v>3380</v>
      </c>
      <c r="J299" s="13">
        <v>539409</v>
      </c>
      <c r="K299" s="12">
        <v>7.5642882601620526E-2</v>
      </c>
      <c r="L299" s="14">
        <v>20.326527777777759</v>
      </c>
      <c r="M299" s="15"/>
      <c r="N299" s="16">
        <f t="shared" si="68"/>
        <v>114384.27285699459</v>
      </c>
      <c r="O299" s="17">
        <f t="shared" si="69"/>
        <v>186015.30314616661</v>
      </c>
      <c r="P299" s="18">
        <f t="shared" si="70"/>
        <v>3781045.2264923062</v>
      </c>
      <c r="Q299" s="19">
        <f t="shared" si="71"/>
        <v>1.1899391670741763E-2</v>
      </c>
      <c r="R299" s="20">
        <f t="shared" si="72"/>
        <v>7.2986981613053378E-2</v>
      </c>
      <c r="S299" s="20">
        <f t="shared" si="73"/>
        <v>9.1108884706864125E-4</v>
      </c>
      <c r="T299" s="20">
        <f t="shared" si="74"/>
        <v>1.2030602392768676E-5</v>
      </c>
      <c r="U299" s="20">
        <f t="shared" si="75"/>
        <v>7.6566002051081938E-2</v>
      </c>
      <c r="V299" s="21">
        <f t="shared" si="76"/>
        <v>367186052.62303174</v>
      </c>
      <c r="W299" s="21" t="str">
        <f t="shared" si="77"/>
        <v/>
      </c>
      <c r="X299" s="19" t="str">
        <f t="shared" si="78"/>
        <v/>
      </c>
      <c r="Y299" s="17">
        <f t="shared" si="79"/>
        <v>1106.7344744439995</v>
      </c>
      <c r="Z299" s="17">
        <f t="shared" si="80"/>
        <v>182665.87165696759</v>
      </c>
      <c r="AA299" s="20">
        <f t="shared" si="81"/>
        <v>4.79156064071318E-2</v>
      </c>
      <c r="AB299" s="17">
        <f t="shared" si="82"/>
        <v>182665.87165696759</v>
      </c>
      <c r="AC299" s="18">
        <f t="shared" si="83"/>
        <v>3712962.914287339</v>
      </c>
      <c r="AD299" s="19">
        <f t="shared" si="84"/>
        <v>6.0223038555191353E-3</v>
      </c>
    </row>
    <row r="300" spans="1:30" x14ac:dyDescent="0.25">
      <c r="A300" s="8">
        <v>449</v>
      </c>
      <c r="B300" s="9">
        <v>45061</v>
      </c>
      <c r="C300" s="10">
        <v>2.375</v>
      </c>
      <c r="D300" s="11">
        <v>183670.03420618101</v>
      </c>
      <c r="E300" s="11">
        <v>2246.797801516002</v>
      </c>
      <c r="F300" s="11">
        <v>35.164861164001309</v>
      </c>
      <c r="G300" s="11">
        <v>69241.847873633</v>
      </c>
      <c r="H300" s="12">
        <v>7.2889612383066293E-2</v>
      </c>
      <c r="I300" s="13">
        <v>3396</v>
      </c>
      <c r="J300" s="13">
        <v>539284</v>
      </c>
      <c r="K300" s="12">
        <v>7.6921446932455312E-2</v>
      </c>
      <c r="L300" s="14">
        <v>21.26493055555553</v>
      </c>
      <c r="M300" s="15"/>
      <c r="N300" s="16">
        <f t="shared" si="68"/>
        <v>114428.18633254801</v>
      </c>
      <c r="O300" s="17">
        <f t="shared" si="69"/>
        <v>185951.996868861</v>
      </c>
      <c r="P300" s="18">
        <f t="shared" si="70"/>
        <v>3954256.3000832084</v>
      </c>
      <c r="Q300" s="19">
        <f t="shared" si="71"/>
        <v>1.208267638610255E-2</v>
      </c>
      <c r="R300" s="20">
        <f t="shared" si="72"/>
        <v>7.2889612383066293E-2</v>
      </c>
      <c r="S300" s="20">
        <f t="shared" si="73"/>
        <v>9.4096426019750978E-4</v>
      </c>
      <c r="T300" s="20">
        <f t="shared" si="74"/>
        <v>1.4727127446807307E-5</v>
      </c>
      <c r="U300" s="20">
        <f t="shared" si="75"/>
        <v>7.7877138320099626E-2</v>
      </c>
      <c r="V300" s="21">
        <f t="shared" si="76"/>
        <v>367212513.78608072</v>
      </c>
      <c r="W300" s="21" t="str">
        <f t="shared" si="77"/>
        <v/>
      </c>
      <c r="X300" s="19" t="str">
        <f t="shared" si="78"/>
        <v/>
      </c>
      <c r="Y300" s="17">
        <f t="shared" si="79"/>
        <v>1123.398900758001</v>
      </c>
      <c r="Z300" s="17">
        <f t="shared" si="80"/>
        <v>182546.635305423</v>
      </c>
      <c r="AA300" s="20">
        <f t="shared" si="81"/>
        <v>4.7851688559296938E-2</v>
      </c>
      <c r="AB300" s="17">
        <f t="shared" si="82"/>
        <v>182546.635305423</v>
      </c>
      <c r="AC300" s="18">
        <f t="shared" si="83"/>
        <v>3881841.5229201415</v>
      </c>
      <c r="AD300" s="19">
        <f t="shared" si="84"/>
        <v>6.1163972969968308E-3</v>
      </c>
    </row>
    <row r="301" spans="1:30" x14ac:dyDescent="0.25">
      <c r="A301" s="8">
        <v>450</v>
      </c>
      <c r="B301" s="9">
        <v>45063</v>
      </c>
      <c r="C301" s="10">
        <v>2.375</v>
      </c>
      <c r="D301" s="11">
        <v>183567.45385737281</v>
      </c>
      <c r="E301" s="11">
        <v>2236.461160166999</v>
      </c>
      <c r="F301" s="11">
        <v>27.222751857001551</v>
      </c>
      <c r="G301" s="11">
        <v>69021.122514411007</v>
      </c>
      <c r="H301" s="12">
        <v>7.2857281597695667E-2</v>
      </c>
      <c r="I301" s="13">
        <v>3400</v>
      </c>
      <c r="J301" s="13">
        <v>538679</v>
      </c>
      <c r="K301" s="12">
        <v>7.6966605400492133E-2</v>
      </c>
      <c r="L301" s="14">
        <v>20.809305555555571</v>
      </c>
      <c r="M301" s="15"/>
      <c r="N301" s="16">
        <f t="shared" si="68"/>
        <v>114546.3313429618</v>
      </c>
      <c r="O301" s="17">
        <f t="shared" si="69"/>
        <v>185831.13776939682</v>
      </c>
      <c r="P301" s="18">
        <f t="shared" si="70"/>
        <v>3867016.9275799221</v>
      </c>
      <c r="Q301" s="19">
        <f t="shared" si="71"/>
        <v>1.203491076367561E-2</v>
      </c>
      <c r="R301" s="20">
        <f t="shared" si="72"/>
        <v>7.2857281597695667E-2</v>
      </c>
      <c r="S301" s="20">
        <f t="shared" si="73"/>
        <v>9.3770883667560715E-4</v>
      </c>
      <c r="T301" s="20">
        <f t="shared" si="74"/>
        <v>1.141402114626105E-5</v>
      </c>
      <c r="U301" s="20">
        <f t="shared" si="75"/>
        <v>7.7915728258314013E-2</v>
      </c>
      <c r="V301" s="21">
        <f t="shared" si="76"/>
        <v>366792090.7694788</v>
      </c>
      <c r="W301" s="21" t="str">
        <f t="shared" si="77"/>
        <v/>
      </c>
      <c r="X301" s="19" t="str">
        <f t="shared" si="78"/>
        <v/>
      </c>
      <c r="Y301" s="17">
        <f t="shared" si="79"/>
        <v>1118.2305800834995</v>
      </c>
      <c r="Z301" s="17">
        <f t="shared" si="80"/>
        <v>182449.2232772893</v>
      </c>
      <c r="AA301" s="20">
        <f t="shared" si="81"/>
        <v>4.7809124036827362E-2</v>
      </c>
      <c r="AB301" s="17">
        <f t="shared" si="82"/>
        <v>182449.2232772893</v>
      </c>
      <c r="AC301" s="18">
        <f t="shared" si="83"/>
        <v>3796641.6355508952</v>
      </c>
      <c r="AD301" s="19">
        <f t="shared" si="84"/>
        <v>6.0916603492922874E-3</v>
      </c>
    </row>
    <row r="302" spans="1:30" x14ac:dyDescent="0.25">
      <c r="A302" s="8">
        <v>451</v>
      </c>
      <c r="B302" s="9">
        <v>45065</v>
      </c>
      <c r="C302" s="10">
        <v>2.375</v>
      </c>
      <c r="D302" s="11">
        <v>183464.87973469889</v>
      </c>
      <c r="E302" s="11">
        <v>2141.7949737169988</v>
      </c>
      <c r="F302" s="11">
        <v>25.746214639000272</v>
      </c>
      <c r="G302" s="11">
        <v>69150.068630513997</v>
      </c>
      <c r="H302" s="12">
        <v>7.2793437740002756E-2</v>
      </c>
      <c r="I302" s="13">
        <v>3412</v>
      </c>
      <c r="J302" s="13">
        <v>534729</v>
      </c>
      <c r="K302" s="12">
        <v>7.6849195868498713E-2</v>
      </c>
      <c r="L302" s="14">
        <v>20.423090277777732</v>
      </c>
      <c r="M302" s="15"/>
      <c r="N302" s="16">
        <f t="shared" si="68"/>
        <v>114314.81110418489</v>
      </c>
      <c r="O302" s="17">
        <f t="shared" si="69"/>
        <v>185632.42092305489</v>
      </c>
      <c r="P302" s="18">
        <f t="shared" si="70"/>
        <v>3791187.6909939856</v>
      </c>
      <c r="Q302" s="19">
        <f t="shared" si="71"/>
        <v>1.1537828160980448E-2</v>
      </c>
      <c r="R302" s="20">
        <f t="shared" si="72"/>
        <v>7.2793437740002756E-2</v>
      </c>
      <c r="S302" s="20">
        <f t="shared" si="73"/>
        <v>8.9714838983547234E-4</v>
      </c>
      <c r="T302" s="20">
        <f t="shared" si="74"/>
        <v>1.0784493983404775E-5</v>
      </c>
      <c r="U302" s="20">
        <f t="shared" si="75"/>
        <v>7.7757128752317592E-2</v>
      </c>
      <c r="V302" s="21">
        <f t="shared" si="76"/>
        <v>367147202.71395749</v>
      </c>
      <c r="W302" s="21" t="str">
        <f t="shared" si="77"/>
        <v/>
      </c>
      <c r="X302" s="19" t="str">
        <f t="shared" si="78"/>
        <v/>
      </c>
      <c r="Y302" s="17">
        <f t="shared" si="79"/>
        <v>1070.8974868584994</v>
      </c>
      <c r="Z302" s="17">
        <f t="shared" si="80"/>
        <v>182393.98224784038</v>
      </c>
      <c r="AA302" s="20">
        <f t="shared" si="81"/>
        <v>4.776659737589678E-2</v>
      </c>
      <c r="AB302" s="17">
        <f t="shared" si="82"/>
        <v>182393.98224784038</v>
      </c>
      <c r="AC302" s="18">
        <f t="shared" si="83"/>
        <v>3725048.7655710331</v>
      </c>
      <c r="AD302" s="19">
        <f t="shared" si="84"/>
        <v>5.8370707702045249E-3</v>
      </c>
    </row>
    <row r="303" spans="1:30" x14ac:dyDescent="0.25">
      <c r="A303" s="8">
        <v>452</v>
      </c>
      <c r="B303" s="9">
        <v>45068</v>
      </c>
      <c r="C303" s="10">
        <v>2.333333333333333</v>
      </c>
      <c r="D303" s="11">
        <v>183362.34023954379</v>
      </c>
      <c r="E303" s="11">
        <v>2107.695123316998</v>
      </c>
      <c r="F303" s="11">
        <v>25.478331701002141</v>
      </c>
      <c r="G303" s="11">
        <v>69211.454303598002</v>
      </c>
      <c r="H303" s="12">
        <v>7.2928479332048504E-2</v>
      </c>
      <c r="I303" s="13">
        <v>3419</v>
      </c>
      <c r="J303" s="13">
        <v>545535</v>
      </c>
      <c r="K303" s="12">
        <v>7.8275350954085748E-2</v>
      </c>
      <c r="L303" s="14">
        <v>19.709861111111088</v>
      </c>
      <c r="M303" s="15"/>
      <c r="N303" s="16">
        <f t="shared" si="68"/>
        <v>114150.88593594579</v>
      </c>
      <c r="O303" s="17">
        <f t="shared" si="69"/>
        <v>185495.51369456181</v>
      </c>
      <c r="P303" s="18">
        <f t="shared" si="70"/>
        <v>3656090.8116540182</v>
      </c>
      <c r="Q303" s="19">
        <f t="shared" si="71"/>
        <v>1.136251266317709E-2</v>
      </c>
      <c r="R303" s="20">
        <f t="shared" si="72"/>
        <v>7.2928479332048504E-2</v>
      </c>
      <c r="S303" s="20">
        <f t="shared" si="73"/>
        <v>8.997516898307643E-4</v>
      </c>
      <c r="T303" s="20">
        <f t="shared" si="74"/>
        <v>1.0876417442181273E-5</v>
      </c>
      <c r="U303" s="20">
        <f t="shared" si="75"/>
        <v>7.9185979061358699E-2</v>
      </c>
      <c r="V303" s="21">
        <f t="shared" si="76"/>
        <v>366689571.52722877</v>
      </c>
      <c r="W303" s="21" t="str">
        <f t="shared" si="77"/>
        <v/>
      </c>
      <c r="X303" s="19" t="str">
        <f t="shared" si="78"/>
        <v/>
      </c>
      <c r="Y303" s="17">
        <f t="shared" si="79"/>
        <v>1053.847561658499</v>
      </c>
      <c r="Z303" s="17">
        <f t="shared" si="80"/>
        <v>182308.49267788528</v>
      </c>
      <c r="AA303" s="20">
        <f t="shared" si="81"/>
        <v>4.770287830122371E-2</v>
      </c>
      <c r="AB303" s="17">
        <f t="shared" si="82"/>
        <v>182308.49267788528</v>
      </c>
      <c r="AC303" s="18">
        <f t="shared" si="83"/>
        <v>3593275.0700571318</v>
      </c>
      <c r="AD303" s="19">
        <f t="shared" si="84"/>
        <v>5.7473500844380417E-3</v>
      </c>
    </row>
    <row r="304" spans="1:30" x14ac:dyDescent="0.25">
      <c r="A304" s="8">
        <v>453</v>
      </c>
      <c r="B304" s="9">
        <v>45070</v>
      </c>
      <c r="C304" s="10">
        <v>2.291666666666667</v>
      </c>
      <c r="D304" s="11">
        <v>183259.81509184439</v>
      </c>
      <c r="E304" s="11">
        <v>2335.341794386999</v>
      </c>
      <c r="F304" s="11">
        <v>150.14166882591951</v>
      </c>
      <c r="G304" s="11">
        <v>69155.152015161002</v>
      </c>
      <c r="H304" s="12">
        <v>7.2755247994184605E-2</v>
      </c>
      <c r="I304" s="13">
        <v>3422</v>
      </c>
      <c r="J304" s="13">
        <v>546296</v>
      </c>
      <c r="K304" s="12">
        <v>7.9596351315272484E-2</v>
      </c>
      <c r="L304" s="14">
        <v>19.44378472222223</v>
      </c>
      <c r="M304" s="15"/>
      <c r="N304" s="16">
        <f t="shared" si="68"/>
        <v>114104.66307668338</v>
      </c>
      <c r="O304" s="17">
        <f t="shared" si="69"/>
        <v>185745.29855505729</v>
      </c>
      <c r="P304" s="18">
        <f t="shared" si="70"/>
        <v>3611591.5982694295</v>
      </c>
      <c r="Q304" s="19">
        <f t="shared" si="71"/>
        <v>1.2572817791642644E-2</v>
      </c>
      <c r="R304" s="20">
        <f t="shared" si="72"/>
        <v>7.2755247994184605E-2</v>
      </c>
      <c r="S304" s="20">
        <f t="shared" si="73"/>
        <v>1.0143232209096496E-3</v>
      </c>
      <c r="T304" s="20">
        <f t="shared" si="74"/>
        <v>6.5211945198896077E-5</v>
      </c>
      <c r="U304" s="20">
        <f t="shared" si="75"/>
        <v>8.0675886481381034E-2</v>
      </c>
      <c r="V304" s="21">
        <f t="shared" si="76"/>
        <v>366955043.11888778</v>
      </c>
      <c r="W304" s="21" t="str">
        <f t="shared" si="77"/>
        <v/>
      </c>
      <c r="X304" s="19" t="str">
        <f t="shared" si="78"/>
        <v/>
      </c>
      <c r="Y304" s="17">
        <f t="shared" si="79"/>
        <v>1167.6708971934995</v>
      </c>
      <c r="Z304" s="17">
        <f t="shared" si="80"/>
        <v>182092.1441946509</v>
      </c>
      <c r="AA304" s="20">
        <f t="shared" si="81"/>
        <v>4.7660446146864086E-2</v>
      </c>
      <c r="AB304" s="17">
        <f t="shared" si="82"/>
        <v>182092.1441946509</v>
      </c>
      <c r="AC304" s="18">
        <f t="shared" si="83"/>
        <v>3540560.4513286403</v>
      </c>
      <c r="AD304" s="19">
        <f t="shared" si="84"/>
        <v>6.371669078724637E-3</v>
      </c>
    </row>
    <row r="305" spans="1:30" x14ac:dyDescent="0.25">
      <c r="A305" s="8">
        <v>454</v>
      </c>
      <c r="B305" s="9">
        <v>45072</v>
      </c>
      <c r="C305" s="10">
        <v>2.375</v>
      </c>
      <c r="D305" s="11">
        <v>183157.2170512772</v>
      </c>
      <c r="E305" s="11">
        <v>2196.3443678079989</v>
      </c>
      <c r="F305" s="11">
        <v>45.556151565002487</v>
      </c>
      <c r="G305" s="11">
        <v>69137.608509964004</v>
      </c>
      <c r="H305" s="12">
        <v>7.2720566423451496E-2</v>
      </c>
      <c r="I305" s="13">
        <v>3432</v>
      </c>
      <c r="J305" s="13">
        <v>541048</v>
      </c>
      <c r="K305" s="12">
        <v>7.6788510564484685E-2</v>
      </c>
      <c r="L305" s="14">
        <v>19.361666666666629</v>
      </c>
      <c r="M305" s="15"/>
      <c r="N305" s="16">
        <f t="shared" si="68"/>
        <v>114019.6085413132</v>
      </c>
      <c r="O305" s="17">
        <f t="shared" si="69"/>
        <v>185399.11757065018</v>
      </c>
      <c r="P305" s="18">
        <f t="shared" si="70"/>
        <v>3589635.914697065</v>
      </c>
      <c r="Q305" s="19">
        <f t="shared" si="71"/>
        <v>1.1846574010639701E-2</v>
      </c>
      <c r="R305" s="20">
        <f t="shared" si="72"/>
        <v>7.2720566423451496E-2</v>
      </c>
      <c r="S305" s="20">
        <f t="shared" si="73"/>
        <v>9.2081554527798982E-4</v>
      </c>
      <c r="T305" s="20">
        <f t="shared" si="74"/>
        <v>1.9099378566923172E-5</v>
      </c>
      <c r="U305" s="20">
        <f t="shared" si="75"/>
        <v>7.7728425488329603E-2</v>
      </c>
      <c r="V305" s="21">
        <f t="shared" si="76"/>
        <v>366821179.42795992</v>
      </c>
      <c r="W305" s="21" t="str">
        <f t="shared" si="77"/>
        <v/>
      </c>
      <c r="X305" s="19" t="str">
        <f t="shared" si="78"/>
        <v/>
      </c>
      <c r="Y305" s="17">
        <f t="shared" si="79"/>
        <v>1098.1721839039994</v>
      </c>
      <c r="Z305" s="17">
        <f t="shared" si="80"/>
        <v>182059.04486737319</v>
      </c>
      <c r="AA305" s="20">
        <f t="shared" si="81"/>
        <v>4.7618051736300807E-2</v>
      </c>
      <c r="AB305" s="17">
        <f t="shared" si="82"/>
        <v>182059.04486737319</v>
      </c>
      <c r="AC305" s="18">
        <f t="shared" si="83"/>
        <v>3524966.5403737836</v>
      </c>
      <c r="AD305" s="19">
        <f t="shared" si="84"/>
        <v>5.9957898552070272E-3</v>
      </c>
    </row>
    <row r="306" spans="1:30" x14ac:dyDescent="0.25">
      <c r="A306" s="8">
        <v>455</v>
      </c>
      <c r="B306" s="9">
        <v>45075</v>
      </c>
      <c r="C306" s="10">
        <v>2.291666666666667</v>
      </c>
      <c r="D306" s="11">
        <v>183054.66862604581</v>
      </c>
      <c r="E306" s="11">
        <v>2516.9872686819958</v>
      </c>
      <c r="F306" s="11">
        <v>114.4845860009809</v>
      </c>
      <c r="G306" s="11">
        <v>68993.615968694998</v>
      </c>
      <c r="H306" s="12">
        <v>7.2497731377872063E-2</v>
      </c>
      <c r="I306" s="13">
        <v>3435</v>
      </c>
      <c r="J306" s="13">
        <v>538984</v>
      </c>
      <c r="K306" s="12">
        <v>7.9725278670839922E-2</v>
      </c>
      <c r="L306" s="14">
        <v>20.68416666666667</v>
      </c>
      <c r="M306" s="15"/>
      <c r="N306" s="16">
        <f t="shared" si="68"/>
        <v>114061.05265735081</v>
      </c>
      <c r="O306" s="17">
        <f t="shared" si="69"/>
        <v>185686.14048072876</v>
      </c>
      <c r="P306" s="18">
        <f t="shared" si="70"/>
        <v>3840763.0773934745</v>
      </c>
      <c r="Q306" s="19">
        <f t="shared" si="71"/>
        <v>1.3555062656618783E-2</v>
      </c>
      <c r="R306" s="20">
        <f t="shared" si="72"/>
        <v>7.2497731377872063E-2</v>
      </c>
      <c r="S306" s="20">
        <f t="shared" si="73"/>
        <v>1.0962162992770375E-3</v>
      </c>
      <c r="T306" s="20">
        <f t="shared" si="74"/>
        <v>4.9861145803878549E-5</v>
      </c>
      <c r="U306" s="20">
        <f t="shared" si="75"/>
        <v>8.0871356115920834E-2</v>
      </c>
      <c r="V306" s="21">
        <f t="shared" si="76"/>
        <v>365951507.460338</v>
      </c>
      <c r="W306" s="21" t="str">
        <f t="shared" si="77"/>
        <v/>
      </c>
      <c r="X306" s="19" t="str">
        <f t="shared" si="78"/>
        <v/>
      </c>
      <c r="Y306" s="17">
        <f t="shared" si="79"/>
        <v>1258.4936343409979</v>
      </c>
      <c r="Z306" s="17">
        <f t="shared" si="80"/>
        <v>181796.17499170481</v>
      </c>
      <c r="AA306" s="20">
        <f t="shared" si="81"/>
        <v>4.7554530816640267E-2</v>
      </c>
      <c r="AB306" s="17">
        <f t="shared" si="82"/>
        <v>181796.17499170481</v>
      </c>
      <c r="AC306" s="18">
        <f t="shared" si="83"/>
        <v>3760302.3828909216</v>
      </c>
      <c r="AD306" s="19">
        <f t="shared" si="84"/>
        <v>6.8749605994038766E-3</v>
      </c>
    </row>
    <row r="307" spans="1:30" x14ac:dyDescent="0.25">
      <c r="A307" s="8">
        <v>456</v>
      </c>
      <c r="B307" s="9">
        <v>45077</v>
      </c>
      <c r="C307" s="10">
        <v>2.333333333333333</v>
      </c>
      <c r="D307" s="11">
        <v>182952.01668580511</v>
      </c>
      <c r="E307" s="11">
        <v>2219.2183775759991</v>
      </c>
      <c r="F307" s="11">
        <v>59.378278209983748</v>
      </c>
      <c r="G307" s="11">
        <v>68982.499444884001</v>
      </c>
      <c r="H307" s="12">
        <v>7.2334745588434224E-2</v>
      </c>
      <c r="I307" s="13">
        <v>3439</v>
      </c>
      <c r="J307" s="13">
        <v>545730</v>
      </c>
      <c r="K307" s="12">
        <v>7.8186414964330944E-2</v>
      </c>
      <c r="L307" s="14">
        <v>20.77986111111117</v>
      </c>
      <c r="M307" s="15"/>
      <c r="N307" s="16">
        <f t="shared" si="68"/>
        <v>113969.51724092111</v>
      </c>
      <c r="O307" s="17">
        <f t="shared" si="69"/>
        <v>185230.61334159109</v>
      </c>
      <c r="P307" s="18">
        <f t="shared" si="70"/>
        <v>3849066.4187641987</v>
      </c>
      <c r="Q307" s="19">
        <f t="shared" si="71"/>
        <v>1.1980840194506352E-2</v>
      </c>
      <c r="R307" s="20">
        <f t="shared" si="72"/>
        <v>7.2334745588434224E-2</v>
      </c>
      <c r="S307" s="20">
        <f t="shared" si="73"/>
        <v>9.4840566454979587E-4</v>
      </c>
      <c r="T307" s="20">
        <f t="shared" si="74"/>
        <v>2.5375914319470233E-5</v>
      </c>
      <c r="U307" s="20">
        <f t="shared" si="75"/>
        <v>7.9160196543200209E-2</v>
      </c>
      <c r="V307" s="21">
        <f t="shared" si="76"/>
        <v>366285174.02913886</v>
      </c>
      <c r="W307" s="21" t="str">
        <f t="shared" si="77"/>
        <v/>
      </c>
      <c r="X307" s="19" t="str">
        <f t="shared" si="78"/>
        <v/>
      </c>
      <c r="Y307" s="17">
        <f t="shared" si="79"/>
        <v>1109.6091887879995</v>
      </c>
      <c r="Z307" s="17">
        <f t="shared" si="80"/>
        <v>181842.40749701712</v>
      </c>
      <c r="AA307" s="20">
        <f t="shared" si="81"/>
        <v>4.7512230618749297E-2</v>
      </c>
      <c r="AB307" s="17">
        <f t="shared" si="82"/>
        <v>181842.40749701712</v>
      </c>
      <c r="AC307" s="18">
        <f t="shared" si="83"/>
        <v>3778659.9718980966</v>
      </c>
      <c r="AD307" s="19">
        <f t="shared" si="84"/>
        <v>6.0650284642316922E-3</v>
      </c>
    </row>
    <row r="308" spans="1:30" x14ac:dyDescent="0.25">
      <c r="A308" s="8">
        <v>457</v>
      </c>
      <c r="B308" s="9">
        <v>45079</v>
      </c>
      <c r="C308" s="10">
        <v>2.333333333333333</v>
      </c>
      <c r="D308" s="11">
        <v>182849.46746690699</v>
      </c>
      <c r="E308" s="11">
        <v>2171.4453643349998</v>
      </c>
      <c r="F308" s="11">
        <v>95.854370277968229</v>
      </c>
      <c r="G308" s="11">
        <v>67618.252543345006</v>
      </c>
      <c r="H308" s="12">
        <v>7.233678269409928E-2</v>
      </c>
      <c r="I308" s="13">
        <v>3443</v>
      </c>
      <c r="J308" s="13">
        <v>544470</v>
      </c>
      <c r="K308" s="12">
        <v>7.8079438900688275E-2</v>
      </c>
      <c r="L308" s="14">
        <v>21.07190972222222</v>
      </c>
      <c r="M308" s="15"/>
      <c r="N308" s="16">
        <f t="shared" si="68"/>
        <v>115231.21492356199</v>
      </c>
      <c r="O308" s="17">
        <f t="shared" si="69"/>
        <v>185116.76720151995</v>
      </c>
      <c r="P308" s="18">
        <f t="shared" si="70"/>
        <v>3900763.8065400557</v>
      </c>
      <c r="Q308" s="19">
        <f t="shared" si="71"/>
        <v>1.1730138750592716E-2</v>
      </c>
      <c r="R308" s="20">
        <f t="shared" si="72"/>
        <v>7.233678269409928E-2</v>
      </c>
      <c r="S308" s="20">
        <f t="shared" si="73"/>
        <v>9.2723942814579188E-4</v>
      </c>
      <c r="T308" s="20">
        <f t="shared" si="74"/>
        <v>4.0931240058640628E-5</v>
      </c>
      <c r="U308" s="20">
        <f t="shared" si="75"/>
        <v>7.9047609568892702E-2</v>
      </c>
      <c r="V308" s="21">
        <f t="shared" si="76"/>
        <v>366581425.27254325</v>
      </c>
      <c r="W308" s="21" t="str">
        <f t="shared" si="77"/>
        <v/>
      </c>
      <c r="X308" s="19" t="str">
        <f t="shared" si="78"/>
        <v/>
      </c>
      <c r="Y308" s="17">
        <f t="shared" si="79"/>
        <v>1085.7226821674999</v>
      </c>
      <c r="Z308" s="17">
        <f t="shared" si="80"/>
        <v>181763.74478473948</v>
      </c>
      <c r="AA308" s="20">
        <f t="shared" si="81"/>
        <v>4.7469968047278155E-2</v>
      </c>
      <c r="AB308" s="17">
        <f t="shared" si="82"/>
        <v>181763.74478473948</v>
      </c>
      <c r="AC308" s="18">
        <f t="shared" si="83"/>
        <v>3830109.22087707</v>
      </c>
      <c r="AD308" s="19">
        <f t="shared" si="84"/>
        <v>5.9377951558103352E-3</v>
      </c>
    </row>
    <row r="309" spans="1:30" x14ac:dyDescent="0.25">
      <c r="A309" s="8">
        <v>458</v>
      </c>
      <c r="B309" s="9">
        <v>45082</v>
      </c>
      <c r="C309" s="10">
        <v>2.333333333333333</v>
      </c>
      <c r="D309" s="11">
        <v>182746.93773953099</v>
      </c>
      <c r="E309" s="11">
        <v>2227.2520452129979</v>
      </c>
      <c r="F309" s="11">
        <v>71.790362226992727</v>
      </c>
      <c r="G309" s="11">
        <v>67568.108254834995</v>
      </c>
      <c r="H309" s="12">
        <v>7.2379514906017961E-2</v>
      </c>
      <c r="I309" s="13">
        <v>3446</v>
      </c>
      <c r="J309" s="13">
        <v>546116</v>
      </c>
      <c r="K309" s="12">
        <v>7.8052640102448223E-2</v>
      </c>
      <c r="L309" s="14">
        <v>21.081840277777779</v>
      </c>
      <c r="M309" s="15"/>
      <c r="N309" s="16">
        <f t="shared" si="68"/>
        <v>115178.82948469599</v>
      </c>
      <c r="O309" s="17">
        <f t="shared" si="69"/>
        <v>185045.98014697098</v>
      </c>
      <c r="P309" s="18">
        <f t="shared" si="70"/>
        <v>3901109.79750328</v>
      </c>
      <c r="Q309" s="19">
        <f t="shared" si="71"/>
        <v>1.2036208749004029E-2</v>
      </c>
      <c r="R309" s="20">
        <f t="shared" si="72"/>
        <v>7.2379514906017961E-2</v>
      </c>
      <c r="S309" s="20">
        <f t="shared" si="73"/>
        <v>9.5127669143342899E-4</v>
      </c>
      <c r="T309" s="20">
        <f t="shared" si="74"/>
        <v>3.0662222716499992E-5</v>
      </c>
      <c r="U309" s="20">
        <f t="shared" si="75"/>
        <v>7.9034579016598147E-2</v>
      </c>
      <c r="V309" s="21">
        <f t="shared" si="76"/>
        <v>366501663.42915499</v>
      </c>
      <c r="W309" s="21" t="str">
        <f t="shared" si="77"/>
        <v/>
      </c>
      <c r="X309" s="19" t="str">
        <f t="shared" si="78"/>
        <v/>
      </c>
      <c r="Y309" s="17">
        <f t="shared" si="79"/>
        <v>1113.626022606499</v>
      </c>
      <c r="Z309" s="17">
        <f t="shared" si="80"/>
        <v>181633.31171692448</v>
      </c>
      <c r="AA309" s="20">
        <f t="shared" si="81"/>
        <v>4.7406644666403229E-2</v>
      </c>
      <c r="AB309" s="17">
        <f t="shared" si="82"/>
        <v>181633.31171692448</v>
      </c>
      <c r="AC309" s="18">
        <f t="shared" si="83"/>
        <v>3829164.4667400252</v>
      </c>
      <c r="AD309" s="19">
        <f t="shared" si="84"/>
        <v>6.093814957346913E-3</v>
      </c>
    </row>
    <row r="310" spans="1:30" x14ac:dyDescent="0.25">
      <c r="A310" s="8">
        <v>459</v>
      </c>
      <c r="B310" s="9">
        <v>45084</v>
      </c>
      <c r="C310" s="10">
        <v>2.375</v>
      </c>
      <c r="D310" s="11">
        <v>182644.3930662401</v>
      </c>
      <c r="E310" s="11">
        <v>2313.052823996999</v>
      </c>
      <c r="F310" s="11">
        <v>127.0402754859813</v>
      </c>
      <c r="G310" s="11">
        <v>67500.925245039005</v>
      </c>
      <c r="H310" s="12">
        <v>7.2361123411477643E-2</v>
      </c>
      <c r="I310" s="13">
        <v>3446</v>
      </c>
      <c r="J310" s="13">
        <v>543659</v>
      </c>
      <c r="K310" s="12">
        <v>7.6857354379801859E-2</v>
      </c>
      <c r="L310" s="14">
        <v>19.643055555555549</v>
      </c>
      <c r="M310" s="15"/>
      <c r="N310" s="16">
        <f t="shared" si="68"/>
        <v>115143.46782120109</v>
      </c>
      <c r="O310" s="17">
        <f t="shared" si="69"/>
        <v>185084.48616572306</v>
      </c>
      <c r="P310" s="18">
        <f t="shared" si="70"/>
        <v>3635624.8442247505</v>
      </c>
      <c r="Q310" s="19">
        <f t="shared" si="71"/>
        <v>1.2497280954849513E-2</v>
      </c>
      <c r="R310" s="20">
        <f t="shared" si="72"/>
        <v>7.2361123411477643E-2</v>
      </c>
      <c r="S310" s="20">
        <f t="shared" si="73"/>
        <v>9.733401480803447E-4</v>
      </c>
      <c r="T310" s="20">
        <f t="shared" si="74"/>
        <v>5.3458960932858162E-5</v>
      </c>
      <c r="U310" s="20">
        <f t="shared" si="75"/>
        <v>7.7884153488815056E-2</v>
      </c>
      <c r="V310" s="21">
        <f t="shared" si="76"/>
        <v>365466458.05974913</v>
      </c>
      <c r="W310" s="21" t="str">
        <f t="shared" si="77"/>
        <v/>
      </c>
      <c r="X310" s="19" t="str">
        <f t="shared" si="78"/>
        <v/>
      </c>
      <c r="Y310" s="17">
        <f t="shared" si="79"/>
        <v>1156.5264119984995</v>
      </c>
      <c r="Z310" s="17">
        <f t="shared" si="80"/>
        <v>181487.8666542416</v>
      </c>
      <c r="AA310" s="20">
        <f t="shared" si="81"/>
        <v>4.7364476014619704E-2</v>
      </c>
      <c r="AB310" s="17">
        <f t="shared" si="82"/>
        <v>181487.8666542416</v>
      </c>
      <c r="AC310" s="18">
        <f t="shared" si="83"/>
        <v>3564976.2473485251</v>
      </c>
      <c r="AD310" s="19">
        <f t="shared" si="84"/>
        <v>6.3321210828468149E-3</v>
      </c>
    </row>
    <row r="311" spans="1:30" x14ac:dyDescent="0.25">
      <c r="A311" s="8">
        <v>460</v>
      </c>
      <c r="B311" s="9">
        <v>45086</v>
      </c>
      <c r="C311" s="10">
        <v>2.375</v>
      </c>
      <c r="D311" s="11">
        <v>182541.82370169301</v>
      </c>
      <c r="E311" s="11">
        <v>2356.8581592299988</v>
      </c>
      <c r="F311" s="11">
        <v>172.17085687700339</v>
      </c>
      <c r="G311" s="11">
        <v>67526.416292399997</v>
      </c>
      <c r="H311" s="12">
        <v>7.2342107713299755E-2</v>
      </c>
      <c r="I311" s="13">
        <v>3440</v>
      </c>
      <c r="J311" s="13">
        <v>543241</v>
      </c>
      <c r="K311" s="12">
        <v>7.6409414579177576E-2</v>
      </c>
      <c r="L311" s="14">
        <v>18.52729166666667</v>
      </c>
      <c r="M311" s="15"/>
      <c r="N311" s="16">
        <f t="shared" si="68"/>
        <v>115015.40740929301</v>
      </c>
      <c r="O311" s="17">
        <f t="shared" si="69"/>
        <v>185070.85271780001</v>
      </c>
      <c r="P311" s="18">
        <f t="shared" si="70"/>
        <v>3428861.6673013908</v>
      </c>
      <c r="Q311" s="19">
        <f t="shared" si="71"/>
        <v>1.2734896525406875E-2</v>
      </c>
      <c r="R311" s="20">
        <f t="shared" si="72"/>
        <v>7.2342107713299755E-2</v>
      </c>
      <c r="S311" s="20">
        <f t="shared" si="73"/>
        <v>9.8654734866249769E-4</v>
      </c>
      <c r="T311" s="20">
        <f t="shared" si="74"/>
        <v>7.2068275175477973E-5</v>
      </c>
      <c r="U311" s="20">
        <f t="shared" si="75"/>
        <v>7.7468030203015542E-2</v>
      </c>
      <c r="V311" s="21">
        <f t="shared" si="76"/>
        <v>367402513.77465111</v>
      </c>
      <c r="W311" s="21" t="str">
        <f t="shared" si="77"/>
        <v/>
      </c>
      <c r="X311" s="19" t="str">
        <f t="shared" si="78"/>
        <v/>
      </c>
      <c r="Y311" s="17">
        <f t="shared" si="79"/>
        <v>1178.4290796149994</v>
      </c>
      <c r="Z311" s="17">
        <f t="shared" si="80"/>
        <v>181363.39462207802</v>
      </c>
      <c r="AA311" s="20">
        <f t="shared" si="81"/>
        <v>4.7322344872244522E-2</v>
      </c>
      <c r="AB311" s="17">
        <f t="shared" si="82"/>
        <v>181363.39462207802</v>
      </c>
      <c r="AC311" s="18">
        <f t="shared" si="83"/>
        <v>3360172.5098200049</v>
      </c>
      <c r="AD311" s="19">
        <f t="shared" si="84"/>
        <v>6.455666190454905E-3</v>
      </c>
    </row>
    <row r="312" spans="1:30" x14ac:dyDescent="0.25">
      <c r="A312" s="8">
        <v>461</v>
      </c>
      <c r="B312" s="9">
        <v>45089</v>
      </c>
      <c r="C312" s="10">
        <v>2.458333333333333</v>
      </c>
      <c r="D312" s="11">
        <v>182439.24368486289</v>
      </c>
      <c r="E312" s="11">
        <v>2220.2696952139991</v>
      </c>
      <c r="F312" s="11">
        <v>137.01091122695379</v>
      </c>
      <c r="G312" s="11">
        <v>67284.130426930002</v>
      </c>
      <c r="H312" s="12">
        <v>7.232138607828674E-2</v>
      </c>
      <c r="I312" s="13">
        <v>3442</v>
      </c>
      <c r="J312" s="13">
        <v>538853</v>
      </c>
      <c r="K312" s="12">
        <v>7.4001269338991468E-2</v>
      </c>
      <c r="L312" s="14">
        <v>15.247326388888901</v>
      </c>
      <c r="M312" s="15"/>
      <c r="N312" s="16">
        <f t="shared" si="68"/>
        <v>115155.11325793288</v>
      </c>
      <c r="O312" s="17">
        <f t="shared" si="69"/>
        <v>184796.52429130382</v>
      </c>
      <c r="P312" s="18">
        <f t="shared" si="70"/>
        <v>2817652.9214017456</v>
      </c>
      <c r="Q312" s="19">
        <f t="shared" si="71"/>
        <v>1.2014672374000276E-2</v>
      </c>
      <c r="R312" s="20">
        <f t="shared" si="72"/>
        <v>7.232138607828674E-2</v>
      </c>
      <c r="S312" s="20">
        <f t="shared" si="73"/>
        <v>9.0058899829984309E-4</v>
      </c>
      <c r="T312" s="20">
        <f t="shared" si="74"/>
        <v>5.5574563560458879E-5</v>
      </c>
      <c r="U312" s="20">
        <f t="shared" si="75"/>
        <v>7.4957432900851773E-2</v>
      </c>
      <c r="V312" s="21">
        <f t="shared" si="76"/>
        <v>366292940.47107685</v>
      </c>
      <c r="W312" s="21" t="str">
        <f t="shared" si="77"/>
        <v/>
      </c>
      <c r="X312" s="19" t="str">
        <f t="shared" si="78"/>
        <v/>
      </c>
      <c r="Y312" s="17">
        <f t="shared" si="79"/>
        <v>1110.1348476069995</v>
      </c>
      <c r="Z312" s="17">
        <f t="shared" si="80"/>
        <v>181329.10883725589</v>
      </c>
      <c r="AA312" s="20">
        <f t="shared" si="81"/>
        <v>4.7259218415844656E-2</v>
      </c>
      <c r="AB312" s="17">
        <f t="shared" si="82"/>
        <v>181329.10883725589</v>
      </c>
      <c r="AC312" s="18">
        <f t="shared" si="83"/>
        <v>2764784.1062479992</v>
      </c>
      <c r="AD312" s="19">
        <f t="shared" si="84"/>
        <v>6.0849564226685519E-3</v>
      </c>
    </row>
    <row r="313" spans="1:30" x14ac:dyDescent="0.25">
      <c r="A313" s="8">
        <v>462</v>
      </c>
      <c r="B313" s="9">
        <v>45091</v>
      </c>
      <c r="C313" s="10">
        <v>2.375</v>
      </c>
      <c r="D313" s="11">
        <v>182336.71302677001</v>
      </c>
      <c r="E313" s="11">
        <v>2224.1345705319991</v>
      </c>
      <c r="F313" s="11">
        <v>73.940242661002316</v>
      </c>
      <c r="G313" s="11">
        <v>67213.898288640004</v>
      </c>
      <c r="H313" s="12">
        <v>7.2404816824769749E-2</v>
      </c>
      <c r="I313" s="13">
        <v>3445</v>
      </c>
      <c r="J313" s="13">
        <v>550837</v>
      </c>
      <c r="K313" s="12">
        <v>7.6597944116233566E-2</v>
      </c>
      <c r="L313" s="14">
        <v>15.0484722222222</v>
      </c>
      <c r="M313" s="15"/>
      <c r="N313" s="16">
        <f t="shared" si="68"/>
        <v>115122.81473813001</v>
      </c>
      <c r="O313" s="17">
        <f t="shared" si="69"/>
        <v>184634.78783996301</v>
      </c>
      <c r="P313" s="18">
        <f t="shared" si="70"/>
        <v>2778471.4760655728</v>
      </c>
      <c r="Q313" s="19">
        <f t="shared" si="71"/>
        <v>1.2046129532533301E-2</v>
      </c>
      <c r="R313" s="20">
        <f t="shared" si="72"/>
        <v>7.2404816824769749E-2</v>
      </c>
      <c r="S313" s="20">
        <f t="shared" si="73"/>
        <v>9.3433808645865496E-4</v>
      </c>
      <c r="T313" s="20">
        <f t="shared" si="74"/>
        <v>3.106160290635866E-5</v>
      </c>
      <c r="U313" s="20">
        <f t="shared" si="75"/>
        <v>7.7563343805598581E-2</v>
      </c>
      <c r="V313" s="21">
        <f t="shared" si="76"/>
        <v>366086419.85409379</v>
      </c>
      <c r="W313" s="21" t="str">
        <f t="shared" si="77"/>
        <v/>
      </c>
      <c r="X313" s="19" t="str">
        <f t="shared" si="78"/>
        <v/>
      </c>
      <c r="Y313" s="17">
        <f t="shared" si="79"/>
        <v>1112.0672852659995</v>
      </c>
      <c r="Z313" s="17">
        <f t="shared" si="80"/>
        <v>181224.64574150401</v>
      </c>
      <c r="AA313" s="20">
        <f t="shared" si="81"/>
        <v>4.7217180901083532E-2</v>
      </c>
      <c r="AB313" s="17">
        <f t="shared" si="82"/>
        <v>181224.64574150401</v>
      </c>
      <c r="AC313" s="18">
        <f t="shared" si="83"/>
        <v>2727154.0474230819</v>
      </c>
      <c r="AD313" s="19">
        <f t="shared" si="84"/>
        <v>6.0989762665225287E-3</v>
      </c>
    </row>
    <row r="314" spans="1:30" x14ac:dyDescent="0.25">
      <c r="A314" s="8">
        <v>463</v>
      </c>
      <c r="B314" s="9">
        <v>45094</v>
      </c>
      <c r="C314" s="10">
        <v>2.25</v>
      </c>
      <c r="D314" s="11">
        <v>182234.18513956651</v>
      </c>
      <c r="E314" s="11">
        <v>2182.869702468</v>
      </c>
      <c r="F314" s="11">
        <v>57.249148009995309</v>
      </c>
      <c r="G314" s="11">
        <v>67173.097061647</v>
      </c>
      <c r="H314" s="12">
        <v>7.2384897603716067E-2</v>
      </c>
      <c r="I314" s="13">
        <v>3447</v>
      </c>
      <c r="J314" s="13">
        <v>544282</v>
      </c>
      <c r="K314" s="12">
        <v>8.070536975932123E-2</v>
      </c>
      <c r="L314" s="14">
        <v>15.675347222222189</v>
      </c>
      <c r="M314" s="15"/>
      <c r="N314" s="16">
        <f t="shared" si="68"/>
        <v>115061.08807791951</v>
      </c>
      <c r="O314" s="17">
        <f t="shared" si="69"/>
        <v>184474.30399004449</v>
      </c>
      <c r="P314" s="18">
        <f t="shared" si="70"/>
        <v>2891698.7686217157</v>
      </c>
      <c r="Q314" s="19">
        <f t="shared" si="71"/>
        <v>1.1832920115453059E-2</v>
      </c>
      <c r="R314" s="20">
        <f t="shared" si="72"/>
        <v>7.2384897603716067E-2</v>
      </c>
      <c r="S314" s="20">
        <f t="shared" si="73"/>
        <v>9.6671931415709855E-4</v>
      </c>
      <c r="T314" s="20">
        <f t="shared" si="74"/>
        <v>2.5353715358148917E-5</v>
      </c>
      <c r="U314" s="20">
        <f t="shared" si="75"/>
        <v>8.1697442788836477E-2</v>
      </c>
      <c r="V314" s="21">
        <f t="shared" si="76"/>
        <v>366551603.80543232</v>
      </c>
      <c r="W314" s="21" t="str">
        <f t="shared" si="77"/>
        <v/>
      </c>
      <c r="X314" s="19" t="str">
        <f t="shared" si="78"/>
        <v/>
      </c>
      <c r="Y314" s="17">
        <f t="shared" si="79"/>
        <v>1091.434851234</v>
      </c>
      <c r="Z314" s="17">
        <f t="shared" si="80"/>
        <v>181142.75028833252</v>
      </c>
      <c r="AA314" s="20">
        <f t="shared" si="81"/>
        <v>4.7154194729972954E-2</v>
      </c>
      <c r="AB314" s="17">
        <f t="shared" si="82"/>
        <v>181142.75028833252</v>
      </c>
      <c r="AC314" s="18">
        <f t="shared" si="83"/>
        <v>2839475.5075579011</v>
      </c>
      <c r="AD314" s="19">
        <f t="shared" si="84"/>
        <v>5.9891883095266121E-3</v>
      </c>
    </row>
    <row r="315" spans="1:30" x14ac:dyDescent="0.25">
      <c r="A315" s="8">
        <v>464</v>
      </c>
      <c r="B315" s="9">
        <v>45096</v>
      </c>
      <c r="C315" s="10">
        <v>2.208333333333333</v>
      </c>
      <c r="D315" s="11">
        <v>182131.67515109401</v>
      </c>
      <c r="E315" s="11">
        <v>2268.8310317989999</v>
      </c>
      <c r="F315" s="11">
        <v>69.749343889000201</v>
      </c>
      <c r="G315" s="11">
        <v>66984.097862184004</v>
      </c>
      <c r="H315" s="12">
        <v>7.2388637832228014E-2</v>
      </c>
      <c r="I315" s="13">
        <v>3449</v>
      </c>
      <c r="J315" s="13">
        <v>547576</v>
      </c>
      <c r="K315" s="12">
        <v>8.2165225213533061E-2</v>
      </c>
      <c r="L315" s="14">
        <v>15.61357638888888</v>
      </c>
      <c r="M315" s="15"/>
      <c r="N315" s="16">
        <f t="shared" si="68"/>
        <v>115147.57728891</v>
      </c>
      <c r="O315" s="17">
        <f t="shared" si="69"/>
        <v>184470.25552678201</v>
      </c>
      <c r="P315" s="18">
        <f t="shared" si="70"/>
        <v>2880240.4261452621</v>
      </c>
      <c r="Q315" s="19">
        <f t="shared" si="71"/>
        <v>1.2299169995292836E-2</v>
      </c>
      <c r="R315" s="20">
        <f t="shared" si="72"/>
        <v>7.2388637832228014E-2</v>
      </c>
      <c r="S315" s="20">
        <f t="shared" si="73"/>
        <v>1.0235397689312782E-3</v>
      </c>
      <c r="T315" s="20">
        <f t="shared" si="74"/>
        <v>3.1466083779120414E-5</v>
      </c>
      <c r="U315" s="20">
        <f t="shared" si="75"/>
        <v>8.3220231066243461E-2</v>
      </c>
      <c r="V315" s="21">
        <f t="shared" si="76"/>
        <v>366625804.31519574</v>
      </c>
      <c r="W315" s="21" t="str">
        <f t="shared" si="77"/>
        <v/>
      </c>
      <c r="X315" s="19" t="str">
        <f t="shared" si="78"/>
        <v/>
      </c>
      <c r="Y315" s="17">
        <f t="shared" si="79"/>
        <v>1134.4155158995</v>
      </c>
      <c r="Z315" s="17">
        <f t="shared" si="80"/>
        <v>180997.2596351945</v>
      </c>
      <c r="AA315" s="20">
        <f t="shared" si="81"/>
        <v>4.7112250634758164E-2</v>
      </c>
      <c r="AB315" s="17">
        <f t="shared" si="82"/>
        <v>180997.2596351945</v>
      </c>
      <c r="AC315" s="18">
        <f t="shared" si="83"/>
        <v>2826014.5394936632</v>
      </c>
      <c r="AD315" s="19">
        <f t="shared" si="84"/>
        <v>6.2285459954091122E-3</v>
      </c>
    </row>
    <row r="316" spans="1:30" x14ac:dyDescent="0.25">
      <c r="A316" s="8">
        <v>465</v>
      </c>
      <c r="B316" s="9">
        <v>45098</v>
      </c>
      <c r="C316" s="10">
        <v>2.25</v>
      </c>
      <c r="D316" s="11">
        <v>182029.14096593429</v>
      </c>
      <c r="E316" s="11">
        <v>2291.8010453769989</v>
      </c>
      <c r="F316" s="11">
        <v>140.33013448099089</v>
      </c>
      <c r="G316" s="11">
        <v>67094.068447566999</v>
      </c>
      <c r="H316" s="12">
        <v>7.2340467860611851E-2</v>
      </c>
      <c r="I316" s="13">
        <v>3455</v>
      </c>
      <c r="J316" s="13">
        <v>547653</v>
      </c>
      <c r="K316" s="12">
        <v>8.0595265391436272E-2</v>
      </c>
      <c r="L316" s="14">
        <v>16.90336805555555</v>
      </c>
      <c r="M316" s="15"/>
      <c r="N316" s="16">
        <f t="shared" si="68"/>
        <v>114935.07251836729</v>
      </c>
      <c r="O316" s="17">
        <f t="shared" si="69"/>
        <v>184461.27214579229</v>
      </c>
      <c r="P316" s="18">
        <f t="shared" si="70"/>
        <v>3118016.7750763241</v>
      </c>
      <c r="Q316" s="19">
        <f t="shared" si="71"/>
        <v>1.2424293829902858E-2</v>
      </c>
      <c r="R316" s="20">
        <f t="shared" si="72"/>
        <v>7.2340467860611851E-2</v>
      </c>
      <c r="S316" s="20">
        <f t="shared" si="73"/>
        <v>1.014718371445248E-3</v>
      </c>
      <c r="T316" s="20">
        <f t="shared" si="74"/>
        <v>6.213260344412653E-5</v>
      </c>
      <c r="U316" s="20">
        <f t="shared" si="75"/>
        <v>8.1672116366325639E-2</v>
      </c>
      <c r="V316" s="21">
        <f t="shared" si="76"/>
        <v>366639368.61907941</v>
      </c>
      <c r="W316" s="21" t="str">
        <f t="shared" si="77"/>
        <v/>
      </c>
      <c r="X316" s="19" t="str">
        <f t="shared" si="78"/>
        <v/>
      </c>
      <c r="Y316" s="17">
        <f t="shared" si="79"/>
        <v>1145.9005226884994</v>
      </c>
      <c r="Z316" s="17">
        <f t="shared" si="80"/>
        <v>180883.2404432458</v>
      </c>
      <c r="AA316" s="20">
        <f t="shared" si="81"/>
        <v>4.7070343849206574E-2</v>
      </c>
      <c r="AB316" s="17">
        <f t="shared" si="82"/>
        <v>180883.2404432458</v>
      </c>
      <c r="AC316" s="18">
        <f t="shared" si="83"/>
        <v>3057535.9882937348</v>
      </c>
      <c r="AD316" s="19">
        <f t="shared" si="84"/>
        <v>6.2951487690805956E-3</v>
      </c>
    </row>
    <row r="317" spans="1:30" x14ac:dyDescent="0.25">
      <c r="A317" s="8">
        <v>466</v>
      </c>
      <c r="B317" s="9">
        <v>45100</v>
      </c>
      <c r="C317" s="10">
        <v>2.25</v>
      </c>
      <c r="D317" s="11">
        <v>181926.60365747751</v>
      </c>
      <c r="E317" s="11">
        <v>2232.371745599999</v>
      </c>
      <c r="F317" s="11">
        <v>76.98896866100533</v>
      </c>
      <c r="G317" s="11">
        <v>67029.226856766007</v>
      </c>
      <c r="H317" s="12">
        <v>7.2321194903146077E-2</v>
      </c>
      <c r="I317" s="13">
        <v>3467</v>
      </c>
      <c r="J317" s="13">
        <v>548520</v>
      </c>
      <c r="K317" s="12">
        <v>8.0414552714551973E-2</v>
      </c>
      <c r="L317" s="14">
        <v>16.812291666666681</v>
      </c>
      <c r="M317" s="15"/>
      <c r="N317" s="16">
        <f t="shared" si="68"/>
        <v>114897.3768007115</v>
      </c>
      <c r="O317" s="17">
        <f t="shared" si="69"/>
        <v>184235.96437173849</v>
      </c>
      <c r="P317" s="18">
        <f t="shared" si="70"/>
        <v>3097428.7685072785</v>
      </c>
      <c r="Q317" s="19">
        <f t="shared" si="71"/>
        <v>1.2116916223238992E-2</v>
      </c>
      <c r="R317" s="20">
        <f t="shared" si="72"/>
        <v>7.2321194903146077E-2</v>
      </c>
      <c r="S317" s="20">
        <f t="shared" si="73"/>
        <v>9.8674504886052785E-4</v>
      </c>
      <c r="T317" s="20">
        <f t="shared" si="74"/>
        <v>3.4030391126773172E-5</v>
      </c>
      <c r="U317" s="20">
        <f t="shared" si="75"/>
        <v>8.1435328154539272E-2</v>
      </c>
      <c r="V317" s="21">
        <f t="shared" si="76"/>
        <v>367256311.16252184</v>
      </c>
      <c r="W317" s="21" t="str">
        <f t="shared" si="77"/>
        <v/>
      </c>
      <c r="X317" s="19" t="str">
        <f t="shared" si="78"/>
        <v/>
      </c>
      <c r="Y317" s="17">
        <f t="shared" si="79"/>
        <v>1116.1858727999995</v>
      </c>
      <c r="Z317" s="17">
        <f t="shared" si="80"/>
        <v>180810.4177846775</v>
      </c>
      <c r="AA317" s="20">
        <f t="shared" si="81"/>
        <v>4.7028474340130882E-2</v>
      </c>
      <c r="AB317" s="17">
        <f t="shared" si="82"/>
        <v>180810.4177846775</v>
      </c>
      <c r="AC317" s="18">
        <f t="shared" si="83"/>
        <v>3039837.4801678546</v>
      </c>
      <c r="AD317" s="19">
        <f t="shared" si="84"/>
        <v>6.1353636596300099E-3</v>
      </c>
    </row>
    <row r="318" spans="1:30" x14ac:dyDescent="0.25">
      <c r="A318" s="8">
        <v>467</v>
      </c>
      <c r="B318" s="9">
        <v>45103</v>
      </c>
      <c r="C318" s="10">
        <v>2.25</v>
      </c>
      <c r="D318" s="11">
        <v>181824.09046410021</v>
      </c>
      <c r="E318" s="11">
        <v>2317.494173093</v>
      </c>
      <c r="F318" s="11">
        <v>61.696731074999953</v>
      </c>
      <c r="G318" s="11">
        <v>66938.447011179</v>
      </c>
      <c r="H318" s="12">
        <v>7.2282286438551099E-2</v>
      </c>
      <c r="I318" s="13">
        <v>3471</v>
      </c>
      <c r="J318" s="13">
        <v>547582</v>
      </c>
      <c r="K318" s="12">
        <v>8.0449107212069784E-2</v>
      </c>
      <c r="L318" s="14">
        <v>16.684131944444449</v>
      </c>
      <c r="M318" s="15"/>
      <c r="N318" s="16">
        <f t="shared" si="68"/>
        <v>114885.64345292121</v>
      </c>
      <c r="O318" s="17">
        <f t="shared" si="69"/>
        <v>184203.28136826822</v>
      </c>
      <c r="P318" s="18">
        <f t="shared" si="70"/>
        <v>3073271.8509478127</v>
      </c>
      <c r="Q318" s="19">
        <f t="shared" si="71"/>
        <v>1.2581177468059063E-2</v>
      </c>
      <c r="R318" s="20">
        <f t="shared" si="72"/>
        <v>7.2282286438551099E-2</v>
      </c>
      <c r="S318" s="20">
        <f t="shared" si="73"/>
        <v>1.0253885319520793E-3</v>
      </c>
      <c r="T318" s="20">
        <f t="shared" si="74"/>
        <v>2.7298071010380791E-5</v>
      </c>
      <c r="U318" s="20">
        <f t="shared" si="75"/>
        <v>8.1501793815032253E-2</v>
      </c>
      <c r="V318" s="21">
        <f t="shared" si="76"/>
        <v>366891712.14209116</v>
      </c>
      <c r="W318" s="21" t="str">
        <f t="shared" si="77"/>
        <v/>
      </c>
      <c r="X318" s="19" t="str">
        <f t="shared" si="78"/>
        <v/>
      </c>
      <c r="Y318" s="17">
        <f t="shared" si="79"/>
        <v>1158.7470865465</v>
      </c>
      <c r="Z318" s="17">
        <f t="shared" si="80"/>
        <v>180665.34337755371</v>
      </c>
      <c r="AA318" s="20">
        <f t="shared" si="81"/>
        <v>4.6965739897385089E-2</v>
      </c>
      <c r="AB318" s="17">
        <f t="shared" si="82"/>
        <v>180665.34337755371</v>
      </c>
      <c r="AC318" s="18">
        <f t="shared" si="83"/>
        <v>3014244.4266994693</v>
      </c>
      <c r="AD318" s="19">
        <f t="shared" si="84"/>
        <v>6.3729018722922517E-3</v>
      </c>
    </row>
    <row r="319" spans="1:30" x14ac:dyDescent="0.25">
      <c r="A319" s="8">
        <v>468</v>
      </c>
      <c r="B319" s="9">
        <v>45105</v>
      </c>
      <c r="C319" s="10">
        <v>2.208333333333333</v>
      </c>
      <c r="D319" s="11">
        <v>181721.55386468279</v>
      </c>
      <c r="E319" s="11">
        <v>2297.015044711</v>
      </c>
      <c r="F319" s="11">
        <v>185.92204746899111</v>
      </c>
      <c r="G319" s="11">
        <v>66820.687002117993</v>
      </c>
      <c r="H319" s="12">
        <v>7.2287949320084269E-2</v>
      </c>
      <c r="I319" s="13">
        <v>3474</v>
      </c>
      <c r="J319" s="13">
        <v>550443</v>
      </c>
      <c r="K319" s="12">
        <v>8.1389592913033701E-2</v>
      </c>
      <c r="L319" s="14">
        <v>16.204479166666669</v>
      </c>
      <c r="M319" s="15"/>
      <c r="N319" s="16">
        <f t="shared" si="68"/>
        <v>114900.8668625648</v>
      </c>
      <c r="O319" s="17">
        <f t="shared" si="69"/>
        <v>184204.49095686278</v>
      </c>
      <c r="P319" s="18">
        <f t="shared" si="70"/>
        <v>2984937.8361169216</v>
      </c>
      <c r="Q319" s="19">
        <f t="shared" si="71"/>
        <v>1.2469918799368021E-2</v>
      </c>
      <c r="R319" s="20">
        <f t="shared" si="72"/>
        <v>7.2287949320084269E-2</v>
      </c>
      <c r="S319" s="20">
        <f t="shared" si="73"/>
        <v>1.0287889104412735E-3</v>
      </c>
      <c r="T319" s="20">
        <f t="shared" si="74"/>
        <v>8.3270913302485309E-5</v>
      </c>
      <c r="U319" s="20">
        <f t="shared" si="75"/>
        <v>8.2501652736777453E-2</v>
      </c>
      <c r="V319" s="21">
        <f t="shared" si="76"/>
        <v>369286271.03002346</v>
      </c>
      <c r="W319" s="21" t="str">
        <f t="shared" si="77"/>
        <v/>
      </c>
      <c r="X319" s="19" t="str">
        <f t="shared" si="78"/>
        <v/>
      </c>
      <c r="Y319" s="17">
        <f t="shared" si="79"/>
        <v>1148.5075223555</v>
      </c>
      <c r="Z319" s="17">
        <f t="shared" si="80"/>
        <v>180573.04634232729</v>
      </c>
      <c r="AA319" s="20">
        <f t="shared" si="81"/>
        <v>4.6923963434498395E-2</v>
      </c>
      <c r="AB319" s="17">
        <f t="shared" si="82"/>
        <v>180573.04634232729</v>
      </c>
      <c r="AC319" s="18">
        <f t="shared" si="83"/>
        <v>2926092.1675157775</v>
      </c>
      <c r="AD319" s="19">
        <f t="shared" si="84"/>
        <v>6.3201502404647333E-3</v>
      </c>
    </row>
    <row r="320" spans="1:30" x14ac:dyDescent="0.25">
      <c r="A320" s="8">
        <v>469</v>
      </c>
      <c r="B320" s="9">
        <v>45107</v>
      </c>
      <c r="C320" s="10">
        <v>2.208333333333333</v>
      </c>
      <c r="D320" s="11">
        <v>181619.0287274759</v>
      </c>
      <c r="E320" s="11">
        <v>2240.195317150999</v>
      </c>
      <c r="F320" s="11">
        <v>166.66822939600601</v>
      </c>
      <c r="G320" s="11">
        <v>66688.854137433998</v>
      </c>
      <c r="H320" s="12">
        <v>7.2264869964930145E-2</v>
      </c>
      <c r="I320" s="13">
        <v>3480</v>
      </c>
      <c r="J320" s="13">
        <v>548147</v>
      </c>
      <c r="K320" s="12">
        <v>8.1320639911165823E-2</v>
      </c>
      <c r="L320" s="14">
        <v>18.793923611111101</v>
      </c>
      <c r="M320" s="15"/>
      <c r="N320" s="16">
        <f t="shared" si="68"/>
        <v>114930.1745900419</v>
      </c>
      <c r="O320" s="17">
        <f t="shared" si="69"/>
        <v>184025.89227402292</v>
      </c>
      <c r="P320" s="18">
        <f t="shared" si="70"/>
        <v>3458568.5618645474</v>
      </c>
      <c r="Q320" s="19">
        <f t="shared" si="71"/>
        <v>1.2173261541996744E-2</v>
      </c>
      <c r="R320" s="20">
        <f t="shared" si="72"/>
        <v>7.2264869964930145E-2</v>
      </c>
      <c r="S320" s="20">
        <f t="shared" si="73"/>
        <v>1.0030563316692619E-3</v>
      </c>
      <c r="T320" s="20">
        <f t="shared" si="74"/>
        <v>7.4626360257006274E-5</v>
      </c>
      <c r="U320" s="20">
        <f t="shared" si="75"/>
        <v>8.23983226030921E-2</v>
      </c>
      <c r="V320" s="21">
        <f t="shared" si="76"/>
        <v>369390870.87255669</v>
      </c>
      <c r="W320" s="21" t="str">
        <f t="shared" si="77"/>
        <v/>
      </c>
      <c r="X320" s="19" t="str">
        <f t="shared" si="78"/>
        <v/>
      </c>
      <c r="Y320" s="17">
        <f t="shared" si="79"/>
        <v>1120.0976585754995</v>
      </c>
      <c r="Z320" s="17">
        <f t="shared" si="80"/>
        <v>180498.93106890039</v>
      </c>
      <c r="AA320" s="20">
        <f t="shared" si="81"/>
        <v>4.6882224132164377E-2</v>
      </c>
      <c r="AB320" s="17">
        <f t="shared" si="82"/>
        <v>180498.93106890039</v>
      </c>
      <c r="AC320" s="18">
        <f t="shared" si="83"/>
        <v>3392283.1223961222</v>
      </c>
      <c r="AD320" s="19">
        <f t="shared" si="84"/>
        <v>6.167292416568505E-3</v>
      </c>
    </row>
    <row r="321" spans="1:30" x14ac:dyDescent="0.25">
      <c r="A321" s="8">
        <v>470</v>
      </c>
      <c r="B321" s="9">
        <v>45109</v>
      </c>
      <c r="C321" s="10">
        <v>2.208333333333333</v>
      </c>
      <c r="D321" s="11">
        <v>181516.52718988471</v>
      </c>
      <c r="E321" s="11">
        <v>2218.7762124750011</v>
      </c>
      <c r="F321" s="11">
        <v>36.302917702005182</v>
      </c>
      <c r="G321" s="11">
        <v>66788.883345629001</v>
      </c>
      <c r="H321" s="12">
        <v>7.2464608414787191E-2</v>
      </c>
      <c r="I321" s="13">
        <v>3483</v>
      </c>
      <c r="J321" s="13">
        <v>553517</v>
      </c>
      <c r="K321" s="12">
        <v>8.1321804543996165E-2</v>
      </c>
      <c r="L321" s="14">
        <v>19.157812500000048</v>
      </c>
      <c r="M321" s="15"/>
      <c r="N321" s="16">
        <f t="shared" si="68"/>
        <v>114727.64384425571</v>
      </c>
      <c r="O321" s="17">
        <f t="shared" si="69"/>
        <v>183771.60632006172</v>
      </c>
      <c r="P321" s="18">
        <f t="shared" si="70"/>
        <v>3520661.9767035665</v>
      </c>
      <c r="Q321" s="19">
        <f t="shared" si="71"/>
        <v>1.2073552911164737E-2</v>
      </c>
      <c r="R321" s="20">
        <f t="shared" si="72"/>
        <v>7.2464608414787191E-2</v>
      </c>
      <c r="S321" s="20">
        <f t="shared" si="73"/>
        <v>9.940410841433019E-4</v>
      </c>
      <c r="T321" s="20">
        <f t="shared" si="74"/>
        <v>1.6264187197956489E-5</v>
      </c>
      <c r="U321" s="20">
        <f t="shared" si="75"/>
        <v>8.2332109815337423E-2</v>
      </c>
      <c r="V321" s="21">
        <f t="shared" si="76"/>
        <v>369177108.12648565</v>
      </c>
      <c r="W321" s="21" t="str">
        <f t="shared" si="77"/>
        <v/>
      </c>
      <c r="X321" s="19" t="str">
        <f t="shared" si="78"/>
        <v/>
      </c>
      <c r="Y321" s="17">
        <f t="shared" si="79"/>
        <v>1109.3881062375006</v>
      </c>
      <c r="Z321" s="17">
        <f t="shared" si="80"/>
        <v>180407.1390836472</v>
      </c>
      <c r="AA321" s="20">
        <f t="shared" si="81"/>
        <v>4.6840521957328372E-2</v>
      </c>
      <c r="AB321" s="17">
        <f t="shared" si="82"/>
        <v>180407.1390836472</v>
      </c>
      <c r="AC321" s="18">
        <f t="shared" si="83"/>
        <v>3456206.1442259434</v>
      </c>
      <c r="AD321" s="19">
        <f t="shared" si="84"/>
        <v>6.1117746323835738E-3</v>
      </c>
    </row>
    <row r="322" spans="1:30" x14ac:dyDescent="0.25">
      <c r="A322" s="8">
        <v>471</v>
      </c>
      <c r="B322" s="9">
        <v>45112</v>
      </c>
      <c r="C322" s="10">
        <v>2.208333333333333</v>
      </c>
      <c r="D322" s="11">
        <v>181414.03760063459</v>
      </c>
      <c r="E322" s="11">
        <v>2241.2734769550002</v>
      </c>
      <c r="F322" s="11">
        <v>128.40557715600741</v>
      </c>
      <c r="G322" s="11">
        <v>67288.964310943993</v>
      </c>
      <c r="H322" s="12">
        <v>7.2300600623233804E-2</v>
      </c>
      <c r="I322" s="13">
        <v>3488</v>
      </c>
      <c r="J322" s="13">
        <v>542839</v>
      </c>
      <c r="K322" s="12">
        <v>8.1040904510467804E-2</v>
      </c>
      <c r="L322" s="14">
        <v>18.986006944444529</v>
      </c>
      <c r="M322" s="15"/>
      <c r="N322" s="16">
        <f t="shared" ref="N322:N385" si="85">D322-G322</f>
        <v>114125.0732896906</v>
      </c>
      <c r="O322" s="17">
        <f t="shared" ref="O322:O385" si="86">D322+E322+F322</f>
        <v>183783.71665474557</v>
      </c>
      <c r="P322" s="18">
        <f t="shared" ref="P322:P385" si="87">O322*L322</f>
        <v>3489318.9206828251</v>
      </c>
      <c r="Q322" s="19">
        <f t="shared" ref="Q322:Q385" si="88">IF(O322&gt;0,E322/O322,"")</f>
        <v>1.2195168961379949E-2</v>
      </c>
      <c r="R322" s="20">
        <f t="shared" ref="R322:R385" si="89">IF(H322&lt;&gt;"",H322,IF(D322&gt;0,G322/D322,""))</f>
        <v>7.2300600623233804E-2</v>
      </c>
      <c r="S322" s="20">
        <f t="shared" ref="S322:S385" si="90">IF(AND(K322&lt;&gt;"",D322&gt;0),E322*K322/D322,"")</f>
        <v>1.0012170625274643E-3</v>
      </c>
      <c r="T322" s="20">
        <f t="shared" ref="T322:T385" si="91">IF(AND(K322&lt;&gt;"",D322&gt;0),F322*K322/D322,"")</f>
        <v>5.7361074449043083E-5</v>
      </c>
      <c r="U322" s="20">
        <f t="shared" ref="U322:U385" si="92">IF(K322&lt;&gt;"",K322+S322+T322,"")</f>
        <v>8.2099482647444322E-2</v>
      </c>
      <c r="V322" s="21">
        <f t="shared" ref="V322:V385" si="93">IF(AND(K322&lt;&gt;"",K322&gt;0,C322&gt;0),D322*(365.25/C322)/K322,"")</f>
        <v>370247561.02019221</v>
      </c>
      <c r="W322" s="21" t="str">
        <f t="shared" ref="W322:W385" si="94">IF(AND(M322&lt;&gt;"",L322&gt;0),M322/L322,"")</f>
        <v/>
      </c>
      <c r="X322" s="19" t="str">
        <f t="shared" ref="X322:X385" si="95">IF(AND(V322&lt;&gt;"",W322&lt;&gt;"",W322&gt;0),V322/W322,"")</f>
        <v/>
      </c>
      <c r="Y322" s="17">
        <f t="shared" ref="Y322:Y385" si="96">IF(A322&lt;620,E322*0.5,"")</f>
        <v>1120.6367384775001</v>
      </c>
      <c r="Z322" s="17">
        <f t="shared" ref="Z322:Z385" si="97">IF(Y322&lt;&gt;"",D322-Y322,"")</f>
        <v>180293.40086215708</v>
      </c>
      <c r="AA322" s="20">
        <f t="shared" ref="AA322:AA385" si="98">IF(B322&lt;&gt;"",MAX(0.08*0.85^((B322-DATE(2020,3,16))/365.25),0.015),"")</f>
        <v>4.6778038236898432E-2</v>
      </c>
      <c r="AB322" s="17">
        <f t="shared" ref="AB322:AB385" si="99">IF(Z322&lt;&gt;"",Z322,"")</f>
        <v>180293.40086215708</v>
      </c>
      <c r="AC322" s="18">
        <f t="shared" ref="AC322:AC385" si="100">IF(AB322&lt;&gt;"",AB322*L322,"")</f>
        <v>3423051.7608064357</v>
      </c>
      <c r="AD322" s="19">
        <f t="shared" ref="AD322:AD385" si="101">IF(AND(Y322&lt;&gt;"",D322&gt;0),Y322/D322,"")</f>
        <v>6.1772327726064575E-3</v>
      </c>
    </row>
    <row r="323" spans="1:30" x14ac:dyDescent="0.25">
      <c r="A323" s="8">
        <v>472</v>
      </c>
      <c r="B323" s="9">
        <v>45114</v>
      </c>
      <c r="C323" s="10">
        <v>2.208333333333333</v>
      </c>
      <c r="D323" s="11">
        <v>181311.54567466551</v>
      </c>
      <c r="E323" s="11">
        <v>2298.1668490729999</v>
      </c>
      <c r="F323" s="11">
        <v>70.689962780998755</v>
      </c>
      <c r="G323" s="11">
        <v>67297.605641686998</v>
      </c>
      <c r="H323" s="12">
        <v>7.2149077183077781E-2</v>
      </c>
      <c r="I323" s="13">
        <v>3496</v>
      </c>
      <c r="J323" s="13">
        <v>545753</v>
      </c>
      <c r="K323" s="12">
        <v>8.0780445824824354E-2</v>
      </c>
      <c r="L323" s="14">
        <v>20.604409722222229</v>
      </c>
      <c r="M323" s="15"/>
      <c r="N323" s="16">
        <f t="shared" si="85"/>
        <v>114013.94003297851</v>
      </c>
      <c r="O323" s="17">
        <f t="shared" si="86"/>
        <v>183680.40248651951</v>
      </c>
      <c r="P323" s="18">
        <f t="shared" si="87"/>
        <v>3784626.2707749349</v>
      </c>
      <c r="Q323" s="19">
        <f t="shared" si="88"/>
        <v>1.2511769453693703E-2</v>
      </c>
      <c r="R323" s="20">
        <f t="shared" si="89"/>
        <v>7.2149077183077781E-2</v>
      </c>
      <c r="S323" s="20">
        <f t="shared" si="90"/>
        <v>1.0239113121955422E-3</v>
      </c>
      <c r="T323" s="20">
        <f t="shared" si="91"/>
        <v>3.1494777056479668E-5</v>
      </c>
      <c r="U323" s="20">
        <f t="shared" si="92"/>
        <v>8.1835851914076371E-2</v>
      </c>
      <c r="V323" s="21">
        <f t="shared" si="93"/>
        <v>371231492.39741033</v>
      </c>
      <c r="W323" s="21" t="str">
        <f t="shared" si="94"/>
        <v/>
      </c>
      <c r="X323" s="19" t="str">
        <f t="shared" si="95"/>
        <v/>
      </c>
      <c r="Y323" s="17">
        <f t="shared" si="96"/>
        <v>1149.0834245364999</v>
      </c>
      <c r="Z323" s="17">
        <f t="shared" si="97"/>
        <v>180162.462250129</v>
      </c>
      <c r="AA323" s="20">
        <f t="shared" si="98"/>
        <v>4.673642873638624E-2</v>
      </c>
      <c r="AB323" s="17">
        <f t="shared" si="99"/>
        <v>180162.462250129</v>
      </c>
      <c r="AC323" s="18">
        <f t="shared" si="100"/>
        <v>3712141.1887660534</v>
      </c>
      <c r="AD323" s="19">
        <f t="shared" si="101"/>
        <v>6.3376186015111574E-3</v>
      </c>
    </row>
    <row r="324" spans="1:30" x14ac:dyDescent="0.25">
      <c r="A324" s="8">
        <v>473</v>
      </c>
      <c r="B324" s="9">
        <v>45116</v>
      </c>
      <c r="C324" s="10">
        <v>2.208333333333333</v>
      </c>
      <c r="D324" s="11">
        <v>181209.0401731084</v>
      </c>
      <c r="E324" s="11">
        <v>2185.4695339340001</v>
      </c>
      <c r="F324" s="11">
        <v>38.477397016003017</v>
      </c>
      <c r="G324" s="11">
        <v>67015.301857049999</v>
      </c>
      <c r="H324" s="12">
        <v>7.2204425742801726E-2</v>
      </c>
      <c r="I324" s="13">
        <v>3504</v>
      </c>
      <c r="J324" s="13">
        <v>543700</v>
      </c>
      <c r="K324" s="12">
        <v>8.0591708266042825E-2</v>
      </c>
      <c r="L324" s="14">
        <v>21.592083333333271</v>
      </c>
      <c r="M324" s="15"/>
      <c r="N324" s="16">
        <f t="shared" si="85"/>
        <v>114193.7383160584</v>
      </c>
      <c r="O324" s="17">
        <f t="shared" si="86"/>
        <v>183432.98710405841</v>
      </c>
      <c r="P324" s="18">
        <f t="shared" si="87"/>
        <v>3960700.3436330766</v>
      </c>
      <c r="Q324" s="19">
        <f t="shared" si="88"/>
        <v>1.1914266721798628E-2</v>
      </c>
      <c r="R324" s="20">
        <f t="shared" si="89"/>
        <v>7.2204425742801726E-2</v>
      </c>
      <c r="S324" s="20">
        <f t="shared" si="90"/>
        <v>9.7197536577025298E-4</v>
      </c>
      <c r="T324" s="20">
        <f t="shared" si="91"/>
        <v>1.7112607363231359E-5</v>
      </c>
      <c r="U324" s="20">
        <f t="shared" si="92"/>
        <v>8.1580796239176301E-2</v>
      </c>
      <c r="V324" s="21">
        <f t="shared" si="93"/>
        <v>371890509.35605639</v>
      </c>
      <c r="W324" s="21" t="str">
        <f t="shared" si="94"/>
        <v/>
      </c>
      <c r="X324" s="19" t="str">
        <f t="shared" si="95"/>
        <v/>
      </c>
      <c r="Y324" s="17">
        <f t="shared" si="96"/>
        <v>1092.734766967</v>
      </c>
      <c r="Z324" s="17">
        <f t="shared" si="97"/>
        <v>180116.30540614139</v>
      </c>
      <c r="AA324" s="20">
        <f t="shared" si="98"/>
        <v>4.6694856247912128E-2</v>
      </c>
      <c r="AB324" s="17">
        <f t="shared" si="99"/>
        <v>180116.30540614139</v>
      </c>
      <c r="AC324" s="18">
        <f t="shared" si="100"/>
        <v>3889086.2760215108</v>
      </c>
      <c r="AD324" s="19">
        <f t="shared" si="101"/>
        <v>6.0302442191797609E-3</v>
      </c>
    </row>
    <row r="325" spans="1:30" x14ac:dyDescent="0.25">
      <c r="A325" s="8">
        <v>474</v>
      </c>
      <c r="B325" s="9">
        <v>45118</v>
      </c>
      <c r="C325" s="10">
        <v>2.208333333333333</v>
      </c>
      <c r="D325" s="11">
        <v>181106.57696284511</v>
      </c>
      <c r="E325" s="11">
        <v>2252.4426156520012</v>
      </c>
      <c r="F325" s="11">
        <v>178.08769038698409</v>
      </c>
      <c r="G325" s="11">
        <v>67036.925859884999</v>
      </c>
      <c r="H325" s="12">
        <v>7.2122117386934373E-2</v>
      </c>
      <c r="I325" s="13">
        <v>3508</v>
      </c>
      <c r="J325" s="13">
        <v>549435</v>
      </c>
      <c r="K325" s="12">
        <v>8.0601273744795351E-2</v>
      </c>
      <c r="L325" s="14">
        <v>21.94774305555562</v>
      </c>
      <c r="M325" s="15"/>
      <c r="N325" s="16">
        <f t="shared" si="85"/>
        <v>114069.65110296011</v>
      </c>
      <c r="O325" s="17">
        <f t="shared" si="86"/>
        <v>183537.10726888408</v>
      </c>
      <c r="P325" s="18">
        <f t="shared" si="87"/>
        <v>4028225.2714974172</v>
      </c>
      <c r="Q325" s="19">
        <f t="shared" si="88"/>
        <v>1.2272409918459407E-2</v>
      </c>
      <c r="R325" s="20">
        <f t="shared" si="89"/>
        <v>7.2122117386934373E-2</v>
      </c>
      <c r="S325" s="20">
        <f t="shared" si="90"/>
        <v>1.0024469950412438E-3</v>
      </c>
      <c r="T325" s="20">
        <f t="shared" si="91"/>
        <v>7.9257721746927364E-5</v>
      </c>
      <c r="U325" s="20">
        <f t="shared" si="92"/>
        <v>8.1682978461583525E-2</v>
      </c>
      <c r="V325" s="21">
        <f t="shared" si="93"/>
        <v>371636117.10967135</v>
      </c>
      <c r="W325" s="21" t="str">
        <f t="shared" si="94"/>
        <v/>
      </c>
      <c r="X325" s="19" t="str">
        <f t="shared" si="95"/>
        <v/>
      </c>
      <c r="Y325" s="17">
        <f t="shared" si="96"/>
        <v>1126.2213078260006</v>
      </c>
      <c r="Z325" s="17">
        <f t="shared" si="97"/>
        <v>179980.35565501911</v>
      </c>
      <c r="AA325" s="20">
        <f t="shared" si="98"/>
        <v>4.665332073855355E-2</v>
      </c>
      <c r="AB325" s="17">
        <f t="shared" si="99"/>
        <v>179980.35565501911</v>
      </c>
      <c r="AC325" s="18">
        <f t="shared" si="100"/>
        <v>3950162.6009638761</v>
      </c>
      <c r="AD325" s="19">
        <f t="shared" si="101"/>
        <v>6.218555541784937E-3</v>
      </c>
    </row>
    <row r="326" spans="1:30" x14ac:dyDescent="0.25">
      <c r="A326" s="8">
        <v>475</v>
      </c>
      <c r="B326" s="9">
        <v>45120</v>
      </c>
      <c r="C326" s="10">
        <v>2.208333333333333</v>
      </c>
      <c r="D326" s="11">
        <v>181004.09706738981</v>
      </c>
      <c r="E326" s="11">
        <v>2319.9006136679982</v>
      </c>
      <c r="F326" s="11">
        <v>254.1765595529738</v>
      </c>
      <c r="G326" s="11">
        <v>67422.035408876007</v>
      </c>
      <c r="H326" s="12">
        <v>7.1806201554791796E-2</v>
      </c>
      <c r="I326" s="13">
        <v>3513</v>
      </c>
      <c r="J326" s="13">
        <v>544233</v>
      </c>
      <c r="K326" s="12">
        <v>8.0424629191939767E-2</v>
      </c>
      <c r="L326" s="14">
        <v>23.208333333333389</v>
      </c>
      <c r="M326" s="15"/>
      <c r="N326" s="16">
        <f t="shared" si="85"/>
        <v>113582.06165851381</v>
      </c>
      <c r="O326" s="17">
        <f t="shared" si="86"/>
        <v>183578.1742406108</v>
      </c>
      <c r="P326" s="18">
        <f t="shared" si="87"/>
        <v>4260543.4605008522</v>
      </c>
      <c r="Q326" s="19">
        <f t="shared" si="88"/>
        <v>1.2637126517160853E-2</v>
      </c>
      <c r="R326" s="20">
        <f t="shared" si="89"/>
        <v>7.1806201554791796E-2</v>
      </c>
      <c r="S326" s="20">
        <f t="shared" si="90"/>
        <v>1.0307896320542267E-3</v>
      </c>
      <c r="T326" s="20">
        <f t="shared" si="91"/>
        <v>1.1293697702168649E-4</v>
      </c>
      <c r="U326" s="20">
        <f t="shared" si="92"/>
        <v>8.156835580101568E-2</v>
      </c>
      <c r="V326" s="21">
        <f t="shared" si="93"/>
        <v>372241624.50497288</v>
      </c>
      <c r="W326" s="21" t="str">
        <f t="shared" si="94"/>
        <v/>
      </c>
      <c r="X326" s="19" t="str">
        <f t="shared" si="95"/>
        <v/>
      </c>
      <c r="Y326" s="17">
        <f t="shared" si="96"/>
        <v>1159.9503068339991</v>
      </c>
      <c r="Z326" s="17">
        <f t="shared" si="97"/>
        <v>179844.1467605558</v>
      </c>
      <c r="AA326" s="20">
        <f t="shared" si="98"/>
        <v>4.6611822175417233E-2</v>
      </c>
      <c r="AB326" s="17">
        <f t="shared" si="99"/>
        <v>179844.1467605558</v>
      </c>
      <c r="AC326" s="18">
        <f t="shared" si="100"/>
        <v>4173882.9060679092</v>
      </c>
      <c r="AD326" s="19">
        <f t="shared" si="101"/>
        <v>6.4084201718491319E-3</v>
      </c>
    </row>
    <row r="327" spans="1:30" x14ac:dyDescent="0.25">
      <c r="A327" s="8">
        <v>476</v>
      </c>
      <c r="B327" s="9">
        <v>45123</v>
      </c>
      <c r="C327" s="10">
        <v>2.25</v>
      </c>
      <c r="D327" s="11">
        <v>180901.60057793179</v>
      </c>
      <c r="E327" s="11">
        <v>2239.726021515</v>
      </c>
      <c r="F327" s="11">
        <v>101.84766734998681</v>
      </c>
      <c r="G327" s="11">
        <v>66954.873548782998</v>
      </c>
      <c r="H327" s="12">
        <v>7.210420989690601E-2</v>
      </c>
      <c r="I327" s="13">
        <v>3516</v>
      </c>
      <c r="J327" s="13">
        <v>555158</v>
      </c>
      <c r="K327" s="12">
        <v>7.9312962237266152E-2</v>
      </c>
      <c r="L327" s="14">
        <v>27.791249999999909</v>
      </c>
      <c r="M327" s="15"/>
      <c r="N327" s="16">
        <f t="shared" si="85"/>
        <v>113946.72702914879</v>
      </c>
      <c r="O327" s="17">
        <f t="shared" si="86"/>
        <v>183243.17426679679</v>
      </c>
      <c r="P327" s="18">
        <f t="shared" si="87"/>
        <v>5092556.8668420995</v>
      </c>
      <c r="Q327" s="19">
        <f t="shared" si="88"/>
        <v>1.2222698228606449E-2</v>
      </c>
      <c r="R327" s="20">
        <f t="shared" si="89"/>
        <v>7.210420989690601E-2</v>
      </c>
      <c r="S327" s="20">
        <f t="shared" si="90"/>
        <v>9.8196646574011458E-4</v>
      </c>
      <c r="T327" s="20">
        <f t="shared" si="91"/>
        <v>4.4653226774537253E-5</v>
      </c>
      <c r="U327" s="20">
        <f t="shared" si="92"/>
        <v>8.0339581929780801E-2</v>
      </c>
      <c r="V327" s="21">
        <f t="shared" si="93"/>
        <v>370259274.13101703</v>
      </c>
      <c r="W327" s="21" t="str">
        <f t="shared" si="94"/>
        <v/>
      </c>
      <c r="X327" s="19" t="str">
        <f t="shared" si="95"/>
        <v/>
      </c>
      <c r="Y327" s="17">
        <f t="shared" si="96"/>
        <v>1119.8630107575</v>
      </c>
      <c r="Z327" s="17">
        <f t="shared" si="97"/>
        <v>179781.73756717431</v>
      </c>
      <c r="AA327" s="20">
        <f t="shared" si="98"/>
        <v>4.6549643532997495E-2</v>
      </c>
      <c r="AB327" s="17">
        <f t="shared" si="99"/>
        <v>179781.73756717431</v>
      </c>
      <c r="AC327" s="18">
        <f t="shared" si="100"/>
        <v>4996359.2141637169</v>
      </c>
      <c r="AD327" s="19">
        <f t="shared" si="101"/>
        <v>6.1904538554652909E-3</v>
      </c>
    </row>
    <row r="328" spans="1:30" x14ac:dyDescent="0.25">
      <c r="A328" s="8">
        <v>477</v>
      </c>
      <c r="B328" s="9">
        <v>45125</v>
      </c>
      <c r="C328" s="10">
        <v>2.208333333333333</v>
      </c>
      <c r="D328" s="11">
        <v>180799.13588111469</v>
      </c>
      <c r="E328" s="11">
        <v>2219.379815700001</v>
      </c>
      <c r="F328" s="11">
        <v>84.608785294989062</v>
      </c>
      <c r="G328" s="11">
        <v>66913.725909818997</v>
      </c>
      <c r="H328" s="12">
        <v>7.2319929265094882E-2</v>
      </c>
      <c r="I328" s="13">
        <v>3519</v>
      </c>
      <c r="J328" s="13">
        <v>555919</v>
      </c>
      <c r="K328" s="12">
        <v>8.0995969179311497E-2</v>
      </c>
      <c r="L328" s="14">
        <v>25.807777777777741</v>
      </c>
      <c r="M328" s="15"/>
      <c r="N328" s="16">
        <f t="shared" si="85"/>
        <v>113885.4099712957</v>
      </c>
      <c r="O328" s="17">
        <f t="shared" si="86"/>
        <v>183103.12448210968</v>
      </c>
      <c r="P328" s="18">
        <f t="shared" si="87"/>
        <v>4725484.7470510611</v>
      </c>
      <c r="Q328" s="19">
        <f t="shared" si="88"/>
        <v>1.2120928148972402E-2</v>
      </c>
      <c r="R328" s="20">
        <f t="shared" si="89"/>
        <v>7.2319929265094882E-2</v>
      </c>
      <c r="S328" s="20">
        <f t="shared" si="90"/>
        <v>9.9425707027618691E-4</v>
      </c>
      <c r="T328" s="20">
        <f t="shared" si="91"/>
        <v>3.7903779421590379E-5</v>
      </c>
      <c r="U328" s="20">
        <f t="shared" si="92"/>
        <v>8.2028130029009272E-2</v>
      </c>
      <c r="V328" s="21">
        <f t="shared" si="93"/>
        <v>369197320.76598692</v>
      </c>
      <c r="W328" s="21" t="str">
        <f t="shared" si="94"/>
        <v/>
      </c>
      <c r="X328" s="19" t="str">
        <f t="shared" si="95"/>
        <v/>
      </c>
      <c r="Y328" s="17">
        <f t="shared" si="96"/>
        <v>1109.6899078500005</v>
      </c>
      <c r="Z328" s="17">
        <f t="shared" si="97"/>
        <v>179689.44597326469</v>
      </c>
      <c r="AA328" s="20">
        <f t="shared" si="98"/>
        <v>4.6508237191700753E-2</v>
      </c>
      <c r="AB328" s="17">
        <f t="shared" si="99"/>
        <v>179689.44597326469</v>
      </c>
      <c r="AC328" s="18">
        <f t="shared" si="100"/>
        <v>4637385.2906900141</v>
      </c>
      <c r="AD328" s="19">
        <f t="shared" si="101"/>
        <v>6.1376947541368909E-3</v>
      </c>
    </row>
    <row r="329" spans="1:30" x14ac:dyDescent="0.25">
      <c r="A329" s="8">
        <v>478</v>
      </c>
      <c r="B329" s="9">
        <v>45127</v>
      </c>
      <c r="C329" s="10">
        <v>2.208333333333333</v>
      </c>
      <c r="D329" s="11">
        <v>180696.6835443998</v>
      </c>
      <c r="E329" s="11">
        <v>2216.873635820999</v>
      </c>
      <c r="F329" s="11">
        <v>69.305369128999047</v>
      </c>
      <c r="G329" s="11">
        <v>66734.182424922998</v>
      </c>
      <c r="H329" s="12">
        <v>7.2263493155960742E-2</v>
      </c>
      <c r="I329" s="13">
        <v>3533</v>
      </c>
      <c r="J329" s="13">
        <v>551534</v>
      </c>
      <c r="K329" s="12">
        <v>8.0510926157019713E-2</v>
      </c>
      <c r="L329" s="14">
        <v>26.35135416666667</v>
      </c>
      <c r="M329" s="15"/>
      <c r="N329" s="16">
        <f t="shared" si="85"/>
        <v>113962.5011194768</v>
      </c>
      <c r="O329" s="17">
        <f t="shared" si="86"/>
        <v>182982.86254934978</v>
      </c>
      <c r="P329" s="18">
        <f t="shared" si="87"/>
        <v>4821846.2174684033</v>
      </c>
      <c r="Q329" s="19">
        <f t="shared" si="88"/>
        <v>1.2115198138968433E-2</v>
      </c>
      <c r="R329" s="20">
        <f t="shared" si="89"/>
        <v>7.2263493155960742E-2</v>
      </c>
      <c r="S329" s="20">
        <f t="shared" si="90"/>
        <v>9.8774668185413876E-4</v>
      </c>
      <c r="T329" s="20">
        <f t="shared" si="91"/>
        <v>3.0879589745535027E-5</v>
      </c>
      <c r="U329" s="20">
        <f t="shared" si="92"/>
        <v>8.1529552428619395E-2</v>
      </c>
      <c r="V329" s="21">
        <f t="shared" si="93"/>
        <v>371211101.53022885</v>
      </c>
      <c r="W329" s="21" t="str">
        <f t="shared" si="94"/>
        <v/>
      </c>
      <c r="X329" s="19" t="str">
        <f t="shared" si="95"/>
        <v/>
      </c>
      <c r="Y329" s="17">
        <f t="shared" si="96"/>
        <v>1108.4368179104995</v>
      </c>
      <c r="Z329" s="17">
        <f t="shared" si="97"/>
        <v>179588.24672648931</v>
      </c>
      <c r="AA329" s="20">
        <f t="shared" si="98"/>
        <v>4.6466867681730084E-2</v>
      </c>
      <c r="AB329" s="17">
        <f t="shared" si="99"/>
        <v>179588.24672648931</v>
      </c>
      <c r="AC329" s="18">
        <f t="shared" si="100"/>
        <v>4732393.493660436</v>
      </c>
      <c r="AD329" s="19">
        <f t="shared" si="101"/>
        <v>6.1342399659379499E-3</v>
      </c>
    </row>
    <row r="330" spans="1:30" x14ac:dyDescent="0.25">
      <c r="A330" s="8">
        <v>479</v>
      </c>
      <c r="B330" s="9">
        <v>45129</v>
      </c>
      <c r="C330" s="10">
        <v>2.208333333333333</v>
      </c>
      <c r="D330" s="11">
        <v>180594.2377135698</v>
      </c>
      <c r="E330" s="11">
        <v>2234.1962547149992</v>
      </c>
      <c r="F330" s="11">
        <v>68.898407468987344</v>
      </c>
      <c r="G330" s="11">
        <v>65252.085611848997</v>
      </c>
      <c r="H330" s="12">
        <v>7.2139794981919331E-2</v>
      </c>
      <c r="I330" s="13">
        <v>3544</v>
      </c>
      <c r="J330" s="13">
        <v>551850</v>
      </c>
      <c r="K330" s="12">
        <v>8.0295710668448456E-2</v>
      </c>
      <c r="L330" s="14">
        <v>25.58718750000002</v>
      </c>
      <c r="M330" s="15"/>
      <c r="N330" s="16">
        <f t="shared" si="85"/>
        <v>115342.1521017208</v>
      </c>
      <c r="O330" s="17">
        <f t="shared" si="86"/>
        <v>182897.33237575379</v>
      </c>
      <c r="P330" s="18">
        <f t="shared" si="87"/>
        <v>4679828.3367482359</v>
      </c>
      <c r="Q330" s="19">
        <f t="shared" si="88"/>
        <v>1.2215575950145354E-2</v>
      </c>
      <c r="R330" s="20">
        <f t="shared" si="89"/>
        <v>7.2139794981919331E-2</v>
      </c>
      <c r="S330" s="20">
        <f t="shared" si="90"/>
        <v>9.9336711024887231E-4</v>
      </c>
      <c r="T330" s="20">
        <f t="shared" si="91"/>
        <v>3.0633572043539148E-5</v>
      </c>
      <c r="U330" s="20">
        <f t="shared" si="92"/>
        <v>8.131971135074087E-2</v>
      </c>
      <c r="V330" s="21">
        <f t="shared" si="93"/>
        <v>371995031.63338935</v>
      </c>
      <c r="W330" s="21" t="str">
        <f t="shared" si="94"/>
        <v/>
      </c>
      <c r="X330" s="19" t="str">
        <f t="shared" si="95"/>
        <v/>
      </c>
      <c r="Y330" s="17">
        <f t="shared" si="96"/>
        <v>1117.0981273574996</v>
      </c>
      <c r="Z330" s="17">
        <f t="shared" si="97"/>
        <v>179477.13958621232</v>
      </c>
      <c r="AA330" s="20">
        <f t="shared" si="98"/>
        <v>4.6425534970323687E-2</v>
      </c>
      <c r="AB330" s="17">
        <f t="shared" si="99"/>
        <v>179477.13958621232</v>
      </c>
      <c r="AC330" s="18">
        <f t="shared" si="100"/>
        <v>4592315.2225560909</v>
      </c>
      <c r="AD330" s="19">
        <f t="shared" si="101"/>
        <v>6.1856797952173038E-3</v>
      </c>
    </row>
    <row r="331" spans="1:30" x14ac:dyDescent="0.25">
      <c r="A331" s="8">
        <v>480</v>
      </c>
      <c r="B331" s="9">
        <v>45132</v>
      </c>
      <c r="C331" s="10">
        <v>2.208333333333333</v>
      </c>
      <c r="D331" s="11">
        <v>180491.79212852649</v>
      </c>
      <c r="E331" s="11">
        <v>2226.360496968</v>
      </c>
      <c r="F331" s="11">
        <v>62.446642194998283</v>
      </c>
      <c r="G331" s="11">
        <v>65266.831838569</v>
      </c>
      <c r="H331" s="12">
        <v>7.206410729769247E-2</v>
      </c>
      <c r="I331" s="13">
        <v>3559</v>
      </c>
      <c r="J331" s="13">
        <v>560194</v>
      </c>
      <c r="K331" s="12">
        <v>7.9446332193752953E-2</v>
      </c>
      <c r="L331" s="14">
        <v>23.26243055555555</v>
      </c>
      <c r="M331" s="15"/>
      <c r="N331" s="16">
        <f t="shared" si="85"/>
        <v>115224.9602899575</v>
      </c>
      <c r="O331" s="17">
        <f t="shared" si="86"/>
        <v>182780.59926768948</v>
      </c>
      <c r="P331" s="18">
        <f t="shared" si="87"/>
        <v>4251920.9973674538</v>
      </c>
      <c r="Q331" s="19">
        <f t="shared" si="88"/>
        <v>1.2180507700969982E-2</v>
      </c>
      <c r="R331" s="20">
        <f t="shared" si="89"/>
        <v>7.206410729769247E-2</v>
      </c>
      <c r="S331" s="20">
        <f t="shared" si="90"/>
        <v>9.7996797272208798E-4</v>
      </c>
      <c r="T331" s="20">
        <f t="shared" si="91"/>
        <v>2.7486882487573015E-5</v>
      </c>
      <c r="U331" s="20">
        <f t="shared" si="92"/>
        <v>8.0453787048962611E-2</v>
      </c>
      <c r="V331" s="21">
        <f t="shared" si="93"/>
        <v>375758836.09266603</v>
      </c>
      <c r="W331" s="21" t="str">
        <f t="shared" si="94"/>
        <v/>
      </c>
      <c r="X331" s="19" t="str">
        <f t="shared" si="95"/>
        <v/>
      </c>
      <c r="Y331" s="17">
        <f t="shared" si="96"/>
        <v>1113.180248484</v>
      </c>
      <c r="Z331" s="17">
        <f t="shared" si="97"/>
        <v>179378.6118800425</v>
      </c>
      <c r="AA331" s="20">
        <f t="shared" si="98"/>
        <v>4.6363604828927346E-2</v>
      </c>
      <c r="AB331" s="17">
        <f t="shared" si="99"/>
        <v>179378.6118800425</v>
      </c>
      <c r="AC331" s="18">
        <f t="shared" si="100"/>
        <v>4172782.5020114407</v>
      </c>
      <c r="AD331" s="19">
        <f t="shared" si="101"/>
        <v>6.1674840465394398E-3</v>
      </c>
    </row>
    <row r="332" spans="1:30" x14ac:dyDescent="0.25">
      <c r="A332" s="8">
        <v>481</v>
      </c>
      <c r="B332" s="9">
        <v>45134</v>
      </c>
      <c r="C332" s="10">
        <v>2.208333333333333</v>
      </c>
      <c r="D332" s="11">
        <v>180389.35501416199</v>
      </c>
      <c r="E332" s="11">
        <v>2174.7921667119999</v>
      </c>
      <c r="F332" s="11">
        <v>29.828155434010359</v>
      </c>
      <c r="G332" s="11">
        <v>65432.942095347003</v>
      </c>
      <c r="H332" s="12">
        <v>7.2067799417101688E-2</v>
      </c>
      <c r="I332" s="13">
        <v>3565</v>
      </c>
      <c r="J332" s="13">
        <v>560057</v>
      </c>
      <c r="K332" s="12">
        <v>7.971096706047022E-2</v>
      </c>
      <c r="L332" s="14">
        <v>25.144444444444431</v>
      </c>
      <c r="M332" s="15"/>
      <c r="N332" s="16">
        <f t="shared" si="85"/>
        <v>114956.41291881498</v>
      </c>
      <c r="O332" s="17">
        <f t="shared" si="86"/>
        <v>182593.97533630801</v>
      </c>
      <c r="P332" s="18">
        <f t="shared" si="87"/>
        <v>4591224.0687340535</v>
      </c>
      <c r="Q332" s="19">
        <f t="shared" si="88"/>
        <v>1.1910536274301445E-2</v>
      </c>
      <c r="R332" s="20">
        <f t="shared" si="89"/>
        <v>7.2067799417101688E-2</v>
      </c>
      <c r="S332" s="20">
        <f t="shared" si="90"/>
        <v>9.6100341813705784E-4</v>
      </c>
      <c r="T332" s="20">
        <f t="shared" si="91"/>
        <v>1.3180551120038778E-5</v>
      </c>
      <c r="U332" s="20">
        <f t="shared" si="92"/>
        <v>8.0685151029727314E-2</v>
      </c>
      <c r="V332" s="21">
        <f t="shared" si="93"/>
        <v>374298791.05796373</v>
      </c>
      <c r="W332" s="21" t="str">
        <f t="shared" si="94"/>
        <v/>
      </c>
      <c r="X332" s="19" t="str">
        <f t="shared" si="95"/>
        <v/>
      </c>
      <c r="Y332" s="17">
        <f t="shared" si="96"/>
        <v>1087.396083356</v>
      </c>
      <c r="Z332" s="17">
        <f t="shared" si="97"/>
        <v>179301.95893080599</v>
      </c>
      <c r="AA332" s="20">
        <f t="shared" si="98"/>
        <v>4.6322363970789891E-2</v>
      </c>
      <c r="AB332" s="17">
        <f t="shared" si="99"/>
        <v>179301.95893080599</v>
      </c>
      <c r="AC332" s="18">
        <f t="shared" si="100"/>
        <v>4508448.145115708</v>
      </c>
      <c r="AD332" s="19">
        <f t="shared" si="101"/>
        <v>6.0280501766339306E-3</v>
      </c>
    </row>
    <row r="333" spans="1:30" x14ac:dyDescent="0.25">
      <c r="A333" s="8">
        <v>482</v>
      </c>
      <c r="B333" s="9">
        <v>45136</v>
      </c>
      <c r="C333" s="10">
        <v>2.166666666666667</v>
      </c>
      <c r="D333" s="11">
        <v>180286.9407980901</v>
      </c>
      <c r="E333" s="11">
        <v>2166.6151669469982</v>
      </c>
      <c r="F333" s="11">
        <v>30.30383731000931</v>
      </c>
      <c r="G333" s="11">
        <v>65630.353930976999</v>
      </c>
      <c r="H333" s="12">
        <v>7.2167867104178621E-2</v>
      </c>
      <c r="I333" s="13">
        <v>3570</v>
      </c>
      <c r="J333" s="13">
        <v>566288</v>
      </c>
      <c r="K333" s="12">
        <v>8.1094986055984697E-2</v>
      </c>
      <c r="L333" s="14">
        <v>25.136284722222221</v>
      </c>
      <c r="M333" s="15"/>
      <c r="N333" s="16">
        <f t="shared" si="85"/>
        <v>114656.5868671131</v>
      </c>
      <c r="O333" s="17">
        <f t="shared" si="86"/>
        <v>182483.85980234708</v>
      </c>
      <c r="P333" s="18">
        <f t="shared" si="87"/>
        <v>4586966.2572018784</v>
      </c>
      <c r="Q333" s="19">
        <f t="shared" si="88"/>
        <v>1.187291396232913E-2</v>
      </c>
      <c r="R333" s="20">
        <f t="shared" si="89"/>
        <v>7.2167867104178621E-2</v>
      </c>
      <c r="S333" s="20">
        <f t="shared" si="90"/>
        <v>9.7456657689381067E-4</v>
      </c>
      <c r="T333" s="20">
        <f t="shared" si="91"/>
        <v>1.3630988762798219E-5</v>
      </c>
      <c r="U333" s="20">
        <f t="shared" si="92"/>
        <v>8.2083183621641298E-2</v>
      </c>
      <c r="V333" s="21">
        <f t="shared" si="93"/>
        <v>374773080.66508406</v>
      </c>
      <c r="W333" s="21" t="str">
        <f t="shared" si="94"/>
        <v/>
      </c>
      <c r="X333" s="19" t="str">
        <f t="shared" si="95"/>
        <v/>
      </c>
      <c r="Y333" s="17">
        <f t="shared" si="96"/>
        <v>1083.3075834734991</v>
      </c>
      <c r="Z333" s="17">
        <f t="shared" si="97"/>
        <v>179203.6332146166</v>
      </c>
      <c r="AA333" s="20">
        <f t="shared" si="98"/>
        <v>4.6281159796779686E-2</v>
      </c>
      <c r="AB333" s="17">
        <f t="shared" si="99"/>
        <v>179203.6332146166</v>
      </c>
      <c r="AC333" s="18">
        <f t="shared" si="100"/>
        <v>4504513.5477392813</v>
      </c>
      <c r="AD333" s="19">
        <f t="shared" si="101"/>
        <v>6.0087967474401526E-3</v>
      </c>
    </row>
    <row r="334" spans="1:30" x14ac:dyDescent="0.25">
      <c r="A334" s="8">
        <v>483</v>
      </c>
      <c r="B334" s="9">
        <v>45138</v>
      </c>
      <c r="C334" s="10">
        <v>2.166666666666667</v>
      </c>
      <c r="D334" s="11">
        <v>180184.53534210811</v>
      </c>
      <c r="E334" s="11">
        <v>2194.0063193649971</v>
      </c>
      <c r="F334" s="11">
        <v>164.6267903160747</v>
      </c>
      <c r="G334" s="11">
        <v>65510.140902712003</v>
      </c>
      <c r="H334" s="12">
        <v>7.2056718017978388E-2</v>
      </c>
      <c r="I334" s="13">
        <v>3573</v>
      </c>
      <c r="J334" s="13">
        <v>565729</v>
      </c>
      <c r="K334" s="12">
        <v>8.1047539756196094E-2</v>
      </c>
      <c r="L334" s="14">
        <v>24.264201388888878</v>
      </c>
      <c r="M334" s="15"/>
      <c r="N334" s="16">
        <f t="shared" si="85"/>
        <v>114674.3944393961</v>
      </c>
      <c r="O334" s="17">
        <f t="shared" si="86"/>
        <v>182543.16845178918</v>
      </c>
      <c r="P334" s="18">
        <f t="shared" si="87"/>
        <v>4429264.2014800794</v>
      </c>
      <c r="Q334" s="19">
        <f t="shared" si="88"/>
        <v>1.2019109441197457E-2</v>
      </c>
      <c r="R334" s="20">
        <f t="shared" si="89"/>
        <v>7.2056718017978388E-2</v>
      </c>
      <c r="S334" s="20">
        <f t="shared" si="90"/>
        <v>9.8687056609194387E-4</v>
      </c>
      <c r="T334" s="20">
        <f t="shared" si="91"/>
        <v>7.4049619784206496E-5</v>
      </c>
      <c r="U334" s="20">
        <f t="shared" si="92"/>
        <v>8.2108459942072234E-2</v>
      </c>
      <c r="V334" s="21">
        <f t="shared" si="93"/>
        <v>374779476.90195638</v>
      </c>
      <c r="W334" s="21" t="str">
        <f t="shared" si="94"/>
        <v/>
      </c>
      <c r="X334" s="19" t="str">
        <f t="shared" si="95"/>
        <v/>
      </c>
      <c r="Y334" s="17">
        <f t="shared" si="96"/>
        <v>1097.0031596824986</v>
      </c>
      <c r="Z334" s="17">
        <f t="shared" si="97"/>
        <v>179087.53218242561</v>
      </c>
      <c r="AA334" s="20">
        <f t="shared" si="98"/>
        <v>4.6239992274265874E-2</v>
      </c>
      <c r="AB334" s="17">
        <f t="shared" si="99"/>
        <v>179087.53218242561</v>
      </c>
      <c r="AC334" s="18">
        <f t="shared" si="100"/>
        <v>4345415.9471134935</v>
      </c>
      <c r="AD334" s="19">
        <f t="shared" si="101"/>
        <v>6.0882203769578175E-3</v>
      </c>
    </row>
    <row r="335" spans="1:30" x14ac:dyDescent="0.25">
      <c r="A335" s="8">
        <v>484</v>
      </c>
      <c r="B335" s="9">
        <v>45140</v>
      </c>
      <c r="C335" s="10">
        <v>2.166666666666667</v>
      </c>
      <c r="D335" s="11">
        <v>180082.1272608974</v>
      </c>
      <c r="E335" s="11">
        <v>2249.8741826089999</v>
      </c>
      <c r="F335" s="11">
        <v>53.014814443990147</v>
      </c>
      <c r="G335" s="11">
        <v>65503.991579212001</v>
      </c>
      <c r="H335" s="12">
        <v>7.1938876116299164E-2</v>
      </c>
      <c r="I335" s="13">
        <v>3579</v>
      </c>
      <c r="J335" s="13">
        <v>571273</v>
      </c>
      <c r="K335" s="12">
        <v>8.0759022021293606E-2</v>
      </c>
      <c r="L335" s="14">
        <v>23.499062500000012</v>
      </c>
      <c r="M335" s="15"/>
      <c r="N335" s="16">
        <f t="shared" si="85"/>
        <v>114578.13568168539</v>
      </c>
      <c r="O335" s="17">
        <f t="shared" si="86"/>
        <v>182385.0162579504</v>
      </c>
      <c r="P335" s="18">
        <f t="shared" si="87"/>
        <v>4285876.8961090948</v>
      </c>
      <c r="Q335" s="19">
        <f t="shared" si="88"/>
        <v>1.2335849889263725E-2</v>
      </c>
      <c r="R335" s="20">
        <f t="shared" si="89"/>
        <v>7.1938876116299164E-2</v>
      </c>
      <c r="S335" s="20">
        <f t="shared" si="90"/>
        <v>1.0089709702019584E-3</v>
      </c>
      <c r="T335" s="20">
        <f t="shared" si="91"/>
        <v>2.3774844468236427E-5</v>
      </c>
      <c r="U335" s="20">
        <f t="shared" si="92"/>
        <v>8.17917678359638E-2</v>
      </c>
      <c r="V335" s="21">
        <f t="shared" si="93"/>
        <v>375904637.71075141</v>
      </c>
      <c r="W335" s="21" t="str">
        <f t="shared" si="94"/>
        <v/>
      </c>
      <c r="X335" s="19" t="str">
        <f t="shared" si="95"/>
        <v/>
      </c>
      <c r="Y335" s="17">
        <f t="shared" si="96"/>
        <v>1124.9370913045</v>
      </c>
      <c r="Z335" s="17">
        <f t="shared" si="97"/>
        <v>178957.19016959288</v>
      </c>
      <c r="AA335" s="20">
        <f t="shared" si="98"/>
        <v>4.6198861370646611E-2</v>
      </c>
      <c r="AB335" s="17">
        <f t="shared" si="99"/>
        <v>178957.19016959288</v>
      </c>
      <c r="AC335" s="18">
        <f t="shared" si="100"/>
        <v>4205326.1966196503</v>
      </c>
      <c r="AD335" s="19">
        <f t="shared" si="101"/>
        <v>6.2468003261352311E-3</v>
      </c>
    </row>
    <row r="336" spans="1:30" x14ac:dyDescent="0.25">
      <c r="A336" s="8">
        <v>485</v>
      </c>
      <c r="B336" s="9">
        <v>45143</v>
      </c>
      <c r="C336" s="10">
        <v>2.166666666666667</v>
      </c>
      <c r="D336" s="11">
        <v>179979.70732312079</v>
      </c>
      <c r="E336" s="11">
        <v>2231.305640907</v>
      </c>
      <c r="F336" s="11">
        <v>48.720910354019793</v>
      </c>
      <c r="G336" s="11">
        <v>66874.099085705995</v>
      </c>
      <c r="H336" s="12">
        <v>7.1993647315983844E-2</v>
      </c>
      <c r="I336" s="13">
        <v>3603</v>
      </c>
      <c r="J336" s="13">
        <v>569343</v>
      </c>
      <c r="K336" s="12">
        <v>8.0329466076210942E-2</v>
      </c>
      <c r="L336" s="14">
        <v>22.69347222222223</v>
      </c>
      <c r="M336" s="15"/>
      <c r="N336" s="16">
        <f t="shared" si="85"/>
        <v>113105.6082374148</v>
      </c>
      <c r="O336" s="17">
        <f t="shared" si="86"/>
        <v>182259.73387438181</v>
      </c>
      <c r="P336" s="18">
        <f t="shared" si="87"/>
        <v>4136106.2079078997</v>
      </c>
      <c r="Q336" s="19">
        <f t="shared" si="88"/>
        <v>1.2242449791158339E-2</v>
      </c>
      <c r="R336" s="20">
        <f t="shared" si="89"/>
        <v>7.1993647315983844E-2</v>
      </c>
      <c r="S336" s="20">
        <f t="shared" si="90"/>
        <v>9.9588777786545086E-4</v>
      </c>
      <c r="T336" s="20">
        <f t="shared" si="91"/>
        <v>2.1745366595462719E-5</v>
      </c>
      <c r="U336" s="20">
        <f t="shared" si="92"/>
        <v>8.1347099220671862E-2</v>
      </c>
      <c r="V336" s="21">
        <f t="shared" si="93"/>
        <v>377699824.96873564</v>
      </c>
      <c r="W336" s="21" t="str">
        <f t="shared" si="94"/>
        <v/>
      </c>
      <c r="X336" s="19" t="str">
        <f t="shared" si="95"/>
        <v/>
      </c>
      <c r="Y336" s="17">
        <f t="shared" si="96"/>
        <v>1115.6528204535</v>
      </c>
      <c r="Z336" s="17">
        <f t="shared" si="97"/>
        <v>178864.05450266728</v>
      </c>
      <c r="AA336" s="20">
        <f t="shared" si="98"/>
        <v>4.6137233604399801E-2</v>
      </c>
      <c r="AB336" s="17">
        <f t="shared" si="99"/>
        <v>178864.05450266728</v>
      </c>
      <c r="AC336" s="18">
        <f t="shared" si="100"/>
        <v>4059046.4524103226</v>
      </c>
      <c r="AD336" s="19">
        <f t="shared" si="101"/>
        <v>6.198770056062757E-3</v>
      </c>
    </row>
    <row r="337" spans="1:30" x14ac:dyDescent="0.25">
      <c r="A337" s="8">
        <v>486</v>
      </c>
      <c r="B337" s="9">
        <v>45145</v>
      </c>
      <c r="C337" s="10">
        <v>2.125</v>
      </c>
      <c r="D337" s="11">
        <v>179877.299948122</v>
      </c>
      <c r="E337" s="11">
        <v>2287.5672208929982</v>
      </c>
      <c r="F337" s="11">
        <v>107.1326193739939</v>
      </c>
      <c r="G337" s="11">
        <v>66835.420547531001</v>
      </c>
      <c r="H337" s="12">
        <v>7.1979504649479845E-2</v>
      </c>
      <c r="I337" s="13">
        <v>3616</v>
      </c>
      <c r="J337" s="13">
        <v>575291</v>
      </c>
      <c r="K337" s="12">
        <v>8.1830845664944571E-2</v>
      </c>
      <c r="L337" s="14">
        <v>23.064305555555549</v>
      </c>
      <c r="M337" s="15"/>
      <c r="N337" s="16">
        <f t="shared" si="85"/>
        <v>113041.879400591</v>
      </c>
      <c r="O337" s="17">
        <f t="shared" si="86"/>
        <v>182271.99978838899</v>
      </c>
      <c r="P337" s="18">
        <f t="shared" si="87"/>
        <v>4203977.0973415598</v>
      </c>
      <c r="Q337" s="19">
        <f t="shared" si="88"/>
        <v>1.2550294195207045E-2</v>
      </c>
      <c r="R337" s="20">
        <f t="shared" si="89"/>
        <v>7.1979504649479845E-2</v>
      </c>
      <c r="S337" s="20">
        <f t="shared" si="90"/>
        <v>1.0406736161542851E-3</v>
      </c>
      <c r="T337" s="20">
        <f t="shared" si="91"/>
        <v>4.8737405132292647E-5</v>
      </c>
      <c r="U337" s="20">
        <f t="shared" si="92"/>
        <v>8.2920256686231153E-2</v>
      </c>
      <c r="V337" s="21">
        <f t="shared" si="93"/>
        <v>377824930.2516225</v>
      </c>
      <c r="W337" s="21" t="str">
        <f t="shared" si="94"/>
        <v/>
      </c>
      <c r="X337" s="19" t="str">
        <f t="shared" si="95"/>
        <v/>
      </c>
      <c r="Y337" s="17">
        <f t="shared" si="96"/>
        <v>1143.7836104464991</v>
      </c>
      <c r="Z337" s="17">
        <f t="shared" si="97"/>
        <v>178733.51633767551</v>
      </c>
      <c r="AA337" s="20">
        <f t="shared" si="98"/>
        <v>4.6096194105574056E-2</v>
      </c>
      <c r="AB337" s="17">
        <f t="shared" si="99"/>
        <v>178733.51633767551</v>
      </c>
      <c r="AC337" s="18">
        <f t="shared" si="100"/>
        <v>4122364.4338310277</v>
      </c>
      <c r="AD337" s="19">
        <f t="shared" si="101"/>
        <v>6.3586878987864229E-3</v>
      </c>
    </row>
    <row r="338" spans="1:30" x14ac:dyDescent="0.25">
      <c r="A338" s="8">
        <v>487</v>
      </c>
      <c r="B338" s="9">
        <v>45147</v>
      </c>
      <c r="C338" s="10">
        <v>2.166666666666667</v>
      </c>
      <c r="D338" s="11">
        <v>179774.88085256581</v>
      </c>
      <c r="E338" s="11">
        <v>2227.2771446249981</v>
      </c>
      <c r="F338" s="11">
        <v>86.263763768994849</v>
      </c>
      <c r="G338" s="11">
        <v>66669.164631059</v>
      </c>
      <c r="H338" s="12">
        <v>7.194517773375253E-2</v>
      </c>
      <c r="I338" s="13">
        <v>3622</v>
      </c>
      <c r="J338" s="13">
        <v>574204</v>
      </c>
      <c r="K338" s="12">
        <v>8.0091543542266955E-2</v>
      </c>
      <c r="L338" s="14">
        <v>24.487916666666688</v>
      </c>
      <c r="M338" s="15"/>
      <c r="N338" s="16">
        <f t="shared" si="85"/>
        <v>113105.71622150681</v>
      </c>
      <c r="O338" s="17">
        <f t="shared" si="86"/>
        <v>182088.42176095981</v>
      </c>
      <c r="P338" s="18">
        <f t="shared" si="87"/>
        <v>4458966.0980472406</v>
      </c>
      <c r="Q338" s="19">
        <f t="shared" si="88"/>
        <v>1.2231843865113513E-2</v>
      </c>
      <c r="R338" s="20">
        <f t="shared" si="89"/>
        <v>7.194517773375253E-2</v>
      </c>
      <c r="S338" s="20">
        <f t="shared" si="90"/>
        <v>9.9227469134424988E-4</v>
      </c>
      <c r="T338" s="20">
        <f t="shared" si="91"/>
        <v>3.8431386850370834E-5</v>
      </c>
      <c r="U338" s="20">
        <f t="shared" si="92"/>
        <v>8.1122249620461578E-2</v>
      </c>
      <c r="V338" s="21">
        <f t="shared" si="93"/>
        <v>378390712.93029296</v>
      </c>
      <c r="W338" s="21" t="str">
        <f t="shared" si="94"/>
        <v/>
      </c>
      <c r="X338" s="19" t="str">
        <f t="shared" si="95"/>
        <v/>
      </c>
      <c r="Y338" s="17">
        <f t="shared" si="96"/>
        <v>1113.638572312499</v>
      </c>
      <c r="Z338" s="17">
        <f t="shared" si="97"/>
        <v>178661.2422802533</v>
      </c>
      <c r="AA338" s="20">
        <f t="shared" si="98"/>
        <v>4.60551911117646E-2</v>
      </c>
      <c r="AB338" s="17">
        <f t="shared" si="99"/>
        <v>178661.2422802533</v>
      </c>
      <c r="AC338" s="18">
        <f t="shared" si="100"/>
        <v>4375041.6125219902</v>
      </c>
      <c r="AD338" s="19">
        <f t="shared" si="101"/>
        <v>6.194628343132092E-3</v>
      </c>
    </row>
    <row r="339" spans="1:30" x14ac:dyDescent="0.25">
      <c r="A339" s="8">
        <v>488</v>
      </c>
      <c r="B339" s="9">
        <v>45149</v>
      </c>
      <c r="C339" s="10">
        <v>2.166666666666667</v>
      </c>
      <c r="D339" s="11">
        <v>179672.4880203949</v>
      </c>
      <c r="E339" s="11">
        <v>2213.9697028139981</v>
      </c>
      <c r="F339" s="11">
        <v>39.056789772999132</v>
      </c>
      <c r="G339" s="11">
        <v>66805.786845808994</v>
      </c>
      <c r="H339" s="12">
        <v>7.1996897363053702E-2</v>
      </c>
      <c r="I339" s="13">
        <v>3628</v>
      </c>
      <c r="J339" s="13">
        <v>586203</v>
      </c>
      <c r="K339" s="12">
        <v>7.9849295126718497E-2</v>
      </c>
      <c r="L339" s="14">
        <v>24.58024305555556</v>
      </c>
      <c r="M339" s="15"/>
      <c r="N339" s="16">
        <f t="shared" si="85"/>
        <v>112866.70117458591</v>
      </c>
      <c r="O339" s="17">
        <f t="shared" si="86"/>
        <v>181925.5145129819</v>
      </c>
      <c r="P339" s="18">
        <f t="shared" si="87"/>
        <v>4471773.3647360951</v>
      </c>
      <c r="Q339" s="19">
        <f t="shared" si="88"/>
        <v>1.2169649258603652E-2</v>
      </c>
      <c r="R339" s="20">
        <f t="shared" si="89"/>
        <v>7.1996897363053702E-2</v>
      </c>
      <c r="S339" s="20">
        <f t="shared" si="90"/>
        <v>9.8392314899953498E-4</v>
      </c>
      <c r="T339" s="20">
        <f t="shared" si="91"/>
        <v>1.7357455043047019E-5</v>
      </c>
      <c r="U339" s="20">
        <f t="shared" si="92"/>
        <v>8.0850575730761071E-2</v>
      </c>
      <c r="V339" s="21">
        <f t="shared" si="93"/>
        <v>379322511.78906858</v>
      </c>
      <c r="W339" s="21" t="str">
        <f t="shared" si="94"/>
        <v/>
      </c>
      <c r="X339" s="19" t="str">
        <f t="shared" si="95"/>
        <v/>
      </c>
      <c r="Y339" s="17">
        <f t="shared" si="96"/>
        <v>1106.984851406999</v>
      </c>
      <c r="Z339" s="17">
        <f t="shared" si="97"/>
        <v>178565.5031689879</v>
      </c>
      <c r="AA339" s="20">
        <f t="shared" si="98"/>
        <v>4.6014224590499857E-2</v>
      </c>
      <c r="AB339" s="17">
        <f t="shared" si="99"/>
        <v>178565.5031689879</v>
      </c>
      <c r="AC339" s="18">
        <f t="shared" si="100"/>
        <v>4389183.4692312991</v>
      </c>
      <c r="AD339" s="19">
        <f t="shared" si="101"/>
        <v>6.1611260778074353E-3</v>
      </c>
    </row>
    <row r="340" spans="1:30" x14ac:dyDescent="0.25">
      <c r="A340" s="8">
        <v>489</v>
      </c>
      <c r="B340" s="9">
        <v>45151</v>
      </c>
      <c r="C340" s="10">
        <v>2.125</v>
      </c>
      <c r="D340" s="11">
        <v>179570.10622908449</v>
      </c>
      <c r="E340" s="11">
        <v>2238.571623473998</v>
      </c>
      <c r="F340" s="11">
        <v>78.567683484986617</v>
      </c>
      <c r="G340" s="11">
        <v>66422.870394619007</v>
      </c>
      <c r="H340" s="12">
        <v>7.2139349105309988E-2</v>
      </c>
      <c r="I340" s="13">
        <v>3638</v>
      </c>
      <c r="J340" s="13">
        <v>592805</v>
      </c>
      <c r="K340" s="12">
        <v>8.1294528567807875E-2</v>
      </c>
      <c r="L340" s="14">
        <v>24.673333333333321</v>
      </c>
      <c r="M340" s="15"/>
      <c r="N340" s="16">
        <f t="shared" si="85"/>
        <v>113147.23583446548</v>
      </c>
      <c r="O340" s="17">
        <f t="shared" si="86"/>
        <v>181887.24553604348</v>
      </c>
      <c r="P340" s="18">
        <f t="shared" si="87"/>
        <v>4487764.6381926443</v>
      </c>
      <c r="Q340" s="19">
        <f t="shared" si="88"/>
        <v>1.2307468931516663E-2</v>
      </c>
      <c r="R340" s="20">
        <f t="shared" si="89"/>
        <v>7.2139349105309988E-2</v>
      </c>
      <c r="S340" s="20">
        <f t="shared" si="90"/>
        <v>1.0134405364968012E-3</v>
      </c>
      <c r="T340" s="20">
        <f t="shared" si="91"/>
        <v>3.556896481103839E-5</v>
      </c>
      <c r="U340" s="20">
        <f t="shared" si="92"/>
        <v>8.2343538069115707E-2</v>
      </c>
      <c r="V340" s="21">
        <f t="shared" si="93"/>
        <v>379668016.04375583</v>
      </c>
      <c r="W340" s="21" t="str">
        <f t="shared" si="94"/>
        <v/>
      </c>
      <c r="X340" s="19" t="str">
        <f t="shared" si="95"/>
        <v/>
      </c>
      <c r="Y340" s="17">
        <f t="shared" si="96"/>
        <v>1119.285811736999</v>
      </c>
      <c r="Z340" s="17">
        <f t="shared" si="97"/>
        <v>178450.82041734748</v>
      </c>
      <c r="AA340" s="20">
        <f t="shared" si="98"/>
        <v>4.5973294509337188E-2</v>
      </c>
      <c r="AB340" s="17">
        <f t="shared" si="99"/>
        <v>178450.82041734748</v>
      </c>
      <c r="AC340" s="18">
        <f t="shared" si="100"/>
        <v>4402976.5757640181</v>
      </c>
      <c r="AD340" s="19">
        <f t="shared" si="101"/>
        <v>6.2331411126364377E-3</v>
      </c>
    </row>
    <row r="341" spans="1:30" x14ac:dyDescent="0.25">
      <c r="A341" s="8">
        <v>490</v>
      </c>
      <c r="B341" s="9">
        <v>45154</v>
      </c>
      <c r="C341" s="10">
        <v>2.166666666666667</v>
      </c>
      <c r="D341" s="11">
        <v>179467.72339837599</v>
      </c>
      <c r="E341" s="11">
        <v>2382.8529539779988</v>
      </c>
      <c r="F341" s="11">
        <v>152.94843808399551</v>
      </c>
      <c r="G341" s="11">
        <v>66303.249144946996</v>
      </c>
      <c r="H341" s="12">
        <v>7.2025743199976358E-2</v>
      </c>
      <c r="I341" s="13">
        <v>3642</v>
      </c>
      <c r="J341" s="13">
        <v>591447</v>
      </c>
      <c r="K341" s="12">
        <v>7.9799431432496098E-2</v>
      </c>
      <c r="L341" s="14">
        <v>23.368541666666651</v>
      </c>
      <c r="M341" s="15"/>
      <c r="N341" s="16">
        <f t="shared" si="85"/>
        <v>113164.474253429</v>
      </c>
      <c r="O341" s="17">
        <f t="shared" si="86"/>
        <v>182003.52479043798</v>
      </c>
      <c r="P341" s="18">
        <f t="shared" si="87"/>
        <v>4253156.9525455469</v>
      </c>
      <c r="Q341" s="19">
        <f t="shared" si="88"/>
        <v>1.3092345089039661E-2</v>
      </c>
      <c r="R341" s="20">
        <f t="shared" si="89"/>
        <v>7.2025743199976358E-2</v>
      </c>
      <c r="S341" s="20">
        <f t="shared" si="90"/>
        <v>1.0595237255704151E-3</v>
      </c>
      <c r="T341" s="20">
        <f t="shared" si="91"/>
        <v>6.8007762992003387E-5</v>
      </c>
      <c r="U341" s="20">
        <f t="shared" si="92"/>
        <v>8.0926962921058512E-2</v>
      </c>
      <c r="V341" s="21">
        <f t="shared" si="93"/>
        <v>379126969.44101769</v>
      </c>
      <c r="W341" s="21" t="str">
        <f t="shared" si="94"/>
        <v/>
      </c>
      <c r="X341" s="19" t="str">
        <f t="shared" si="95"/>
        <v/>
      </c>
      <c r="Y341" s="17">
        <f t="shared" si="96"/>
        <v>1191.4264769889994</v>
      </c>
      <c r="Z341" s="17">
        <f t="shared" si="97"/>
        <v>178276.29692138699</v>
      </c>
      <c r="AA341" s="20">
        <f t="shared" si="98"/>
        <v>4.5911967641887222E-2</v>
      </c>
      <c r="AB341" s="17">
        <f t="shared" si="99"/>
        <v>178276.29692138699</v>
      </c>
      <c r="AC341" s="18">
        <f t="shared" si="100"/>
        <v>4166057.0727864676</v>
      </c>
      <c r="AD341" s="19">
        <f t="shared" si="101"/>
        <v>6.6386671342808191E-3</v>
      </c>
    </row>
    <row r="342" spans="1:30" x14ac:dyDescent="0.25">
      <c r="A342" s="8">
        <v>491</v>
      </c>
      <c r="B342" s="9">
        <v>45156</v>
      </c>
      <c r="C342" s="10">
        <v>2.208333333333333</v>
      </c>
      <c r="D342" s="11">
        <v>179365.30088618351</v>
      </c>
      <c r="E342" s="11">
        <v>2257.620455136002</v>
      </c>
      <c r="F342" s="11">
        <v>59.588131893997051</v>
      </c>
      <c r="G342" s="11">
        <v>63484.890853839999</v>
      </c>
      <c r="H342" s="12">
        <v>7.1993337206247052E-2</v>
      </c>
      <c r="I342" s="13">
        <v>3648</v>
      </c>
      <c r="J342" s="13">
        <v>583188</v>
      </c>
      <c r="K342" s="12">
        <v>7.8061153176380488E-2</v>
      </c>
      <c r="L342" s="14">
        <v>21.733263888888871</v>
      </c>
      <c r="M342" s="15"/>
      <c r="N342" s="16">
        <f t="shared" si="85"/>
        <v>115880.41003234351</v>
      </c>
      <c r="O342" s="17">
        <f t="shared" si="86"/>
        <v>181682.50947321352</v>
      </c>
      <c r="P342" s="18">
        <f t="shared" si="87"/>
        <v>3948553.9223769014</v>
      </c>
      <c r="Q342" s="19">
        <f t="shared" si="88"/>
        <v>1.2426184896289402E-2</v>
      </c>
      <c r="R342" s="20">
        <f t="shared" si="89"/>
        <v>7.1993337206247052E-2</v>
      </c>
      <c r="S342" s="20">
        <f t="shared" si="90"/>
        <v>9.8253371912959816E-4</v>
      </c>
      <c r="T342" s="20">
        <f t="shared" si="91"/>
        <v>2.5933211542534053E-5</v>
      </c>
      <c r="U342" s="20">
        <f t="shared" si="92"/>
        <v>7.9069620107052624E-2</v>
      </c>
      <c r="V342" s="21">
        <f t="shared" si="93"/>
        <v>380039785.59413707</v>
      </c>
      <c r="W342" s="21" t="str">
        <f t="shared" si="94"/>
        <v/>
      </c>
      <c r="X342" s="19" t="str">
        <f t="shared" si="95"/>
        <v/>
      </c>
      <c r="Y342" s="17">
        <f t="shared" si="96"/>
        <v>1128.810227568001</v>
      </c>
      <c r="Z342" s="17">
        <f t="shared" si="97"/>
        <v>178236.49065861551</v>
      </c>
      <c r="AA342" s="20">
        <f t="shared" si="98"/>
        <v>4.5871128519232335E-2</v>
      </c>
      <c r="AB342" s="17">
        <f t="shared" si="99"/>
        <v>178236.49065861551</v>
      </c>
      <c r="AC342" s="18">
        <f t="shared" si="100"/>
        <v>3873660.6861131671</v>
      </c>
      <c r="AD342" s="19">
        <f t="shared" si="101"/>
        <v>6.2933589829857282E-3</v>
      </c>
    </row>
    <row r="343" spans="1:30" x14ac:dyDescent="0.25">
      <c r="A343" s="8">
        <v>492</v>
      </c>
      <c r="B343" s="9">
        <v>45158</v>
      </c>
      <c r="C343" s="10">
        <v>2.166666666666667</v>
      </c>
      <c r="D343" s="11">
        <v>179262.92598871139</v>
      </c>
      <c r="E343" s="11">
        <v>2235.6376441529978</v>
      </c>
      <c r="F343" s="11">
        <v>37.228957908994524</v>
      </c>
      <c r="G343" s="11">
        <v>66412.121099768003</v>
      </c>
      <c r="H343" s="12">
        <v>7.1859398407096459E-2</v>
      </c>
      <c r="I343" s="13">
        <v>3656</v>
      </c>
      <c r="J343" s="13">
        <v>588142</v>
      </c>
      <c r="K343" s="12">
        <v>7.9449302296663138E-2</v>
      </c>
      <c r="L343" s="14">
        <v>21.84249999999999</v>
      </c>
      <c r="M343" s="15"/>
      <c r="N343" s="16">
        <f t="shared" si="85"/>
        <v>112850.80488894338</v>
      </c>
      <c r="O343" s="17">
        <f t="shared" si="86"/>
        <v>181535.79259077337</v>
      </c>
      <c r="P343" s="18">
        <f t="shared" si="87"/>
        <v>3965195.5496639656</v>
      </c>
      <c r="Q343" s="19">
        <f t="shared" si="88"/>
        <v>1.2315134179586715E-2</v>
      </c>
      <c r="R343" s="20">
        <f t="shared" si="89"/>
        <v>7.1859398407096459E-2</v>
      </c>
      <c r="S343" s="20">
        <f t="shared" si="90"/>
        <v>9.9083427338063465E-4</v>
      </c>
      <c r="T343" s="20">
        <f t="shared" si="91"/>
        <v>1.6499868641482036E-5</v>
      </c>
      <c r="U343" s="20">
        <f t="shared" si="92"/>
        <v>8.0456636438685253E-2</v>
      </c>
      <c r="V343" s="21">
        <f t="shared" si="93"/>
        <v>380363220.46106088</v>
      </c>
      <c r="W343" s="21" t="str">
        <f t="shared" si="94"/>
        <v/>
      </c>
      <c r="X343" s="19" t="str">
        <f t="shared" si="95"/>
        <v/>
      </c>
      <c r="Y343" s="17">
        <f t="shared" si="96"/>
        <v>1117.8188220764989</v>
      </c>
      <c r="Z343" s="17">
        <f t="shared" si="97"/>
        <v>178145.1071666349</v>
      </c>
      <c r="AA343" s="20">
        <f t="shared" si="98"/>
        <v>4.5830325723357275E-2</v>
      </c>
      <c r="AB343" s="17">
        <f t="shared" si="99"/>
        <v>178145.1071666349</v>
      </c>
      <c r="AC343" s="18">
        <f t="shared" si="100"/>
        <v>3891134.5032872213</v>
      </c>
      <c r="AD343" s="19">
        <f t="shared" si="101"/>
        <v>6.2356386068745228E-3</v>
      </c>
    </row>
    <row r="344" spans="1:30" x14ac:dyDescent="0.25">
      <c r="A344" s="8">
        <v>493</v>
      </c>
      <c r="B344" s="9">
        <v>45160</v>
      </c>
      <c r="C344" s="10">
        <v>2.166666666666667</v>
      </c>
      <c r="D344" s="11">
        <v>179160.56531843639</v>
      </c>
      <c r="E344" s="11">
        <v>2362.9981450779992</v>
      </c>
      <c r="F344" s="11">
        <v>151.25150120202619</v>
      </c>
      <c r="G344" s="11">
        <v>66300.744168314995</v>
      </c>
      <c r="H344" s="12">
        <v>7.1915374611125016E-2</v>
      </c>
      <c r="I344" s="13">
        <v>3658</v>
      </c>
      <c r="J344" s="13">
        <v>586872</v>
      </c>
      <c r="K344" s="12">
        <v>7.9409654889532347E-2</v>
      </c>
      <c r="L344" s="14">
        <v>20.816284722222228</v>
      </c>
      <c r="M344" s="15"/>
      <c r="N344" s="16">
        <f t="shared" si="85"/>
        <v>112859.8211501214</v>
      </c>
      <c r="O344" s="17">
        <f t="shared" si="86"/>
        <v>181674.81496471641</v>
      </c>
      <c r="P344" s="18">
        <f t="shared" si="87"/>
        <v>3781794.6751625766</v>
      </c>
      <c r="Q344" s="19">
        <f t="shared" si="88"/>
        <v>1.3006745847171628E-2</v>
      </c>
      <c r="R344" s="20">
        <f t="shared" si="89"/>
        <v>7.1915374611125016E-2</v>
      </c>
      <c r="S344" s="20">
        <f t="shared" si="90"/>
        <v>1.0473558557472331E-3</v>
      </c>
      <c r="T344" s="20">
        <f t="shared" si="91"/>
        <v>6.7039470938422082E-5</v>
      </c>
      <c r="U344" s="20">
        <f t="shared" si="92"/>
        <v>8.0524050216218002E-2</v>
      </c>
      <c r="V344" s="21">
        <f t="shared" si="93"/>
        <v>380335827.9307335</v>
      </c>
      <c r="W344" s="21" t="str">
        <f t="shared" si="94"/>
        <v/>
      </c>
      <c r="X344" s="19" t="str">
        <f t="shared" si="95"/>
        <v/>
      </c>
      <c r="Y344" s="17">
        <f t="shared" si="96"/>
        <v>1181.4990725389996</v>
      </c>
      <c r="Z344" s="17">
        <f t="shared" si="97"/>
        <v>177979.06624589738</v>
      </c>
      <c r="AA344" s="20">
        <f t="shared" si="98"/>
        <v>4.5789559221949015E-2</v>
      </c>
      <c r="AB344" s="17">
        <f t="shared" si="99"/>
        <v>177979.06624589738</v>
      </c>
      <c r="AC344" s="18">
        <f t="shared" si="100"/>
        <v>3704862.9175698515</v>
      </c>
      <c r="AD344" s="19">
        <f t="shared" si="101"/>
        <v>6.5946380021687633E-3</v>
      </c>
    </row>
    <row r="345" spans="1:30" x14ac:dyDescent="0.25">
      <c r="A345" s="8">
        <v>494</v>
      </c>
      <c r="B345" s="9">
        <v>45162</v>
      </c>
      <c r="C345" s="10">
        <v>2.208333333333333</v>
      </c>
      <c r="D345" s="11">
        <v>179058.17092324409</v>
      </c>
      <c r="E345" s="11">
        <v>2244.9511740439989</v>
      </c>
      <c r="F345" s="11">
        <v>63.199709266988819</v>
      </c>
      <c r="G345" s="11">
        <v>66517.183424514995</v>
      </c>
      <c r="H345" s="12">
        <v>7.1935865605203431E-2</v>
      </c>
      <c r="I345" s="13">
        <v>3662</v>
      </c>
      <c r="J345" s="13">
        <v>591985</v>
      </c>
      <c r="K345" s="12">
        <v>7.758559016834049E-2</v>
      </c>
      <c r="L345" s="14">
        <v>21.45843750000012</v>
      </c>
      <c r="M345" s="15"/>
      <c r="N345" s="16">
        <f t="shared" si="85"/>
        <v>112540.9874987291</v>
      </c>
      <c r="O345" s="17">
        <f t="shared" si="86"/>
        <v>181366.32180655506</v>
      </c>
      <c r="P345" s="18">
        <f t="shared" si="87"/>
        <v>3891837.8810908706</v>
      </c>
      <c r="Q345" s="19">
        <f t="shared" si="88"/>
        <v>1.2377993619115566E-2</v>
      </c>
      <c r="R345" s="20">
        <f t="shared" si="89"/>
        <v>7.1935865605203431E-2</v>
      </c>
      <c r="S345" s="20">
        <f t="shared" si="90"/>
        <v>9.7273339071454919E-4</v>
      </c>
      <c r="T345" s="20">
        <f t="shared" si="91"/>
        <v>2.7384322740841431E-5</v>
      </c>
      <c r="U345" s="20">
        <f t="shared" si="92"/>
        <v>7.8585707881795877E-2</v>
      </c>
      <c r="V345" s="21">
        <f t="shared" si="93"/>
        <v>381714513.16198713</v>
      </c>
      <c r="W345" s="21" t="str">
        <f t="shared" si="94"/>
        <v/>
      </c>
      <c r="X345" s="19" t="str">
        <f t="shared" si="95"/>
        <v/>
      </c>
      <c r="Y345" s="17">
        <f t="shared" si="96"/>
        <v>1122.4755870219994</v>
      </c>
      <c r="Z345" s="17">
        <f t="shared" si="97"/>
        <v>177935.6953362221</v>
      </c>
      <c r="AA345" s="20">
        <f t="shared" si="98"/>
        <v>4.5748828982723283E-2</v>
      </c>
      <c r="AB345" s="17">
        <f t="shared" si="99"/>
        <v>177935.6953362221</v>
      </c>
      <c r="AC345" s="18">
        <f t="shared" si="100"/>
        <v>3818221.9973913846</v>
      </c>
      <c r="AD345" s="19">
        <f t="shared" si="101"/>
        <v>6.2687761258499904E-3</v>
      </c>
    </row>
    <row r="346" spans="1:30" x14ac:dyDescent="0.25">
      <c r="A346" s="8">
        <v>495</v>
      </c>
      <c r="B346" s="9">
        <v>45165</v>
      </c>
      <c r="C346" s="10">
        <v>2.125</v>
      </c>
      <c r="D346" s="11">
        <v>178955.82192544831</v>
      </c>
      <c r="E346" s="11">
        <v>2221.2843807459999</v>
      </c>
      <c r="F346" s="11">
        <v>165.48657776699781</v>
      </c>
      <c r="G346" s="11">
        <v>66373.970689081994</v>
      </c>
      <c r="H346" s="12">
        <v>7.1843446482105E-2</v>
      </c>
      <c r="I346" s="13">
        <v>3668</v>
      </c>
      <c r="J346" s="13">
        <v>592991</v>
      </c>
      <c r="K346" s="12">
        <v>8.0542305810527445E-2</v>
      </c>
      <c r="L346" s="14">
        <v>20.572847222222212</v>
      </c>
      <c r="M346" s="15"/>
      <c r="N346" s="16">
        <f t="shared" si="85"/>
        <v>112581.85123636632</v>
      </c>
      <c r="O346" s="17">
        <f t="shared" si="86"/>
        <v>181342.5928839613</v>
      </c>
      <c r="P346" s="18">
        <f t="shared" si="87"/>
        <v>3730733.4582833769</v>
      </c>
      <c r="Q346" s="19">
        <f t="shared" si="88"/>
        <v>1.2249104556298972E-2</v>
      </c>
      <c r="R346" s="20">
        <f t="shared" si="89"/>
        <v>7.1843446482105E-2</v>
      </c>
      <c r="S346" s="20">
        <f t="shared" si="90"/>
        <v>9.9972922904248353E-4</v>
      </c>
      <c r="T346" s="20">
        <f t="shared" si="91"/>
        <v>7.4480228755004107E-5</v>
      </c>
      <c r="U346" s="20">
        <f t="shared" si="92"/>
        <v>8.1616515268324932E-2</v>
      </c>
      <c r="V346" s="21">
        <f t="shared" si="93"/>
        <v>381902994.15351194</v>
      </c>
      <c r="W346" s="21" t="str">
        <f t="shared" si="94"/>
        <v/>
      </c>
      <c r="X346" s="19" t="str">
        <f t="shared" si="95"/>
        <v/>
      </c>
      <c r="Y346" s="17">
        <f t="shared" si="96"/>
        <v>1110.6421903729999</v>
      </c>
      <c r="Z346" s="17">
        <f t="shared" si="97"/>
        <v>177845.1797350753</v>
      </c>
      <c r="AA346" s="20">
        <f t="shared" si="98"/>
        <v>4.5687801544925785E-2</v>
      </c>
      <c r="AB346" s="17">
        <f t="shared" si="99"/>
        <v>177845.1797350753</v>
      </c>
      <c r="AC346" s="18">
        <f t="shared" si="100"/>
        <v>3658781.7118983539</v>
      </c>
      <c r="AD346" s="19">
        <f t="shared" si="101"/>
        <v>6.2062367036915143E-3</v>
      </c>
    </row>
    <row r="347" spans="1:30" x14ac:dyDescent="0.25">
      <c r="A347" s="8">
        <v>496</v>
      </c>
      <c r="B347" s="9">
        <v>45167</v>
      </c>
      <c r="C347" s="10">
        <v>2.166666666666667</v>
      </c>
      <c r="D347" s="11">
        <v>178853.48807070471</v>
      </c>
      <c r="E347" s="11">
        <v>2254.710984209999</v>
      </c>
      <c r="F347" s="11">
        <v>86.277596656980791</v>
      </c>
      <c r="G347" s="11">
        <v>66407.138000042003</v>
      </c>
      <c r="H347" s="12">
        <v>7.1708098749202476E-2</v>
      </c>
      <c r="I347" s="13">
        <v>3673</v>
      </c>
      <c r="J347" s="13">
        <v>595617</v>
      </c>
      <c r="K347" s="12">
        <v>7.8987749983413E-2</v>
      </c>
      <c r="L347" s="14">
        <v>20.907326388888968</v>
      </c>
      <c r="M347" s="15"/>
      <c r="N347" s="16">
        <f t="shared" si="85"/>
        <v>112446.35007066271</v>
      </c>
      <c r="O347" s="17">
        <f t="shared" si="86"/>
        <v>181194.47665157169</v>
      </c>
      <c r="P347" s="18">
        <f t="shared" si="87"/>
        <v>3788292.063218331</v>
      </c>
      <c r="Q347" s="19">
        <f t="shared" si="88"/>
        <v>1.2443596658554336E-2</v>
      </c>
      <c r="R347" s="20">
        <f t="shared" si="89"/>
        <v>7.1708098749202476E-2</v>
      </c>
      <c r="S347" s="20">
        <f t="shared" si="90"/>
        <v>9.9575663537090084E-4</v>
      </c>
      <c r="T347" s="20">
        <f t="shared" si="91"/>
        <v>3.8103104990702104E-5</v>
      </c>
      <c r="U347" s="20">
        <f t="shared" si="92"/>
        <v>8.0021609723774603E-2</v>
      </c>
      <c r="V347" s="21">
        <f t="shared" si="93"/>
        <v>381711983.27419156</v>
      </c>
      <c r="W347" s="21" t="str">
        <f t="shared" si="94"/>
        <v/>
      </c>
      <c r="X347" s="19" t="str">
        <f t="shared" si="95"/>
        <v/>
      </c>
      <c r="Y347" s="17">
        <f t="shared" si="96"/>
        <v>1127.3554921049995</v>
      </c>
      <c r="Z347" s="17">
        <f t="shared" si="97"/>
        <v>177726.1325785997</v>
      </c>
      <c r="AA347" s="20">
        <f t="shared" si="98"/>
        <v>4.5647161820101124E-2</v>
      </c>
      <c r="AB347" s="17">
        <f t="shared" si="99"/>
        <v>177726.1325785997</v>
      </c>
      <c r="AC347" s="18">
        <f t="shared" si="100"/>
        <v>3715778.2616557372</v>
      </c>
      <c r="AD347" s="19">
        <f t="shared" si="101"/>
        <v>6.3032345875151793E-3</v>
      </c>
    </row>
    <row r="348" spans="1:30" x14ac:dyDescent="0.25">
      <c r="A348" s="8">
        <v>497</v>
      </c>
      <c r="B348" s="9">
        <v>45169</v>
      </c>
      <c r="C348" s="10">
        <v>2.166666666666667</v>
      </c>
      <c r="D348" s="11">
        <v>178751.15098567499</v>
      </c>
      <c r="E348" s="11">
        <v>2249.4132991479992</v>
      </c>
      <c r="F348" s="11">
        <v>146.11378032498871</v>
      </c>
      <c r="G348" s="11">
        <v>66315.261861477993</v>
      </c>
      <c r="H348" s="12">
        <v>7.1753059982966119E-2</v>
      </c>
      <c r="I348" s="13">
        <v>3679</v>
      </c>
      <c r="J348" s="13">
        <v>594465</v>
      </c>
      <c r="K348" s="12">
        <v>7.8940590835109112E-2</v>
      </c>
      <c r="L348" s="14">
        <v>20.435312499999981</v>
      </c>
      <c r="M348" s="15"/>
      <c r="N348" s="16">
        <f t="shared" si="85"/>
        <v>112435.889124197</v>
      </c>
      <c r="O348" s="17">
        <f t="shared" si="86"/>
        <v>181146.67806514798</v>
      </c>
      <c r="P348" s="18">
        <f t="shared" si="87"/>
        <v>3701788.9745981907</v>
      </c>
      <c r="Q348" s="19">
        <f t="shared" si="88"/>
        <v>1.2417634831476265E-2</v>
      </c>
      <c r="R348" s="20">
        <f t="shared" si="89"/>
        <v>7.1753059982966119E-2</v>
      </c>
      <c r="S348" s="20">
        <f t="shared" si="90"/>
        <v>9.9339228803805267E-4</v>
      </c>
      <c r="T348" s="20">
        <f t="shared" si="91"/>
        <v>6.4527182535066883E-5</v>
      </c>
      <c r="U348" s="20">
        <f t="shared" si="92"/>
        <v>7.9998510305682224E-2</v>
      </c>
      <c r="V348" s="21">
        <f t="shared" si="93"/>
        <v>381721478.27682197</v>
      </c>
      <c r="W348" s="21" t="str">
        <f t="shared" si="94"/>
        <v/>
      </c>
      <c r="X348" s="19" t="str">
        <f t="shared" si="95"/>
        <v/>
      </c>
      <c r="Y348" s="17">
        <f t="shared" si="96"/>
        <v>1124.7066495739996</v>
      </c>
      <c r="Z348" s="17">
        <f t="shared" si="97"/>
        <v>177626.44433610101</v>
      </c>
      <c r="AA348" s="20">
        <f t="shared" si="98"/>
        <v>4.5606558244690051E-2</v>
      </c>
      <c r="AB348" s="17">
        <f t="shared" si="99"/>
        <v>177626.44433610101</v>
      </c>
      <c r="AC348" s="18">
        <f t="shared" si="100"/>
        <v>3629851.8982720757</v>
      </c>
      <c r="AD348" s="19">
        <f t="shared" si="101"/>
        <v>6.292024657587424E-3</v>
      </c>
    </row>
    <row r="349" spans="1:30" x14ac:dyDescent="0.25">
      <c r="A349" s="8">
        <v>498</v>
      </c>
      <c r="B349" s="9">
        <v>45171</v>
      </c>
      <c r="C349" s="10">
        <v>2.166666666666667</v>
      </c>
      <c r="D349" s="11">
        <v>178648.82333907369</v>
      </c>
      <c r="E349" s="11">
        <v>2201.3740045139998</v>
      </c>
      <c r="F349" s="11">
        <v>24.992722031987849</v>
      </c>
      <c r="G349" s="11">
        <v>66119.855037611007</v>
      </c>
      <c r="H349" s="12">
        <v>7.1702443292536555E-2</v>
      </c>
      <c r="I349" s="13">
        <v>3687</v>
      </c>
      <c r="J349" s="13">
        <v>599586</v>
      </c>
      <c r="K349" s="12">
        <v>7.885420893500443E-2</v>
      </c>
      <c r="L349" s="14">
        <v>19.490243055555549</v>
      </c>
      <c r="M349" s="15"/>
      <c r="N349" s="16">
        <f t="shared" si="85"/>
        <v>112528.96830146268</v>
      </c>
      <c r="O349" s="17">
        <f t="shared" si="86"/>
        <v>180875.19006561965</v>
      </c>
      <c r="P349" s="18">
        <f t="shared" si="87"/>
        <v>3525301.4170987336</v>
      </c>
      <c r="Q349" s="19">
        <f t="shared" si="88"/>
        <v>1.2170679703033699E-2</v>
      </c>
      <c r="R349" s="20">
        <f t="shared" si="89"/>
        <v>7.1702443292536555E-2</v>
      </c>
      <c r="S349" s="20">
        <f t="shared" si="90"/>
        <v>9.7166945995813688E-4</v>
      </c>
      <c r="T349" s="20">
        <f t="shared" si="91"/>
        <v>1.1031594208848131E-5</v>
      </c>
      <c r="U349" s="20">
        <f t="shared" si="92"/>
        <v>7.9836909989171409E-2</v>
      </c>
      <c r="V349" s="21">
        <f t="shared" si="93"/>
        <v>381920881.03549433</v>
      </c>
      <c r="W349" s="21" t="str">
        <f t="shared" si="94"/>
        <v/>
      </c>
      <c r="X349" s="19" t="str">
        <f t="shared" si="95"/>
        <v/>
      </c>
      <c r="Y349" s="17">
        <f t="shared" si="96"/>
        <v>1100.6870022569999</v>
      </c>
      <c r="Z349" s="17">
        <f t="shared" si="97"/>
        <v>177548.13633681668</v>
      </c>
      <c r="AA349" s="20">
        <f t="shared" si="98"/>
        <v>4.5565990786537322E-2</v>
      </c>
      <c r="AB349" s="17">
        <f t="shared" si="99"/>
        <v>177548.13633681668</v>
      </c>
      <c r="AC349" s="18">
        <f t="shared" si="100"/>
        <v>3460456.3312654709</v>
      </c>
      <c r="AD349" s="19">
        <f t="shared" si="101"/>
        <v>6.1611768926566448E-3</v>
      </c>
    </row>
    <row r="350" spans="1:30" x14ac:dyDescent="0.25">
      <c r="A350" s="8">
        <v>499</v>
      </c>
      <c r="B350" s="9">
        <v>45173</v>
      </c>
      <c r="C350" s="10">
        <v>2.125</v>
      </c>
      <c r="D350" s="11">
        <v>178546.5188320844</v>
      </c>
      <c r="E350" s="11">
        <v>2261.174824232</v>
      </c>
      <c r="F350" s="11">
        <v>35.670424327990872</v>
      </c>
      <c r="G350" s="11">
        <v>66202.047499307999</v>
      </c>
      <c r="H350" s="12">
        <v>7.1641708042949906E-2</v>
      </c>
      <c r="I350" s="13">
        <v>3697</v>
      </c>
      <c r="J350" s="13">
        <v>598443</v>
      </c>
      <c r="K350" s="12">
        <v>8.0351978088986767E-2</v>
      </c>
      <c r="L350" s="14">
        <v>19.602048611111119</v>
      </c>
      <c r="M350" s="15"/>
      <c r="N350" s="16">
        <f t="shared" si="85"/>
        <v>112344.4713327764</v>
      </c>
      <c r="O350" s="17">
        <f t="shared" si="86"/>
        <v>180843.36408064439</v>
      </c>
      <c r="P350" s="18">
        <f t="shared" si="87"/>
        <v>3544900.4137056577</v>
      </c>
      <c r="Q350" s="19">
        <f t="shared" si="88"/>
        <v>1.2503499012679629E-2</v>
      </c>
      <c r="R350" s="20">
        <f t="shared" si="89"/>
        <v>7.1641708042949906E-2</v>
      </c>
      <c r="S350" s="20">
        <f t="shared" si="90"/>
        <v>1.0176052219922024E-3</v>
      </c>
      <c r="T350" s="20">
        <f t="shared" si="91"/>
        <v>1.6052898554259212E-5</v>
      </c>
      <c r="U350" s="20">
        <f t="shared" si="92"/>
        <v>8.1385636209533235E-2</v>
      </c>
      <c r="V350" s="21">
        <f t="shared" si="93"/>
        <v>381932050.66249698</v>
      </c>
      <c r="W350" s="21" t="str">
        <f t="shared" si="94"/>
        <v/>
      </c>
      <c r="X350" s="19" t="str">
        <f t="shared" si="95"/>
        <v/>
      </c>
      <c r="Y350" s="17">
        <f t="shared" si="96"/>
        <v>1130.587412116</v>
      </c>
      <c r="Z350" s="17">
        <f t="shared" si="97"/>
        <v>177415.9314199684</v>
      </c>
      <c r="AA350" s="20">
        <f t="shared" si="98"/>
        <v>4.5525459413516309E-2</v>
      </c>
      <c r="AB350" s="17">
        <f t="shared" si="99"/>
        <v>177415.9314199684</v>
      </c>
      <c r="AC350" s="18">
        <f t="shared" si="100"/>
        <v>3477715.7120797769</v>
      </c>
      <c r="AD350" s="19">
        <f t="shared" si="101"/>
        <v>6.3321728113851974E-3</v>
      </c>
    </row>
    <row r="351" spans="1:30" x14ac:dyDescent="0.25">
      <c r="A351" s="8">
        <v>500</v>
      </c>
      <c r="B351" s="9">
        <v>45175</v>
      </c>
      <c r="C351" s="10">
        <v>2.166666666666667</v>
      </c>
      <c r="D351" s="11">
        <v>178444.2030552405</v>
      </c>
      <c r="E351" s="11">
        <v>2318.4039273609969</v>
      </c>
      <c r="F351" s="11">
        <v>58.914730527000131</v>
      </c>
      <c r="G351" s="11">
        <v>66116.535891749998</v>
      </c>
      <c r="H351" s="12">
        <v>7.15923006529572E-2</v>
      </c>
      <c r="I351" s="13">
        <v>3706</v>
      </c>
      <c r="J351" s="13">
        <v>603694</v>
      </c>
      <c r="K351" s="12">
        <v>7.8700718315982257E-2</v>
      </c>
      <c r="L351" s="14">
        <v>19.774618055555631</v>
      </c>
      <c r="M351" s="15"/>
      <c r="N351" s="16">
        <f t="shared" si="85"/>
        <v>112327.66716349051</v>
      </c>
      <c r="O351" s="17">
        <f t="shared" si="86"/>
        <v>180821.52171312852</v>
      </c>
      <c r="P351" s="18">
        <f t="shared" si="87"/>
        <v>3575676.5281014759</v>
      </c>
      <c r="Q351" s="19">
        <f t="shared" si="88"/>
        <v>1.2821504350788071E-2</v>
      </c>
      <c r="R351" s="20">
        <f t="shared" si="89"/>
        <v>7.15923006529572E-2</v>
      </c>
      <c r="S351" s="20">
        <f t="shared" si="90"/>
        <v>1.0225048015340746E-3</v>
      </c>
      <c r="T351" s="20">
        <f t="shared" si="91"/>
        <v>2.5983649412427749E-5</v>
      </c>
      <c r="U351" s="20">
        <f t="shared" si="92"/>
        <v>7.974920676692876E-2</v>
      </c>
      <c r="V351" s="21">
        <f t="shared" si="93"/>
        <v>382227447.67320967</v>
      </c>
      <c r="W351" s="21" t="str">
        <f t="shared" si="94"/>
        <v/>
      </c>
      <c r="X351" s="19" t="str">
        <f t="shared" si="95"/>
        <v/>
      </c>
      <c r="Y351" s="17">
        <f t="shared" si="96"/>
        <v>1159.2019636804985</v>
      </c>
      <c r="Z351" s="17">
        <f t="shared" si="97"/>
        <v>177285.00109156</v>
      </c>
      <c r="AA351" s="20">
        <f t="shared" si="98"/>
        <v>4.5484964093528923E-2</v>
      </c>
      <c r="AB351" s="17">
        <f t="shared" si="99"/>
        <v>177285.00109156</v>
      </c>
      <c r="AC351" s="18">
        <f t="shared" si="100"/>
        <v>3505743.1835643621</v>
      </c>
      <c r="AD351" s="19">
        <f t="shared" si="101"/>
        <v>6.496159269021742E-3</v>
      </c>
    </row>
    <row r="352" spans="1:30" x14ac:dyDescent="0.25">
      <c r="A352" s="8">
        <v>501</v>
      </c>
      <c r="B352" s="9">
        <v>45178</v>
      </c>
      <c r="C352" s="10">
        <v>2.166666666666667</v>
      </c>
      <c r="D352" s="11">
        <v>178341.87688609291</v>
      </c>
      <c r="E352" s="11">
        <v>2212.8875426640002</v>
      </c>
      <c r="F352" s="11">
        <v>73.40280953402123</v>
      </c>
      <c r="G352" s="11">
        <v>65978.569276145005</v>
      </c>
      <c r="H352" s="12">
        <v>7.1563210782929682E-2</v>
      </c>
      <c r="I352" s="13">
        <v>3714</v>
      </c>
      <c r="J352" s="13">
        <v>611116</v>
      </c>
      <c r="K352" s="12">
        <v>7.857348568292577E-2</v>
      </c>
      <c r="L352" s="14">
        <v>19.525312500000009</v>
      </c>
      <c r="M352" s="15"/>
      <c r="N352" s="16">
        <f t="shared" si="85"/>
        <v>112363.30760994791</v>
      </c>
      <c r="O352" s="17">
        <f t="shared" si="86"/>
        <v>180628.16723829092</v>
      </c>
      <c r="P352" s="18">
        <f t="shared" si="87"/>
        <v>3526821.4116298938</v>
      </c>
      <c r="Q352" s="19">
        <f t="shared" si="88"/>
        <v>1.2251065692011825E-2</v>
      </c>
      <c r="R352" s="20">
        <f t="shared" si="89"/>
        <v>7.1563210782929682E-2</v>
      </c>
      <c r="S352" s="20">
        <f t="shared" si="90"/>
        <v>9.7494929787291765E-4</v>
      </c>
      <c r="T352" s="20">
        <f t="shared" si="91"/>
        <v>3.2339654066171236E-5</v>
      </c>
      <c r="U352" s="20">
        <f t="shared" si="92"/>
        <v>7.9580774634864862E-2</v>
      </c>
      <c r="V352" s="21">
        <f t="shared" si="93"/>
        <v>382626844.15633637</v>
      </c>
      <c r="W352" s="21" t="str">
        <f t="shared" si="94"/>
        <v/>
      </c>
      <c r="X352" s="19" t="str">
        <f t="shared" si="95"/>
        <v/>
      </c>
      <c r="Y352" s="17">
        <f t="shared" si="96"/>
        <v>1106.4437713320001</v>
      </c>
      <c r="Z352" s="17">
        <f t="shared" si="97"/>
        <v>177235.4331147609</v>
      </c>
      <c r="AA352" s="20">
        <f t="shared" si="98"/>
        <v>4.5424288642841697E-2</v>
      </c>
      <c r="AB352" s="17">
        <f t="shared" si="99"/>
        <v>177235.4331147609</v>
      </c>
      <c r="AC352" s="18">
        <f t="shared" si="100"/>
        <v>3460577.2176385564</v>
      </c>
      <c r="AD352" s="19">
        <f t="shared" si="101"/>
        <v>6.2040603735413558E-3</v>
      </c>
    </row>
    <row r="353" spans="1:30" x14ac:dyDescent="0.25">
      <c r="A353" s="8">
        <v>502</v>
      </c>
      <c r="B353" s="9">
        <v>45180</v>
      </c>
      <c r="C353" s="10">
        <v>2.166666666666667</v>
      </c>
      <c r="D353" s="11">
        <v>178239.59260778921</v>
      </c>
      <c r="E353" s="11">
        <v>2244.262128678</v>
      </c>
      <c r="F353" s="11">
        <v>84.348702273982269</v>
      </c>
      <c r="G353" s="11">
        <v>66113.959845731006</v>
      </c>
      <c r="H353" s="12">
        <v>7.1491281596026954E-2</v>
      </c>
      <c r="I353" s="13">
        <v>3719</v>
      </c>
      <c r="J353" s="13">
        <v>623328</v>
      </c>
      <c r="K353" s="12">
        <v>7.8506734029978389E-2</v>
      </c>
      <c r="L353" s="14">
        <v>17.898541666666649</v>
      </c>
      <c r="M353" s="15"/>
      <c r="N353" s="16">
        <f t="shared" si="85"/>
        <v>112125.6327620582</v>
      </c>
      <c r="O353" s="17">
        <f t="shared" si="86"/>
        <v>180568.20343874118</v>
      </c>
      <c r="P353" s="18">
        <f t="shared" si="87"/>
        <v>3231907.5129234493</v>
      </c>
      <c r="Q353" s="19">
        <f t="shared" si="88"/>
        <v>1.2428888840550373E-2</v>
      </c>
      <c r="R353" s="20">
        <f t="shared" si="89"/>
        <v>7.1491281596026954E-2</v>
      </c>
      <c r="S353" s="20">
        <f t="shared" si="90"/>
        <v>9.8849917379118424E-4</v>
      </c>
      <c r="T353" s="20">
        <f t="shared" si="91"/>
        <v>3.715190905854873E-5</v>
      </c>
      <c r="U353" s="20">
        <f t="shared" si="92"/>
        <v>7.9532385112828119E-2</v>
      </c>
      <c r="V353" s="21">
        <f t="shared" si="93"/>
        <v>382732544.71179098</v>
      </c>
      <c r="W353" s="21" t="str">
        <f t="shared" si="94"/>
        <v/>
      </c>
      <c r="X353" s="19" t="str">
        <f t="shared" si="95"/>
        <v/>
      </c>
      <c r="Y353" s="17">
        <f t="shared" si="96"/>
        <v>1122.131064339</v>
      </c>
      <c r="Z353" s="17">
        <f t="shared" si="97"/>
        <v>177117.46154345022</v>
      </c>
      <c r="AA353" s="20">
        <f t="shared" si="98"/>
        <v>4.5383883315196737E-2</v>
      </c>
      <c r="AB353" s="17">
        <f t="shared" si="99"/>
        <v>177117.46154345022</v>
      </c>
      <c r="AC353" s="18">
        <f t="shared" si="100"/>
        <v>3170144.2653296716</v>
      </c>
      <c r="AD353" s="19">
        <f t="shared" si="101"/>
        <v>6.2956330180142144E-3</v>
      </c>
    </row>
    <row r="354" spans="1:30" x14ac:dyDescent="0.25">
      <c r="A354" s="8">
        <v>503</v>
      </c>
      <c r="B354" s="9">
        <v>45182</v>
      </c>
      <c r="C354" s="10">
        <v>2.166666666666667</v>
      </c>
      <c r="D354" s="11">
        <v>178137.30645473459</v>
      </c>
      <c r="E354" s="11">
        <v>2241.5443517970011</v>
      </c>
      <c r="F354" s="11">
        <v>61.895476745993463</v>
      </c>
      <c r="G354" s="11">
        <v>66243.491390184005</v>
      </c>
      <c r="H354" s="12">
        <v>7.1390120473264942E-2</v>
      </c>
      <c r="I354" s="13">
        <v>3728</v>
      </c>
      <c r="J354" s="13">
        <v>606053</v>
      </c>
      <c r="K354" s="12">
        <v>7.8336671981392103E-2</v>
      </c>
      <c r="L354" s="14">
        <v>18.153020833333329</v>
      </c>
      <c r="M354" s="15"/>
      <c r="N354" s="16">
        <f t="shared" si="85"/>
        <v>111893.81506455058</v>
      </c>
      <c r="O354" s="17">
        <f t="shared" si="86"/>
        <v>180440.74628327758</v>
      </c>
      <c r="P354" s="18">
        <f t="shared" si="87"/>
        <v>3275544.6264625513</v>
      </c>
      <c r="Q354" s="19">
        <f t="shared" si="88"/>
        <v>1.2422606301339251E-2</v>
      </c>
      <c r="R354" s="20">
        <f t="shared" si="89"/>
        <v>7.1390120473264942E-2</v>
      </c>
      <c r="S354" s="20">
        <f t="shared" si="90"/>
        <v>9.8572908793298345E-4</v>
      </c>
      <c r="T354" s="20">
        <f t="shared" si="91"/>
        <v>2.7218810901998475E-5</v>
      </c>
      <c r="U354" s="20">
        <f t="shared" si="92"/>
        <v>7.9349619880227082E-2</v>
      </c>
      <c r="V354" s="21">
        <f t="shared" si="93"/>
        <v>383343308.41222459</v>
      </c>
      <c r="W354" s="21" t="str">
        <f t="shared" si="94"/>
        <v/>
      </c>
      <c r="X354" s="19" t="str">
        <f t="shared" si="95"/>
        <v/>
      </c>
      <c r="Y354" s="17">
        <f t="shared" si="96"/>
        <v>1120.7721758985006</v>
      </c>
      <c r="Z354" s="17">
        <f t="shared" si="97"/>
        <v>177016.53427883607</v>
      </c>
      <c r="AA354" s="20">
        <f t="shared" si="98"/>
        <v>4.5343513928466875E-2</v>
      </c>
      <c r="AB354" s="17">
        <f t="shared" si="99"/>
        <v>177016.53427883607</v>
      </c>
      <c r="AC354" s="18">
        <f t="shared" si="100"/>
        <v>3213384.8346081744</v>
      </c>
      <c r="AD354" s="19">
        <f t="shared" si="101"/>
        <v>6.2916196399505648E-3</v>
      </c>
    </row>
    <row r="355" spans="1:30" x14ac:dyDescent="0.25">
      <c r="A355" s="8">
        <v>504</v>
      </c>
      <c r="B355" s="9">
        <v>45184</v>
      </c>
      <c r="C355" s="10">
        <v>2.166666666666667</v>
      </c>
      <c r="D355" s="11">
        <v>178035.02947285489</v>
      </c>
      <c r="E355" s="11">
        <v>2234.4829091820002</v>
      </c>
      <c r="F355" s="11">
        <v>51.991030480988051</v>
      </c>
      <c r="G355" s="11">
        <v>66063.660082553004</v>
      </c>
      <c r="H355" s="12">
        <v>7.1480723833555609E-2</v>
      </c>
      <c r="I355" s="13">
        <v>3731</v>
      </c>
      <c r="J355" s="13">
        <v>612908</v>
      </c>
      <c r="K355" s="12">
        <v>7.8208858751078011E-2</v>
      </c>
      <c r="L355" s="14">
        <v>18.975416666666671</v>
      </c>
      <c r="M355" s="15"/>
      <c r="N355" s="16">
        <f t="shared" si="85"/>
        <v>111971.36939030189</v>
      </c>
      <c r="O355" s="17">
        <f t="shared" si="86"/>
        <v>180321.50341251786</v>
      </c>
      <c r="P355" s="18">
        <f t="shared" si="87"/>
        <v>3421675.6612122827</v>
      </c>
      <c r="Q355" s="19">
        <f t="shared" si="88"/>
        <v>1.2391660821894428E-2</v>
      </c>
      <c r="R355" s="20">
        <f t="shared" si="89"/>
        <v>7.1480723833555609E-2</v>
      </c>
      <c r="S355" s="20">
        <f t="shared" si="90"/>
        <v>9.8158412276140366E-4</v>
      </c>
      <c r="T355" s="20">
        <f t="shared" si="91"/>
        <v>2.2839096166917846E-5</v>
      </c>
      <c r="U355" s="20">
        <f t="shared" si="92"/>
        <v>7.9213281970006336E-2</v>
      </c>
      <c r="V355" s="21">
        <f t="shared" si="93"/>
        <v>383749334.12552196</v>
      </c>
      <c r="W355" s="21" t="str">
        <f t="shared" si="94"/>
        <v/>
      </c>
      <c r="X355" s="19" t="str">
        <f t="shared" si="95"/>
        <v/>
      </c>
      <c r="Y355" s="17">
        <f t="shared" si="96"/>
        <v>1117.2414545910001</v>
      </c>
      <c r="Z355" s="17">
        <f t="shared" si="97"/>
        <v>176917.78801826388</v>
      </c>
      <c r="AA355" s="20">
        <f t="shared" si="98"/>
        <v>4.5303180450682358E-2</v>
      </c>
      <c r="AB355" s="17">
        <f t="shared" si="99"/>
        <v>176917.78801826388</v>
      </c>
      <c r="AC355" s="18">
        <f t="shared" si="100"/>
        <v>3357088.7433915655</v>
      </c>
      <c r="AD355" s="19">
        <f t="shared" si="101"/>
        <v>6.2754024188332366E-3</v>
      </c>
    </row>
    <row r="356" spans="1:30" x14ac:dyDescent="0.25">
      <c r="A356" s="8">
        <v>505</v>
      </c>
      <c r="B356" s="9">
        <v>45186</v>
      </c>
      <c r="C356" s="10">
        <v>2.166666666666667</v>
      </c>
      <c r="D356" s="11">
        <v>177932.76298205429</v>
      </c>
      <c r="E356" s="11">
        <v>2381.164842522001</v>
      </c>
      <c r="F356" s="11">
        <v>100.4806253099831</v>
      </c>
      <c r="G356" s="11">
        <v>66101.008138538993</v>
      </c>
      <c r="H356" s="12">
        <v>7.1233920184168562E-2</v>
      </c>
      <c r="I356" s="13">
        <v>3731</v>
      </c>
      <c r="J356" s="13">
        <v>612158</v>
      </c>
      <c r="K356" s="12">
        <v>7.8070666870677097E-2</v>
      </c>
      <c r="L356" s="14">
        <v>18.971215277777809</v>
      </c>
      <c r="M356" s="15"/>
      <c r="N356" s="16">
        <f t="shared" si="85"/>
        <v>111831.7548435153</v>
      </c>
      <c r="O356" s="17">
        <f t="shared" si="86"/>
        <v>180414.40844988628</v>
      </c>
      <c r="P356" s="18">
        <f t="shared" si="87"/>
        <v>3422680.5819157283</v>
      </c>
      <c r="Q356" s="19">
        <f t="shared" si="88"/>
        <v>1.3198307513135334E-2</v>
      </c>
      <c r="R356" s="20">
        <f t="shared" si="89"/>
        <v>7.1233920184168562E-2</v>
      </c>
      <c r="S356" s="20">
        <f t="shared" si="90"/>
        <v>1.0447717669817367E-3</v>
      </c>
      <c r="T356" s="20">
        <f t="shared" si="91"/>
        <v>4.4087380502961082E-5</v>
      </c>
      <c r="U356" s="20">
        <f t="shared" si="92"/>
        <v>7.9159526018161799E-2</v>
      </c>
      <c r="V356" s="21">
        <f t="shared" si="93"/>
        <v>384207781.23718369</v>
      </c>
      <c r="W356" s="21" t="str">
        <f t="shared" si="94"/>
        <v/>
      </c>
      <c r="X356" s="19" t="str">
        <f t="shared" si="95"/>
        <v/>
      </c>
      <c r="Y356" s="17">
        <f t="shared" si="96"/>
        <v>1190.5824212610005</v>
      </c>
      <c r="Z356" s="17">
        <f t="shared" si="97"/>
        <v>176742.18056079329</v>
      </c>
      <c r="AA356" s="20">
        <f t="shared" si="98"/>
        <v>4.5262882849901827E-2</v>
      </c>
      <c r="AB356" s="17">
        <f t="shared" si="99"/>
        <v>176742.18056079329</v>
      </c>
      <c r="AC356" s="18">
        <f t="shared" si="100"/>
        <v>3353013.9560826859</v>
      </c>
      <c r="AD356" s="19">
        <f t="shared" si="101"/>
        <v>6.6911927927577825E-3</v>
      </c>
    </row>
    <row r="357" spans="1:30" x14ac:dyDescent="0.25">
      <c r="A357" s="8">
        <v>506</v>
      </c>
      <c r="B357" s="9">
        <v>45188</v>
      </c>
      <c r="C357" s="10">
        <v>2.166666666666667</v>
      </c>
      <c r="D357" s="11">
        <v>177830.45830161971</v>
      </c>
      <c r="E357" s="11">
        <v>2401.5793367889992</v>
      </c>
      <c r="F357" s="11">
        <v>127.4499936470002</v>
      </c>
      <c r="G357" s="11">
        <v>65845.353801213001</v>
      </c>
      <c r="H357" s="12">
        <v>7.1343829619469751E-2</v>
      </c>
      <c r="I357" s="13">
        <v>3739</v>
      </c>
      <c r="J357" s="13">
        <v>618310</v>
      </c>
      <c r="K357" s="12">
        <v>7.79622801754873E-2</v>
      </c>
      <c r="L357" s="14">
        <v>19.97045138888889</v>
      </c>
      <c r="M357" s="15"/>
      <c r="N357" s="16">
        <f t="shared" si="85"/>
        <v>111985.10450040671</v>
      </c>
      <c r="O357" s="17">
        <f t="shared" si="86"/>
        <v>180359.48763205571</v>
      </c>
      <c r="P357" s="18">
        <f t="shared" si="87"/>
        <v>3601860.3802808756</v>
      </c>
      <c r="Q357" s="19">
        <f t="shared" si="88"/>
        <v>1.3315514300464008E-2</v>
      </c>
      <c r="R357" s="20">
        <f t="shared" si="89"/>
        <v>7.1343829619469751E-2</v>
      </c>
      <c r="S357" s="20">
        <f t="shared" si="90"/>
        <v>1.0528713860751466E-3</v>
      </c>
      <c r="T357" s="20">
        <f t="shared" si="91"/>
        <v>5.5875085786589376E-5</v>
      </c>
      <c r="U357" s="20">
        <f t="shared" si="92"/>
        <v>7.9071026647349024E-2</v>
      </c>
      <c r="V357" s="21">
        <f t="shared" si="93"/>
        <v>384520712.09779423</v>
      </c>
      <c r="W357" s="21" t="str">
        <f t="shared" si="94"/>
        <v/>
      </c>
      <c r="X357" s="19" t="str">
        <f t="shared" si="95"/>
        <v/>
      </c>
      <c r="Y357" s="17">
        <f t="shared" si="96"/>
        <v>1200.7896683944996</v>
      </c>
      <c r="Z357" s="17">
        <f t="shared" si="97"/>
        <v>176629.66863322523</v>
      </c>
      <c r="AA357" s="20">
        <f t="shared" si="98"/>
        <v>4.5222621094212351E-2</v>
      </c>
      <c r="AB357" s="17">
        <f t="shared" si="99"/>
        <v>176629.66863322523</v>
      </c>
      <c r="AC357" s="18">
        <f t="shared" si="100"/>
        <v>3527374.2112753773</v>
      </c>
      <c r="AD357" s="19">
        <f t="shared" si="101"/>
        <v>6.7524409477583997E-3</v>
      </c>
    </row>
    <row r="358" spans="1:30" x14ac:dyDescent="0.25">
      <c r="A358" s="8">
        <v>507</v>
      </c>
      <c r="B358" s="9">
        <v>45191</v>
      </c>
      <c r="C358" s="10">
        <v>2.166666666666667</v>
      </c>
      <c r="D358" s="11">
        <v>177728.15570255439</v>
      </c>
      <c r="E358" s="11">
        <v>2155.7027654629992</v>
      </c>
      <c r="F358" s="11">
        <v>44.782920142992737</v>
      </c>
      <c r="G358" s="11">
        <v>65864.578807704995</v>
      </c>
      <c r="H358" s="12">
        <v>7.1187362480667066E-2</v>
      </c>
      <c r="I358" s="13">
        <v>3747</v>
      </c>
      <c r="J358" s="13">
        <v>617668</v>
      </c>
      <c r="K358" s="12">
        <v>7.8028785143472557E-2</v>
      </c>
      <c r="L358" s="14">
        <v>19.553020833333321</v>
      </c>
      <c r="M358" s="15"/>
      <c r="N358" s="16">
        <f t="shared" si="85"/>
        <v>111863.57689484939</v>
      </c>
      <c r="O358" s="17">
        <f t="shared" si="86"/>
        <v>179928.64138816038</v>
      </c>
      <c r="P358" s="18">
        <f t="shared" si="87"/>
        <v>3518148.47357606</v>
      </c>
      <c r="Q358" s="19">
        <f t="shared" si="88"/>
        <v>1.1980876134180871E-2</v>
      </c>
      <c r="R358" s="20">
        <f t="shared" si="89"/>
        <v>7.1187362480667066E-2</v>
      </c>
      <c r="S358" s="20">
        <f t="shared" si="90"/>
        <v>9.4642780292511876E-4</v>
      </c>
      <c r="T358" s="20">
        <f t="shared" si="91"/>
        <v>1.9661245232201818E-5</v>
      </c>
      <c r="U358" s="20">
        <f t="shared" si="92"/>
        <v>7.8994874191629871E-2</v>
      </c>
      <c r="V358" s="21">
        <f t="shared" si="93"/>
        <v>383971960.82680869</v>
      </c>
      <c r="W358" s="21" t="str">
        <f t="shared" si="94"/>
        <v/>
      </c>
      <c r="X358" s="19" t="str">
        <f t="shared" si="95"/>
        <v/>
      </c>
      <c r="Y358" s="17">
        <f t="shared" si="96"/>
        <v>1077.8513827314996</v>
      </c>
      <c r="Z358" s="17">
        <f t="shared" si="97"/>
        <v>176650.3043198229</v>
      </c>
      <c r="AA358" s="20">
        <f t="shared" si="98"/>
        <v>4.5162295600484209E-2</v>
      </c>
      <c r="AB358" s="17">
        <f t="shared" si="99"/>
        <v>176650.3043198229</v>
      </c>
      <c r="AC358" s="18">
        <f t="shared" si="100"/>
        <v>3454047.0805801684</v>
      </c>
      <c r="AD358" s="19">
        <f t="shared" si="101"/>
        <v>6.0646068062248405E-3</v>
      </c>
    </row>
    <row r="359" spans="1:30" x14ac:dyDescent="0.25">
      <c r="A359" s="8">
        <v>508</v>
      </c>
      <c r="B359" s="9">
        <v>45193</v>
      </c>
      <c r="C359" s="10">
        <v>2.125</v>
      </c>
      <c r="D359" s="11">
        <v>177625.94013472871</v>
      </c>
      <c r="E359" s="11">
        <v>2183.371374717</v>
      </c>
      <c r="F359" s="11">
        <v>40.125554903994541</v>
      </c>
      <c r="G359" s="11">
        <v>65689.016973895996</v>
      </c>
      <c r="H359" s="12">
        <v>7.16125765835222E-2</v>
      </c>
      <c r="I359" s="13">
        <v>3752</v>
      </c>
      <c r="J359" s="13">
        <v>622104</v>
      </c>
      <c r="K359" s="12">
        <v>7.9445464426264475E-2</v>
      </c>
      <c r="L359" s="14">
        <v>19.576145833333349</v>
      </c>
      <c r="M359" s="15"/>
      <c r="N359" s="16">
        <f t="shared" si="85"/>
        <v>111936.92316083271</v>
      </c>
      <c r="O359" s="17">
        <f t="shared" si="86"/>
        <v>179849.43706434971</v>
      </c>
      <c r="P359" s="18">
        <f t="shared" si="87"/>
        <v>3520758.8080146182</v>
      </c>
      <c r="Q359" s="19">
        <f t="shared" si="88"/>
        <v>1.2139995600518864E-2</v>
      </c>
      <c r="R359" s="20">
        <f t="shared" si="89"/>
        <v>7.16125765835222E-2</v>
      </c>
      <c r="S359" s="20">
        <f t="shared" si="90"/>
        <v>9.7654066037784531E-4</v>
      </c>
      <c r="T359" s="20">
        <f t="shared" si="91"/>
        <v>1.7946665573122312E-5</v>
      </c>
      <c r="U359" s="20">
        <f t="shared" si="92"/>
        <v>8.0439951752215452E-2</v>
      </c>
      <c r="V359" s="21">
        <f t="shared" si="93"/>
        <v>384298395.81442899</v>
      </c>
      <c r="W359" s="21" t="str">
        <f t="shared" si="94"/>
        <v/>
      </c>
      <c r="X359" s="19" t="str">
        <f t="shared" si="95"/>
        <v/>
      </c>
      <c r="Y359" s="17">
        <f t="shared" si="96"/>
        <v>1091.6856873585</v>
      </c>
      <c r="Z359" s="17">
        <f t="shared" si="97"/>
        <v>176534.25444737021</v>
      </c>
      <c r="AA359" s="20">
        <f t="shared" si="98"/>
        <v>4.5122123318089562E-2</v>
      </c>
      <c r="AB359" s="17">
        <f t="shared" si="99"/>
        <v>176534.25444737021</v>
      </c>
      <c r="AC359" s="18">
        <f t="shared" si="100"/>
        <v>3455860.3096404956</v>
      </c>
      <c r="AD359" s="19">
        <f t="shared" si="101"/>
        <v>6.1459811924455396E-3</v>
      </c>
    </row>
    <row r="360" spans="1:30" x14ac:dyDescent="0.25">
      <c r="A360" s="8">
        <v>509</v>
      </c>
      <c r="B360" s="9">
        <v>45195</v>
      </c>
      <c r="C360" s="10">
        <v>2.125</v>
      </c>
      <c r="D360" s="11">
        <v>177523.7244372702</v>
      </c>
      <c r="E360" s="11">
        <v>2073.5254984429998</v>
      </c>
      <c r="F360" s="11">
        <v>32.526356253992248</v>
      </c>
      <c r="G360" s="11">
        <v>65804.120570897998</v>
      </c>
      <c r="H360" s="12">
        <v>7.1430856760869951E-2</v>
      </c>
      <c r="I360" s="13">
        <v>3757</v>
      </c>
      <c r="J360" s="13">
        <v>619456</v>
      </c>
      <c r="K360" s="12">
        <v>7.9407928272481443E-2</v>
      </c>
      <c r="L360" s="14">
        <v>19.28361111111111</v>
      </c>
      <c r="M360" s="15"/>
      <c r="N360" s="16">
        <f t="shared" si="85"/>
        <v>111719.6038663722</v>
      </c>
      <c r="O360" s="17">
        <f t="shared" si="86"/>
        <v>179629.77629196719</v>
      </c>
      <c r="P360" s="18">
        <f t="shared" si="87"/>
        <v>3463910.7499901815</v>
      </c>
      <c r="Q360" s="19">
        <f t="shared" si="88"/>
        <v>1.1543328401593769E-2</v>
      </c>
      <c r="R360" s="20">
        <f t="shared" si="89"/>
        <v>7.1430856760869951E-2</v>
      </c>
      <c r="S360" s="20">
        <f t="shared" si="90"/>
        <v>9.2750625063471636E-4</v>
      </c>
      <c r="T360" s="20">
        <f t="shared" si="91"/>
        <v>1.4549326139757003E-5</v>
      </c>
      <c r="U360" s="20">
        <f t="shared" si="92"/>
        <v>8.0349983849255915E-2</v>
      </c>
      <c r="V360" s="21">
        <f t="shared" si="93"/>
        <v>384258802.9051159</v>
      </c>
      <c r="W360" s="21" t="str">
        <f t="shared" si="94"/>
        <v/>
      </c>
      <c r="X360" s="19" t="str">
        <f t="shared" si="95"/>
        <v/>
      </c>
      <c r="Y360" s="17">
        <f t="shared" si="96"/>
        <v>1036.7627492214999</v>
      </c>
      <c r="Z360" s="17">
        <f t="shared" si="97"/>
        <v>176486.9616880487</v>
      </c>
      <c r="AA360" s="20">
        <f t="shared" si="98"/>
        <v>4.508198676931411E-2</v>
      </c>
      <c r="AB360" s="17">
        <f t="shared" si="99"/>
        <v>176486.9616880487</v>
      </c>
      <c r="AC360" s="18">
        <f t="shared" si="100"/>
        <v>3403305.9353738967</v>
      </c>
      <c r="AD360" s="19">
        <f t="shared" si="101"/>
        <v>5.8401363114024265E-3</v>
      </c>
    </row>
    <row r="361" spans="1:30" x14ac:dyDescent="0.25">
      <c r="A361" s="8">
        <v>510</v>
      </c>
      <c r="B361" s="9">
        <v>45197</v>
      </c>
      <c r="C361" s="10">
        <v>2.125</v>
      </c>
      <c r="D361" s="11">
        <v>177421.55251535261</v>
      </c>
      <c r="E361" s="11">
        <v>2017.3161586210001</v>
      </c>
      <c r="F361" s="11">
        <v>112.9242754709895</v>
      </c>
      <c r="G361" s="11">
        <v>65638.024784060006</v>
      </c>
      <c r="H361" s="12">
        <v>7.1280244880981766E-2</v>
      </c>
      <c r="I361" s="13">
        <v>3761</v>
      </c>
      <c r="J361" s="13">
        <v>626521</v>
      </c>
      <c r="K361" s="12">
        <v>7.9230053338105677E-2</v>
      </c>
      <c r="L361" s="14">
        <v>19.397986111111081</v>
      </c>
      <c r="M361" s="15"/>
      <c r="N361" s="16">
        <f t="shared" si="85"/>
        <v>111783.5277312926</v>
      </c>
      <c r="O361" s="17">
        <f t="shared" si="86"/>
        <v>179551.79294944459</v>
      </c>
      <c r="P361" s="18">
        <f t="shared" si="87"/>
        <v>3482943.1858584187</v>
      </c>
      <c r="Q361" s="19">
        <f t="shared" si="88"/>
        <v>1.1235288300290072E-2</v>
      </c>
      <c r="R361" s="20">
        <f t="shared" si="89"/>
        <v>7.1280244880981766E-2</v>
      </c>
      <c r="S361" s="20">
        <f t="shared" si="90"/>
        <v>9.0086049063026739E-4</v>
      </c>
      <c r="T361" s="20">
        <f t="shared" si="91"/>
        <v>5.042790034181015E-5</v>
      </c>
      <c r="U361" s="20">
        <f t="shared" si="92"/>
        <v>8.0181341729077746E-2</v>
      </c>
      <c r="V361" s="21">
        <f t="shared" si="93"/>
        <v>384899828.08264053</v>
      </c>
      <c r="W361" s="21" t="str">
        <f t="shared" si="94"/>
        <v/>
      </c>
      <c r="X361" s="19" t="str">
        <f t="shared" si="95"/>
        <v/>
      </c>
      <c r="Y361" s="17">
        <f t="shared" si="96"/>
        <v>1008.6580793105001</v>
      </c>
      <c r="Z361" s="17">
        <f t="shared" si="97"/>
        <v>176412.89443604212</v>
      </c>
      <c r="AA361" s="20">
        <f t="shared" si="98"/>
        <v>4.5041885922372453E-2</v>
      </c>
      <c r="AB361" s="17">
        <f t="shared" si="99"/>
        <v>176412.89443604212</v>
      </c>
      <c r="AC361" s="18">
        <f t="shared" si="100"/>
        <v>3422054.8760912502</v>
      </c>
      <c r="AD361" s="19">
        <f t="shared" si="101"/>
        <v>5.6850932990411013E-3</v>
      </c>
    </row>
    <row r="362" spans="1:30" x14ac:dyDescent="0.25">
      <c r="A362" s="8">
        <v>511</v>
      </c>
      <c r="B362" s="9">
        <v>45199</v>
      </c>
      <c r="C362" s="10">
        <v>2.125</v>
      </c>
      <c r="D362" s="11">
        <v>177319.4072515791</v>
      </c>
      <c r="E362" s="11">
        <v>2089.2531166420008</v>
      </c>
      <c r="F362" s="11">
        <v>82.493484619975646</v>
      </c>
      <c r="G362" s="11">
        <v>65380.171716584002</v>
      </c>
      <c r="H362" s="12">
        <v>7.1151821461141976E-2</v>
      </c>
      <c r="I362" s="13">
        <v>3765</v>
      </c>
      <c r="J362" s="13">
        <v>625116</v>
      </c>
      <c r="K362" s="12">
        <v>7.9185245896609593E-2</v>
      </c>
      <c r="L362" s="14">
        <v>20.76680555555555</v>
      </c>
      <c r="M362" s="15"/>
      <c r="N362" s="16">
        <f t="shared" si="85"/>
        <v>111939.2355349951</v>
      </c>
      <c r="O362" s="17">
        <f t="shared" si="86"/>
        <v>179491.15385284109</v>
      </c>
      <c r="P362" s="18">
        <f t="shared" si="87"/>
        <v>3727457.8910042564</v>
      </c>
      <c r="Q362" s="19">
        <f t="shared" si="88"/>
        <v>1.1639866766664784E-2</v>
      </c>
      <c r="R362" s="20">
        <f t="shared" si="89"/>
        <v>7.1151821461141976E-2</v>
      </c>
      <c r="S362" s="20">
        <f t="shared" si="90"/>
        <v>9.3299444401386304E-4</v>
      </c>
      <c r="T362" s="20">
        <f t="shared" si="91"/>
        <v>3.6838984326363299E-5</v>
      </c>
      <c r="U362" s="20">
        <f t="shared" si="92"/>
        <v>8.0155079324949821E-2</v>
      </c>
      <c r="V362" s="21">
        <f t="shared" si="93"/>
        <v>384895905.73893869</v>
      </c>
      <c r="W362" s="21" t="str">
        <f t="shared" si="94"/>
        <v/>
      </c>
      <c r="X362" s="19" t="str">
        <f t="shared" si="95"/>
        <v/>
      </c>
      <c r="Y362" s="17">
        <f t="shared" si="96"/>
        <v>1044.6265583210004</v>
      </c>
      <c r="Z362" s="17">
        <f t="shared" si="97"/>
        <v>176274.7806932581</v>
      </c>
      <c r="AA362" s="20">
        <f t="shared" si="98"/>
        <v>4.5001820745507494E-2</v>
      </c>
      <c r="AB362" s="17">
        <f t="shared" si="99"/>
        <v>176274.7806932581</v>
      </c>
      <c r="AC362" s="18">
        <f t="shared" si="100"/>
        <v>3660664.0950050885</v>
      </c>
      <c r="AD362" s="19">
        <f t="shared" si="101"/>
        <v>5.8912139089146295E-3</v>
      </c>
    </row>
    <row r="363" spans="1:30" x14ac:dyDescent="0.25">
      <c r="A363" s="8">
        <v>512</v>
      </c>
      <c r="B363" s="9">
        <v>45201</v>
      </c>
      <c r="C363" s="10">
        <v>2.125</v>
      </c>
      <c r="D363" s="11">
        <v>177217.24816378931</v>
      </c>
      <c r="E363" s="11">
        <v>2075.8225444270001</v>
      </c>
      <c r="F363" s="11">
        <v>58.24522979701262</v>
      </c>
      <c r="G363" s="11">
        <v>65579.369282703003</v>
      </c>
      <c r="H363" s="12">
        <v>7.110404939555523E-2</v>
      </c>
      <c r="I363" s="13">
        <v>3773</v>
      </c>
      <c r="J363" s="13">
        <v>631499</v>
      </c>
      <c r="K363" s="12">
        <v>7.9042960690029695E-2</v>
      </c>
      <c r="L363" s="14">
        <v>23.928958333333341</v>
      </c>
      <c r="M363" s="15"/>
      <c r="N363" s="16">
        <f t="shared" si="85"/>
        <v>111637.8788810863</v>
      </c>
      <c r="O363" s="17">
        <f t="shared" si="86"/>
        <v>179351.31593801331</v>
      </c>
      <c r="P363" s="18">
        <f t="shared" si="87"/>
        <v>4291690.1661092248</v>
      </c>
      <c r="Q363" s="19">
        <f t="shared" si="88"/>
        <v>1.1574058063473801E-2</v>
      </c>
      <c r="R363" s="20">
        <f t="shared" si="89"/>
        <v>7.110404939555523E-2</v>
      </c>
      <c r="S363" s="20">
        <f t="shared" si="90"/>
        <v>9.2586450516923781E-4</v>
      </c>
      <c r="T363" s="20">
        <f t="shared" si="91"/>
        <v>2.5978709504460759E-5</v>
      </c>
      <c r="U363" s="20">
        <f t="shared" si="92"/>
        <v>7.9994803904703399E-2</v>
      </c>
      <c r="V363" s="21">
        <f t="shared" si="93"/>
        <v>385366607.3517248</v>
      </c>
      <c r="W363" s="21" t="str">
        <f t="shared" si="94"/>
        <v/>
      </c>
      <c r="X363" s="19" t="str">
        <f t="shared" si="95"/>
        <v/>
      </c>
      <c r="Y363" s="17">
        <f t="shared" si="96"/>
        <v>1037.9112722135001</v>
      </c>
      <c r="Z363" s="17">
        <f t="shared" si="97"/>
        <v>176179.3368915758</v>
      </c>
      <c r="AA363" s="20">
        <f t="shared" si="98"/>
        <v>4.4961791206990342E-2</v>
      </c>
      <c r="AB363" s="17">
        <f t="shared" si="99"/>
        <v>176179.3368915758</v>
      </c>
      <c r="AC363" s="18">
        <f t="shared" si="100"/>
        <v>4215788.0116728153</v>
      </c>
      <c r="AD363" s="19">
        <f t="shared" si="101"/>
        <v>5.8567170124108484E-3</v>
      </c>
    </row>
    <row r="364" spans="1:30" x14ac:dyDescent="0.25">
      <c r="A364" s="8">
        <v>513</v>
      </c>
      <c r="B364" s="9">
        <v>45204</v>
      </c>
      <c r="C364" s="10">
        <v>2.125</v>
      </c>
      <c r="D364" s="11">
        <v>177115.1023637669</v>
      </c>
      <c r="E364" s="11">
        <v>2090.2123936840012</v>
      </c>
      <c r="F364" s="11">
        <v>127.7324096709841</v>
      </c>
      <c r="G364" s="11">
        <v>65499.557457777002</v>
      </c>
      <c r="H364" s="12">
        <v>7.115036391544674E-2</v>
      </c>
      <c r="I364" s="13">
        <v>3775</v>
      </c>
      <c r="J364" s="13">
        <v>630950</v>
      </c>
      <c r="K364" s="12">
        <v>7.8741540720602257E-2</v>
      </c>
      <c r="L364" s="14">
        <v>23.081909722222221</v>
      </c>
      <c r="M364" s="15"/>
      <c r="N364" s="16">
        <f t="shared" si="85"/>
        <v>111615.5449059899</v>
      </c>
      <c r="O364" s="17">
        <f t="shared" si="86"/>
        <v>179333.04716712187</v>
      </c>
      <c r="P364" s="18">
        <f t="shared" si="87"/>
        <v>4139349.2049225266</v>
      </c>
      <c r="Q364" s="19">
        <f t="shared" si="88"/>
        <v>1.1655478043241612E-2</v>
      </c>
      <c r="R364" s="20">
        <f t="shared" si="89"/>
        <v>7.115036391544674E-2</v>
      </c>
      <c r="S364" s="20">
        <f t="shared" si="90"/>
        <v>9.2926318600398689E-4</v>
      </c>
      <c r="T364" s="20">
        <f t="shared" si="91"/>
        <v>5.6787064475118499E-5</v>
      </c>
      <c r="U364" s="20">
        <f t="shared" si="92"/>
        <v>7.9727590971081369E-2</v>
      </c>
      <c r="V364" s="21">
        <f t="shared" si="93"/>
        <v>386618807.01219708</v>
      </c>
      <c r="W364" s="21" t="str">
        <f t="shared" si="94"/>
        <v/>
      </c>
      <c r="X364" s="19" t="str">
        <f t="shared" si="95"/>
        <v/>
      </c>
      <c r="Y364" s="17">
        <f t="shared" si="96"/>
        <v>1045.1061968420006</v>
      </c>
      <c r="Z364" s="17">
        <f t="shared" si="97"/>
        <v>176069.99616692489</v>
      </c>
      <c r="AA364" s="20">
        <f t="shared" si="98"/>
        <v>4.4901813651779365E-2</v>
      </c>
      <c r="AB364" s="17">
        <f t="shared" si="99"/>
        <v>176069.99616692489</v>
      </c>
      <c r="AC364" s="18">
        <f t="shared" si="100"/>
        <v>4064031.7563169729</v>
      </c>
      <c r="AD364" s="19">
        <f t="shared" si="101"/>
        <v>5.9007175723248878E-3</v>
      </c>
    </row>
    <row r="365" spans="1:30" x14ac:dyDescent="0.25">
      <c r="A365" s="8">
        <v>514</v>
      </c>
      <c r="B365" s="9">
        <v>45206</v>
      </c>
      <c r="C365" s="10">
        <v>2.041666666666667</v>
      </c>
      <c r="D365" s="11">
        <v>177012.9611994244</v>
      </c>
      <c r="E365" s="11">
        <v>2084.299651671</v>
      </c>
      <c r="F365" s="11">
        <v>66.104432335994616</v>
      </c>
      <c r="G365" s="11">
        <v>63461.277264267999</v>
      </c>
      <c r="H365" s="12">
        <v>7.099493278516579E-2</v>
      </c>
      <c r="I365" s="13">
        <v>3780</v>
      </c>
      <c r="J365" s="13">
        <v>636493</v>
      </c>
      <c r="K365" s="12">
        <v>8.1875753271371421E-2</v>
      </c>
      <c r="L365" s="14">
        <v>23.50378472222221</v>
      </c>
      <c r="M365" s="15"/>
      <c r="N365" s="16">
        <f t="shared" si="85"/>
        <v>113551.68393515641</v>
      </c>
      <c r="O365" s="17">
        <f t="shared" si="86"/>
        <v>179163.3652834314</v>
      </c>
      <c r="P365" s="18">
        <f t="shared" si="87"/>
        <v>4211017.1677306322</v>
      </c>
      <c r="Q365" s="19">
        <f t="shared" si="88"/>
        <v>1.1633514744343503E-2</v>
      </c>
      <c r="R365" s="20">
        <f t="shared" si="89"/>
        <v>7.099493278516579E-2</v>
      </c>
      <c r="S365" s="20">
        <f t="shared" si="90"/>
        <v>9.6407405913943379E-4</v>
      </c>
      <c r="T365" s="20">
        <f t="shared" si="91"/>
        <v>3.0576010679739773E-5</v>
      </c>
      <c r="U365" s="20">
        <f t="shared" si="92"/>
        <v>8.2870403341190599E-2</v>
      </c>
      <c r="V365" s="21">
        <f t="shared" si="93"/>
        <v>386772105.81106842</v>
      </c>
      <c r="W365" s="21" t="str">
        <f t="shared" si="94"/>
        <v/>
      </c>
      <c r="X365" s="19" t="str">
        <f t="shared" si="95"/>
        <v/>
      </c>
      <c r="Y365" s="17">
        <f t="shared" si="96"/>
        <v>1042.1498258355</v>
      </c>
      <c r="Z365" s="17">
        <f t="shared" si="97"/>
        <v>175970.81137358889</v>
      </c>
      <c r="AA365" s="20">
        <f t="shared" si="98"/>
        <v>4.4861873070503162E-2</v>
      </c>
      <c r="AB365" s="17">
        <f t="shared" si="99"/>
        <v>175970.81137358889</v>
      </c>
      <c r="AC365" s="18">
        <f t="shared" si="100"/>
        <v>4135980.0679196049</v>
      </c>
      <c r="AD365" s="19">
        <f t="shared" si="101"/>
        <v>5.8874210045071476E-3</v>
      </c>
    </row>
    <row r="366" spans="1:30" x14ac:dyDescent="0.25">
      <c r="A366" s="8">
        <v>515</v>
      </c>
      <c r="B366" s="9">
        <v>45208</v>
      </c>
      <c r="C366" s="10">
        <v>2</v>
      </c>
      <c r="D366" s="11">
        <v>176910.83114061019</v>
      </c>
      <c r="E366" s="11">
        <v>2207.6265381210019</v>
      </c>
      <c r="F366" s="11">
        <v>81.76190723600277</v>
      </c>
      <c r="G366" s="11">
        <v>62096.655181916001</v>
      </c>
      <c r="H366" s="12">
        <v>7.1531343421963142E-2</v>
      </c>
      <c r="I366" s="13">
        <v>3788</v>
      </c>
      <c r="J366" s="13">
        <v>634808</v>
      </c>
      <c r="K366" s="12">
        <v>8.3518880816492863E-2</v>
      </c>
      <c r="L366" s="14">
        <v>22.619722222222219</v>
      </c>
      <c r="M366" s="15"/>
      <c r="N366" s="16">
        <f t="shared" si="85"/>
        <v>114814.17595869419</v>
      </c>
      <c r="O366" s="17">
        <f t="shared" si="86"/>
        <v>179200.21958596719</v>
      </c>
      <c r="P366" s="18">
        <f t="shared" si="87"/>
        <v>4053459.1891958034</v>
      </c>
      <c r="Q366" s="19">
        <f t="shared" si="88"/>
        <v>1.2319329425050976E-2</v>
      </c>
      <c r="R366" s="20">
        <f t="shared" si="89"/>
        <v>7.1531343421963142E-2</v>
      </c>
      <c r="S366" s="20">
        <f t="shared" si="90"/>
        <v>1.0422114719370074E-3</v>
      </c>
      <c r="T366" s="20">
        <f t="shared" si="91"/>
        <v>3.859946246222417E-5</v>
      </c>
      <c r="U366" s="20">
        <f t="shared" si="92"/>
        <v>8.4599691750892089E-2</v>
      </c>
      <c r="V366" s="21">
        <f t="shared" si="93"/>
        <v>386838762.93842596</v>
      </c>
      <c r="W366" s="21" t="str">
        <f t="shared" si="94"/>
        <v/>
      </c>
      <c r="X366" s="19" t="str">
        <f t="shared" si="95"/>
        <v/>
      </c>
      <c r="Y366" s="17">
        <f t="shared" si="96"/>
        <v>1103.8132690605009</v>
      </c>
      <c r="Z366" s="17">
        <f t="shared" si="97"/>
        <v>175807.01787154967</v>
      </c>
      <c r="AA366" s="20">
        <f t="shared" si="98"/>
        <v>4.4821968016745838E-2</v>
      </c>
      <c r="AB366" s="17">
        <f t="shared" si="99"/>
        <v>175807.01787154967</v>
      </c>
      <c r="AC366" s="18">
        <f t="shared" si="100"/>
        <v>3976705.9089717111</v>
      </c>
      <c r="AD366" s="19">
        <f t="shared" si="101"/>
        <v>6.2393764245173948E-3</v>
      </c>
    </row>
    <row r="367" spans="1:30" x14ac:dyDescent="0.25">
      <c r="A367" s="8">
        <v>516</v>
      </c>
      <c r="B367" s="9">
        <v>45210</v>
      </c>
      <c r="C367" s="10">
        <v>2.041666666666667</v>
      </c>
      <c r="D367" s="11">
        <v>176808.67149999671</v>
      </c>
      <c r="E367" s="11">
        <v>2221.4453985630012</v>
      </c>
      <c r="F367" s="11">
        <v>48.350651800996033</v>
      </c>
      <c r="G367" s="11">
        <v>62081.647878650998</v>
      </c>
      <c r="H367" s="12">
        <v>7.1460272142465545E-2</v>
      </c>
      <c r="I367" s="13">
        <v>3806</v>
      </c>
      <c r="J367" s="13">
        <v>647962</v>
      </c>
      <c r="K367" s="12">
        <v>8.1747636799130108E-2</v>
      </c>
      <c r="L367" s="14">
        <v>22.08204861111108</v>
      </c>
      <c r="M367" s="15"/>
      <c r="N367" s="16">
        <f t="shared" si="85"/>
        <v>114727.02362134571</v>
      </c>
      <c r="O367" s="17">
        <f t="shared" si="86"/>
        <v>179078.46755036068</v>
      </c>
      <c r="P367" s="18">
        <f t="shared" si="87"/>
        <v>3954419.4256503428</v>
      </c>
      <c r="Q367" s="19">
        <f t="shared" si="88"/>
        <v>1.240487161270957E-2</v>
      </c>
      <c r="R367" s="20">
        <f t="shared" si="89"/>
        <v>7.1460272142465545E-2</v>
      </c>
      <c r="S367" s="20">
        <f t="shared" si="90"/>
        <v>1.0270871336241585E-3</v>
      </c>
      <c r="T367" s="20">
        <f t="shared" si="91"/>
        <v>2.235496420450794E-5</v>
      </c>
      <c r="U367" s="20">
        <f t="shared" si="92"/>
        <v>8.2797078896958781E-2</v>
      </c>
      <c r="V367" s="21">
        <f t="shared" si="93"/>
        <v>386931191.35723472</v>
      </c>
      <c r="W367" s="21" t="str">
        <f t="shared" si="94"/>
        <v/>
      </c>
      <c r="X367" s="19" t="str">
        <f t="shared" si="95"/>
        <v/>
      </c>
      <c r="Y367" s="17">
        <f t="shared" si="96"/>
        <v>1110.7226992815006</v>
      </c>
      <c r="Z367" s="17">
        <f t="shared" si="97"/>
        <v>175697.94880071521</v>
      </c>
      <c r="AA367" s="20">
        <f t="shared" si="98"/>
        <v>4.4782098458905351E-2</v>
      </c>
      <c r="AB367" s="17">
        <f t="shared" si="99"/>
        <v>175697.94880071521</v>
      </c>
      <c r="AC367" s="18">
        <f t="shared" si="100"/>
        <v>3879770.646289899</v>
      </c>
      <c r="AD367" s="19">
        <f t="shared" si="101"/>
        <v>6.2820600927456279E-3</v>
      </c>
    </row>
    <row r="368" spans="1:30" x14ac:dyDescent="0.25">
      <c r="A368" s="8">
        <v>517</v>
      </c>
      <c r="B368" s="9">
        <v>45212</v>
      </c>
      <c r="C368" s="10">
        <v>2.041666666666667</v>
      </c>
      <c r="D368" s="11">
        <v>176706.51696752509</v>
      </c>
      <c r="E368" s="11">
        <v>2054.9064492960001</v>
      </c>
      <c r="F368" s="11">
        <v>49.80336381198574</v>
      </c>
      <c r="G368" s="11">
        <v>58785.528273711003</v>
      </c>
      <c r="H368" s="12">
        <v>7.1974391175135599E-2</v>
      </c>
      <c r="I368" s="13">
        <v>3833</v>
      </c>
      <c r="J368" s="13">
        <v>644358</v>
      </c>
      <c r="K368" s="12">
        <v>8.1689071158442331E-2</v>
      </c>
      <c r="L368" s="14">
        <v>21.488958333333319</v>
      </c>
      <c r="M368" s="15"/>
      <c r="N368" s="16">
        <f t="shared" si="85"/>
        <v>117920.98869381408</v>
      </c>
      <c r="O368" s="17">
        <f t="shared" si="86"/>
        <v>178811.22678063306</v>
      </c>
      <c r="P368" s="18">
        <f t="shared" si="87"/>
        <v>3842467.0018212385</v>
      </c>
      <c r="Q368" s="19">
        <f t="shared" si="88"/>
        <v>1.1492043795532897E-2</v>
      </c>
      <c r="R368" s="20">
        <f t="shared" si="89"/>
        <v>7.1974391175135599E-2</v>
      </c>
      <c r="S368" s="20">
        <f t="shared" si="90"/>
        <v>9.4995590452010752E-4</v>
      </c>
      <c r="T368" s="20">
        <f t="shared" si="91"/>
        <v>2.3023432299980077E-5</v>
      </c>
      <c r="U368" s="20">
        <f t="shared" si="92"/>
        <v>8.2662050495262429E-2</v>
      </c>
      <c r="V368" s="21">
        <f t="shared" si="93"/>
        <v>386984878.29088682</v>
      </c>
      <c r="W368" s="21" t="str">
        <f t="shared" si="94"/>
        <v/>
      </c>
      <c r="X368" s="19" t="str">
        <f t="shared" si="95"/>
        <v/>
      </c>
      <c r="Y368" s="17">
        <f t="shared" si="96"/>
        <v>1027.4532246480001</v>
      </c>
      <c r="Z368" s="17">
        <f t="shared" si="97"/>
        <v>175679.0637428771</v>
      </c>
      <c r="AA368" s="20">
        <f t="shared" si="98"/>
        <v>4.474226436540775E-2</v>
      </c>
      <c r="AB368" s="17">
        <f t="shared" si="99"/>
        <v>175679.0637428771</v>
      </c>
      <c r="AC368" s="18">
        <f t="shared" si="100"/>
        <v>3775160.0808096942</v>
      </c>
      <c r="AD368" s="19">
        <f t="shared" si="101"/>
        <v>5.8144614147808945E-3</v>
      </c>
    </row>
    <row r="369" spans="1:30" x14ac:dyDescent="0.25">
      <c r="A369" s="8">
        <v>518</v>
      </c>
      <c r="B369" s="9">
        <v>45214</v>
      </c>
      <c r="C369" s="10">
        <v>2.041666666666667</v>
      </c>
      <c r="D369" s="11">
        <v>176604.42463400611</v>
      </c>
      <c r="E369" s="11">
        <v>2016.4035512349999</v>
      </c>
      <c r="F369" s="11">
        <v>58.038852267999303</v>
      </c>
      <c r="G369" s="11">
        <v>58025.065770134999</v>
      </c>
      <c r="H369" s="12">
        <v>7.2068368991726292E-2</v>
      </c>
      <c r="I369" s="13">
        <v>3840</v>
      </c>
      <c r="J369" s="13">
        <v>646306</v>
      </c>
      <c r="K369" s="12">
        <v>7.875767141361685E-2</v>
      </c>
      <c r="L369" s="14">
        <v>21.932881944444439</v>
      </c>
      <c r="M369" s="15"/>
      <c r="N369" s="16">
        <f t="shared" si="85"/>
        <v>118579.35886387111</v>
      </c>
      <c r="O369" s="17">
        <f t="shared" si="86"/>
        <v>178678.8670375091</v>
      </c>
      <c r="P369" s="18">
        <f t="shared" si="87"/>
        <v>3918942.4967007721</v>
      </c>
      <c r="Q369" s="19">
        <f t="shared" si="88"/>
        <v>1.1285070163399386E-2</v>
      </c>
      <c r="R369" s="20">
        <f t="shared" si="89"/>
        <v>7.2068368991726292E-2</v>
      </c>
      <c r="S369" s="20">
        <f t="shared" si="90"/>
        <v>8.9922576206415779E-4</v>
      </c>
      <c r="T369" s="20">
        <f t="shared" si="91"/>
        <v>2.588273122612563E-5</v>
      </c>
      <c r="U369" s="20">
        <f t="shared" si="92"/>
        <v>7.9682779906907128E-2</v>
      </c>
      <c r="V369" s="21">
        <f t="shared" si="93"/>
        <v>401156745.53029084</v>
      </c>
      <c r="W369" s="21" t="str">
        <f t="shared" si="94"/>
        <v/>
      </c>
      <c r="X369" s="19" t="str">
        <f t="shared" si="95"/>
        <v/>
      </c>
      <c r="Y369" s="17">
        <f t="shared" si="96"/>
        <v>1008.2017756174999</v>
      </c>
      <c r="Z369" s="17">
        <f t="shared" si="97"/>
        <v>175596.22285838862</v>
      </c>
      <c r="AA369" s="20">
        <f t="shared" si="98"/>
        <v>4.4702465704707164E-2</v>
      </c>
      <c r="AB369" s="17">
        <f t="shared" si="99"/>
        <v>175596.22285838862</v>
      </c>
      <c r="AC369" s="18">
        <f t="shared" si="100"/>
        <v>3851331.2258433937</v>
      </c>
      <c r="AD369" s="19">
        <f t="shared" si="101"/>
        <v>5.7088137950501014E-3</v>
      </c>
    </row>
    <row r="370" spans="1:30" x14ac:dyDescent="0.25">
      <c r="A370" s="8">
        <v>519</v>
      </c>
      <c r="B370" s="9">
        <v>45216</v>
      </c>
      <c r="C370" s="10">
        <v>2.041666666666667</v>
      </c>
      <c r="D370" s="11">
        <v>176502.35402222961</v>
      </c>
      <c r="E370" s="11">
        <v>2049.5714185339989</v>
      </c>
      <c r="F370" s="11">
        <v>30.095951371004801</v>
      </c>
      <c r="G370" s="11">
        <v>56782.489259795002</v>
      </c>
      <c r="H370" s="12">
        <v>7.1875878760447667E-2</v>
      </c>
      <c r="I370" s="13">
        <v>3846</v>
      </c>
      <c r="J370" s="13">
        <v>648007</v>
      </c>
      <c r="K370" s="12">
        <v>7.8710247391055962E-2</v>
      </c>
      <c r="L370" s="14">
        <v>24.069513888888888</v>
      </c>
      <c r="M370" s="15"/>
      <c r="N370" s="16">
        <f t="shared" si="85"/>
        <v>119719.86476243462</v>
      </c>
      <c r="O370" s="17">
        <f t="shared" si="86"/>
        <v>178582.02139213463</v>
      </c>
      <c r="P370" s="18">
        <f t="shared" si="87"/>
        <v>4298382.4442038368</v>
      </c>
      <c r="Q370" s="19">
        <f t="shared" si="88"/>
        <v>1.1476919135289108E-2</v>
      </c>
      <c r="R370" s="20">
        <f t="shared" si="89"/>
        <v>7.1875878760447667E-2</v>
      </c>
      <c r="S370" s="20">
        <f t="shared" si="90"/>
        <v>9.1399502455435119E-4</v>
      </c>
      <c r="T370" s="20">
        <f t="shared" si="91"/>
        <v>1.3421122856993915E-5</v>
      </c>
      <c r="U370" s="20">
        <f t="shared" si="92"/>
        <v>7.9637663538467296E-2</v>
      </c>
      <c r="V370" s="21">
        <f t="shared" si="93"/>
        <v>401166455.09716898</v>
      </c>
      <c r="W370" s="21" t="str">
        <f t="shared" si="94"/>
        <v/>
      </c>
      <c r="X370" s="19" t="str">
        <f t="shared" si="95"/>
        <v/>
      </c>
      <c r="Y370" s="17">
        <f t="shared" si="96"/>
        <v>1024.7857092669994</v>
      </c>
      <c r="Z370" s="17">
        <f t="shared" si="97"/>
        <v>175477.56831296263</v>
      </c>
      <c r="AA370" s="20">
        <f t="shared" si="98"/>
        <v>4.4662702445285786E-2</v>
      </c>
      <c r="AB370" s="17">
        <f t="shared" si="99"/>
        <v>175477.56831296263</v>
      </c>
      <c r="AC370" s="18">
        <f t="shared" si="100"/>
        <v>4223659.7676973026</v>
      </c>
      <c r="AD370" s="19">
        <f t="shared" si="101"/>
        <v>5.8060738903115859E-3</v>
      </c>
    </row>
    <row r="371" spans="1:30" x14ac:dyDescent="0.25">
      <c r="A371" s="8">
        <v>520</v>
      </c>
      <c r="B371" s="9">
        <v>45218</v>
      </c>
      <c r="C371" s="10">
        <v>2.041666666666667</v>
      </c>
      <c r="D371" s="11">
        <v>176400.28271337101</v>
      </c>
      <c r="E371" s="11">
        <v>1997.4439355780021</v>
      </c>
      <c r="F371" s="11">
        <v>72.203944041985295</v>
      </c>
      <c r="G371" s="11">
        <v>56611.565106098002</v>
      </c>
      <c r="H371" s="12">
        <v>7.1931372383683911E-2</v>
      </c>
      <c r="I371" s="13">
        <v>3850</v>
      </c>
      <c r="J371" s="13">
        <v>652373</v>
      </c>
      <c r="K371" s="12">
        <v>7.855649142046453E-2</v>
      </c>
      <c r="L371" s="14">
        <v>24.2473611111111</v>
      </c>
      <c r="M371" s="15"/>
      <c r="N371" s="16">
        <f t="shared" si="85"/>
        <v>119788.71760727301</v>
      </c>
      <c r="O371" s="17">
        <f t="shared" si="86"/>
        <v>178469.93059299098</v>
      </c>
      <c r="P371" s="18">
        <f t="shared" si="87"/>
        <v>4327424.8545631869</v>
      </c>
      <c r="Q371" s="19">
        <f t="shared" si="88"/>
        <v>1.1192047472317711E-2</v>
      </c>
      <c r="R371" s="20">
        <f t="shared" si="89"/>
        <v>7.1931372383683911E-2</v>
      </c>
      <c r="S371" s="20">
        <f t="shared" si="90"/>
        <v>8.8952344619002365E-4</v>
      </c>
      <c r="T371" s="20">
        <f t="shared" si="91"/>
        <v>3.2154645238717515E-5</v>
      </c>
      <c r="U371" s="20">
        <f t="shared" si="92"/>
        <v>7.9478169511893265E-2</v>
      </c>
      <c r="V371" s="21">
        <f t="shared" si="93"/>
        <v>401719196.03609115</v>
      </c>
      <c r="W371" s="21" t="str">
        <f t="shared" si="94"/>
        <v/>
      </c>
      <c r="X371" s="19" t="str">
        <f t="shared" si="95"/>
        <v/>
      </c>
      <c r="Y371" s="17">
        <f t="shared" si="96"/>
        <v>998.72196778900104</v>
      </c>
      <c r="Z371" s="17">
        <f t="shared" si="97"/>
        <v>175401.56074558201</v>
      </c>
      <c r="AA371" s="20">
        <f t="shared" si="98"/>
        <v>4.4622974555653866E-2</v>
      </c>
      <c r="AB371" s="17">
        <f t="shared" si="99"/>
        <v>175401.56074558201</v>
      </c>
      <c r="AC371" s="18">
        <f t="shared" si="100"/>
        <v>4253024.9828506168</v>
      </c>
      <c r="AD371" s="19">
        <f t="shared" si="101"/>
        <v>5.6616800859202853E-3</v>
      </c>
    </row>
    <row r="372" spans="1:30" x14ac:dyDescent="0.25">
      <c r="A372" s="8">
        <v>521</v>
      </c>
      <c r="B372" s="9">
        <v>45220</v>
      </c>
      <c r="C372" s="10">
        <v>2.041666666666667</v>
      </c>
      <c r="D372" s="11">
        <v>176298.23757508729</v>
      </c>
      <c r="E372" s="11">
        <v>2042.493196281999</v>
      </c>
      <c r="F372" s="11">
        <v>92.602833625982896</v>
      </c>
      <c r="G372" s="11">
        <v>55168.280806599003</v>
      </c>
      <c r="H372" s="12">
        <v>7.2394755924588938E-2</v>
      </c>
      <c r="I372" s="13">
        <v>3896</v>
      </c>
      <c r="J372" s="13">
        <v>650397</v>
      </c>
      <c r="K372" s="12">
        <v>7.8330245990335945E-2</v>
      </c>
      <c r="L372" s="14">
        <v>28.40520833333332</v>
      </c>
      <c r="M372" s="15"/>
      <c r="N372" s="16">
        <f t="shared" si="85"/>
        <v>121129.95676848828</v>
      </c>
      <c r="O372" s="17">
        <f t="shared" si="86"/>
        <v>178433.33360499528</v>
      </c>
      <c r="P372" s="18">
        <f t="shared" si="87"/>
        <v>5068436.014661056</v>
      </c>
      <c r="Q372" s="19">
        <f t="shared" si="88"/>
        <v>1.1446814084657211E-2</v>
      </c>
      <c r="R372" s="20">
        <f t="shared" si="89"/>
        <v>7.2394755924588938E-2</v>
      </c>
      <c r="S372" s="20">
        <f t="shared" si="90"/>
        <v>9.0749060625302906E-4</v>
      </c>
      <c r="T372" s="20">
        <f t="shared" si="91"/>
        <v>4.1143932220173257E-5</v>
      </c>
      <c r="U372" s="20">
        <f t="shared" si="92"/>
        <v>7.9278880528809145E-2</v>
      </c>
      <c r="V372" s="21">
        <f t="shared" si="93"/>
        <v>402646442.77706885</v>
      </c>
      <c r="W372" s="21" t="str">
        <f t="shared" si="94"/>
        <v/>
      </c>
      <c r="X372" s="19" t="str">
        <f t="shared" si="95"/>
        <v/>
      </c>
      <c r="Y372" s="17">
        <f t="shared" si="96"/>
        <v>1021.2465981409995</v>
      </c>
      <c r="Z372" s="17">
        <f t="shared" si="97"/>
        <v>175276.99097694628</v>
      </c>
      <c r="AA372" s="20">
        <f t="shared" si="98"/>
        <v>4.4583282004349634E-2</v>
      </c>
      <c r="AB372" s="17">
        <f t="shared" si="99"/>
        <v>175276.99097694628</v>
      </c>
      <c r="AC372" s="18">
        <f t="shared" si="100"/>
        <v>4978779.4447399434</v>
      </c>
      <c r="AD372" s="19">
        <f t="shared" si="101"/>
        <v>5.7927215392952506E-3</v>
      </c>
    </row>
    <row r="373" spans="1:30" x14ac:dyDescent="0.25">
      <c r="A373" s="8">
        <v>522</v>
      </c>
      <c r="B373" s="9">
        <v>45222</v>
      </c>
      <c r="C373" s="10">
        <v>2.083333333333333</v>
      </c>
      <c r="D373" s="11">
        <v>176196.1882170233</v>
      </c>
      <c r="E373" s="11">
        <v>2038.327023304</v>
      </c>
      <c r="F373" s="11">
        <v>285.40620797900158</v>
      </c>
      <c r="G373" s="11">
        <v>55182.296792938003</v>
      </c>
      <c r="H373" s="12">
        <v>7.2304384932194057E-2</v>
      </c>
      <c r="I373" s="13">
        <v>3910</v>
      </c>
      <c r="J373" s="13">
        <v>657179</v>
      </c>
      <c r="K373" s="12">
        <v>7.6812723461287064E-2</v>
      </c>
      <c r="L373" s="14">
        <v>29.913090277777769</v>
      </c>
      <c r="M373" s="15"/>
      <c r="N373" s="16">
        <f t="shared" si="85"/>
        <v>121013.8914240853</v>
      </c>
      <c r="O373" s="17">
        <f t="shared" si="86"/>
        <v>178519.9214483063</v>
      </c>
      <c r="P373" s="18">
        <f t="shared" si="87"/>
        <v>5340082.5266649825</v>
      </c>
      <c r="Q373" s="19">
        <f t="shared" si="88"/>
        <v>1.1417924715445468E-2</v>
      </c>
      <c r="R373" s="20">
        <f t="shared" si="89"/>
        <v>7.2304384932194057E-2</v>
      </c>
      <c r="S373" s="20">
        <f t="shared" si="90"/>
        <v>8.8860861037396463E-4</v>
      </c>
      <c r="T373" s="20">
        <f t="shared" si="91"/>
        <v>1.2442282860638832E-4</v>
      </c>
      <c r="U373" s="20">
        <f t="shared" si="92"/>
        <v>7.7825754900267413E-2</v>
      </c>
      <c r="V373" s="21">
        <f t="shared" si="93"/>
        <v>402156235.66292608</v>
      </c>
      <c r="W373" s="21" t="str">
        <f t="shared" si="94"/>
        <v/>
      </c>
      <c r="X373" s="19" t="str">
        <f t="shared" si="95"/>
        <v/>
      </c>
      <c r="Y373" s="17">
        <f t="shared" si="96"/>
        <v>1019.163511652</v>
      </c>
      <c r="Z373" s="17">
        <f t="shared" si="97"/>
        <v>175177.0247053713</v>
      </c>
      <c r="AA373" s="20">
        <f t="shared" si="98"/>
        <v>4.4543624759939331E-2</v>
      </c>
      <c r="AB373" s="17">
        <f t="shared" si="99"/>
        <v>175177.0247053713</v>
      </c>
      <c r="AC373" s="18">
        <f t="shared" si="100"/>
        <v>5240086.1546042785</v>
      </c>
      <c r="AD373" s="19">
        <f t="shared" si="101"/>
        <v>5.7842540293589215E-3</v>
      </c>
    </row>
    <row r="374" spans="1:30" x14ac:dyDescent="0.25">
      <c r="A374" s="8">
        <v>523</v>
      </c>
      <c r="B374" s="9">
        <v>45224</v>
      </c>
      <c r="C374" s="10">
        <v>2.125</v>
      </c>
      <c r="D374" s="11">
        <v>176094.1501060802</v>
      </c>
      <c r="E374" s="11">
        <v>2064.8352571170021</v>
      </c>
      <c r="F374" s="11">
        <v>302.01651387998209</v>
      </c>
      <c r="G374" s="11">
        <v>55256.754356106998</v>
      </c>
      <c r="H374" s="12">
        <v>7.2111352652335203E-2</v>
      </c>
      <c r="I374" s="13">
        <v>3917</v>
      </c>
      <c r="J374" s="13">
        <v>658667</v>
      </c>
      <c r="K374" s="12">
        <v>7.5247729627607798E-2</v>
      </c>
      <c r="L374" s="14">
        <v>32.087673611111079</v>
      </c>
      <c r="M374" s="15"/>
      <c r="N374" s="16">
        <f t="shared" si="85"/>
        <v>120837.39574997319</v>
      </c>
      <c r="O374" s="17">
        <f t="shared" si="86"/>
        <v>178461.00187707719</v>
      </c>
      <c r="P374" s="18">
        <f t="shared" si="87"/>
        <v>5726398.3805435346</v>
      </c>
      <c r="Q374" s="19">
        <f t="shared" si="88"/>
        <v>1.1570232349918374E-2</v>
      </c>
      <c r="R374" s="20">
        <f t="shared" si="89"/>
        <v>7.2111352652335203E-2</v>
      </c>
      <c r="S374" s="20">
        <f t="shared" si="90"/>
        <v>8.8233575652282522E-4</v>
      </c>
      <c r="T374" s="20">
        <f t="shared" si="91"/>
        <v>1.2905628588924298E-4</v>
      </c>
      <c r="U374" s="20">
        <f t="shared" si="92"/>
        <v>7.6259121670019872E-2</v>
      </c>
      <c r="V374" s="21">
        <f t="shared" si="93"/>
        <v>402237742.04484284</v>
      </c>
      <c r="W374" s="21" t="str">
        <f t="shared" si="94"/>
        <v/>
      </c>
      <c r="X374" s="19" t="str">
        <f t="shared" si="95"/>
        <v/>
      </c>
      <c r="Y374" s="17">
        <f t="shared" si="96"/>
        <v>1032.4176285585011</v>
      </c>
      <c r="Z374" s="17">
        <f t="shared" si="97"/>
        <v>175061.7324775217</v>
      </c>
      <c r="AA374" s="20">
        <f t="shared" si="98"/>
        <v>4.4504002791017128E-2</v>
      </c>
      <c r="AB374" s="17">
        <f t="shared" si="99"/>
        <v>175061.7324775217</v>
      </c>
      <c r="AC374" s="18">
        <f t="shared" si="100"/>
        <v>5617323.7335343603</v>
      </c>
      <c r="AD374" s="19">
        <f t="shared" si="101"/>
        <v>5.8628729457313958E-3</v>
      </c>
    </row>
    <row r="375" spans="1:30" x14ac:dyDescent="0.25">
      <c r="A375" s="8">
        <v>524</v>
      </c>
      <c r="B375" s="9">
        <v>45226</v>
      </c>
      <c r="C375" s="10">
        <v>2.125</v>
      </c>
      <c r="D375" s="11">
        <v>175992.11384397349</v>
      </c>
      <c r="E375" s="11">
        <v>2071.8235783420009</v>
      </c>
      <c r="F375" s="11">
        <v>136.56702271697591</v>
      </c>
      <c r="G375" s="11">
        <v>54245.484769884999</v>
      </c>
      <c r="H375" s="12">
        <v>7.1072366832121966E-2</v>
      </c>
      <c r="I375" s="13">
        <v>3927</v>
      </c>
      <c r="J375" s="13">
        <v>666490</v>
      </c>
      <c r="K375" s="12">
        <v>7.5077885955307691E-2</v>
      </c>
      <c r="L375" s="14">
        <v>32.310243055555532</v>
      </c>
      <c r="M375" s="15"/>
      <c r="N375" s="16">
        <f t="shared" si="85"/>
        <v>121746.6290740885</v>
      </c>
      <c r="O375" s="17">
        <f t="shared" si="86"/>
        <v>178200.50444503248</v>
      </c>
      <c r="P375" s="18">
        <f t="shared" si="87"/>
        <v>5757701.6112416033</v>
      </c>
      <c r="Q375" s="19">
        <f t="shared" si="88"/>
        <v>1.162636202851532E-2</v>
      </c>
      <c r="R375" s="20">
        <f t="shared" si="89"/>
        <v>7.1072366832121966E-2</v>
      </c>
      <c r="S375" s="20">
        <f t="shared" si="90"/>
        <v>8.8383582046284222E-4</v>
      </c>
      <c r="T375" s="20">
        <f t="shared" si="91"/>
        <v>5.8259220443769513E-5</v>
      </c>
      <c r="U375" s="20">
        <f t="shared" si="92"/>
        <v>7.6019980996214293E-2</v>
      </c>
      <c r="V375" s="21">
        <f t="shared" si="93"/>
        <v>402914097.02985936</v>
      </c>
      <c r="W375" s="21" t="str">
        <f t="shared" si="94"/>
        <v/>
      </c>
      <c r="X375" s="19" t="str">
        <f t="shared" si="95"/>
        <v/>
      </c>
      <c r="Y375" s="17">
        <f t="shared" si="96"/>
        <v>1035.9117891710005</v>
      </c>
      <c r="Z375" s="17">
        <f t="shared" si="97"/>
        <v>174956.2020548025</v>
      </c>
      <c r="AA375" s="20">
        <f t="shared" si="98"/>
        <v>4.4464416066205159E-2</v>
      </c>
      <c r="AB375" s="17">
        <f t="shared" si="99"/>
        <v>174956.2020548025</v>
      </c>
      <c r="AC375" s="18">
        <f t="shared" si="100"/>
        <v>5652877.4124675533</v>
      </c>
      <c r="AD375" s="19">
        <f t="shared" si="101"/>
        <v>5.886126182275373E-3</v>
      </c>
    </row>
    <row r="376" spans="1:30" x14ac:dyDescent="0.25">
      <c r="A376" s="8">
        <v>525</v>
      </c>
      <c r="B376" s="9">
        <v>45228</v>
      </c>
      <c r="C376" s="10">
        <v>2.041666666666667</v>
      </c>
      <c r="D376" s="11">
        <v>175890.08554512699</v>
      </c>
      <c r="E376" s="11">
        <v>2154.2875444739998</v>
      </c>
      <c r="F376" s="11">
        <v>285.12172945514573</v>
      </c>
      <c r="G376" s="11">
        <v>54081.861488335002</v>
      </c>
      <c r="H376" s="12">
        <v>7.1426694414888789E-2</v>
      </c>
      <c r="I376" s="13">
        <v>3932</v>
      </c>
      <c r="J376" s="13">
        <v>666786</v>
      </c>
      <c r="K376" s="12">
        <v>7.8006881064053096E-2</v>
      </c>
      <c r="L376" s="14">
        <v>32.341805555555553</v>
      </c>
      <c r="M376" s="15"/>
      <c r="N376" s="16">
        <f t="shared" si="85"/>
        <v>121808.22405679198</v>
      </c>
      <c r="O376" s="17">
        <f t="shared" si="86"/>
        <v>178329.49481905613</v>
      </c>
      <c r="P376" s="18">
        <f t="shared" si="87"/>
        <v>5767497.8462583646</v>
      </c>
      <c r="Q376" s="19">
        <f t="shared" si="88"/>
        <v>1.2080377094433369E-2</v>
      </c>
      <c r="R376" s="20">
        <f t="shared" si="89"/>
        <v>7.1426694414888789E-2</v>
      </c>
      <c r="S376" s="20">
        <f t="shared" si="90"/>
        <v>9.5542197127670948E-4</v>
      </c>
      <c r="T376" s="20">
        <f t="shared" si="91"/>
        <v>1.2645088419539332E-4</v>
      </c>
      <c r="U376" s="20">
        <f t="shared" si="92"/>
        <v>7.9088753919525204E-2</v>
      </c>
      <c r="V376" s="21">
        <f t="shared" si="93"/>
        <v>403379508.51832229</v>
      </c>
      <c r="W376" s="21" t="str">
        <f t="shared" si="94"/>
        <v/>
      </c>
      <c r="X376" s="19" t="str">
        <f t="shared" si="95"/>
        <v/>
      </c>
      <c r="Y376" s="17">
        <f t="shared" si="96"/>
        <v>1077.1437722369999</v>
      </c>
      <c r="Z376" s="17">
        <f t="shared" si="97"/>
        <v>174812.94177288999</v>
      </c>
      <c r="AA376" s="20">
        <f t="shared" si="98"/>
        <v>4.4424864554153461E-2</v>
      </c>
      <c r="AB376" s="17">
        <f t="shared" si="99"/>
        <v>174812.94177288999</v>
      </c>
      <c r="AC376" s="18">
        <f t="shared" si="100"/>
        <v>5653766.1714134626</v>
      </c>
      <c r="AD376" s="19">
        <f t="shared" si="101"/>
        <v>6.1239595676962928E-3</v>
      </c>
    </row>
    <row r="377" spans="1:30" x14ac:dyDescent="0.25">
      <c r="A377" s="8">
        <v>526</v>
      </c>
      <c r="B377" s="9">
        <v>45230</v>
      </c>
      <c r="C377" s="10">
        <v>2.041666666666667</v>
      </c>
      <c r="D377" s="11">
        <v>175788.04176449729</v>
      </c>
      <c r="E377" s="11">
        <v>2156.0007594869999</v>
      </c>
      <c r="F377" s="11">
        <v>1667.1761055889849</v>
      </c>
      <c r="G377" s="11">
        <v>53767.616236900001</v>
      </c>
      <c r="H377" s="12">
        <v>7.1370926464369197E-2</v>
      </c>
      <c r="I377" s="13">
        <v>3935</v>
      </c>
      <c r="J377" s="13">
        <v>673908</v>
      </c>
      <c r="K377" s="12">
        <v>7.7876161814035394E-2</v>
      </c>
      <c r="L377" s="14">
        <v>36.334166666666682</v>
      </c>
      <c r="M377" s="15"/>
      <c r="N377" s="16">
        <f t="shared" si="85"/>
        <v>122020.42552759728</v>
      </c>
      <c r="O377" s="17">
        <f t="shared" si="86"/>
        <v>179611.2186295733</v>
      </c>
      <c r="P377" s="18">
        <f t="shared" si="87"/>
        <v>6526023.9528900236</v>
      </c>
      <c r="Q377" s="19">
        <f t="shared" si="88"/>
        <v>1.2003708765728571E-2</v>
      </c>
      <c r="R377" s="20">
        <f t="shared" si="89"/>
        <v>7.1370926464369197E-2</v>
      </c>
      <c r="S377" s="20">
        <f t="shared" si="90"/>
        <v>9.5513359345528962E-4</v>
      </c>
      <c r="T377" s="20">
        <f t="shared" si="91"/>
        <v>7.3857854532152073E-4</v>
      </c>
      <c r="U377" s="20">
        <f t="shared" si="92"/>
        <v>7.9569873952812203E-2</v>
      </c>
      <c r="V377" s="21">
        <f t="shared" si="93"/>
        <v>403822186.25077534</v>
      </c>
      <c r="W377" s="21" t="str">
        <f t="shared" si="94"/>
        <v/>
      </c>
      <c r="X377" s="19" t="str">
        <f t="shared" si="95"/>
        <v/>
      </c>
      <c r="Y377" s="17">
        <f t="shared" si="96"/>
        <v>1078.0003797434999</v>
      </c>
      <c r="Z377" s="17">
        <f t="shared" si="97"/>
        <v>174710.0413847538</v>
      </c>
      <c r="AA377" s="20">
        <f t="shared" si="98"/>
        <v>4.4385348223539955E-2</v>
      </c>
      <c r="AB377" s="17">
        <f t="shared" si="99"/>
        <v>174710.0413847538</v>
      </c>
      <c r="AC377" s="18">
        <f t="shared" si="100"/>
        <v>6347943.7620138777</v>
      </c>
      <c r="AD377" s="19">
        <f t="shared" si="101"/>
        <v>6.1323874418471183E-3</v>
      </c>
    </row>
    <row r="378" spans="1:30" x14ac:dyDescent="0.25">
      <c r="A378" s="8">
        <v>527</v>
      </c>
      <c r="B378" s="9">
        <v>45233</v>
      </c>
      <c r="C378" s="10">
        <v>2.125</v>
      </c>
      <c r="D378" s="11">
        <v>175686.00783785831</v>
      </c>
      <c r="E378" s="11">
        <v>2058.967614043001</v>
      </c>
      <c r="F378" s="11">
        <v>219.95160942306731</v>
      </c>
      <c r="G378" s="11">
        <v>54048.119595561002</v>
      </c>
      <c r="H378" s="12">
        <v>7.1178279392487026E-2</v>
      </c>
      <c r="I378" s="13">
        <v>3941</v>
      </c>
      <c r="J378" s="13">
        <v>673851</v>
      </c>
      <c r="K378" s="12">
        <v>7.589305596966231E-2</v>
      </c>
      <c r="L378" s="14">
        <v>39.162048611111103</v>
      </c>
      <c r="M378" s="15"/>
      <c r="N378" s="16">
        <f t="shared" si="85"/>
        <v>121637.88824229731</v>
      </c>
      <c r="O378" s="17">
        <f t="shared" si="86"/>
        <v>177964.92706132439</v>
      </c>
      <c r="P378" s="18">
        <f t="shared" si="87"/>
        <v>6969471.1246484276</v>
      </c>
      <c r="Q378" s="19">
        <f t="shared" si="88"/>
        <v>1.1569513431899464E-2</v>
      </c>
      <c r="R378" s="20">
        <f t="shared" si="89"/>
        <v>7.1178279392487026E-2</v>
      </c>
      <c r="S378" s="20">
        <f t="shared" si="90"/>
        <v>8.8943534146727313E-4</v>
      </c>
      <c r="T378" s="20">
        <f t="shared" si="91"/>
        <v>9.5014964538143754E-5</v>
      </c>
      <c r="U378" s="20">
        <f t="shared" si="92"/>
        <v>7.6877506275667737E-2</v>
      </c>
      <c r="V378" s="21">
        <f t="shared" si="93"/>
        <v>397893114.46470433</v>
      </c>
      <c r="W378" s="21" t="str">
        <f t="shared" si="94"/>
        <v/>
      </c>
      <c r="X378" s="19" t="str">
        <f t="shared" si="95"/>
        <v/>
      </c>
      <c r="Y378" s="17">
        <f t="shared" si="96"/>
        <v>1029.4838070215005</v>
      </c>
      <c r="Z378" s="17">
        <f t="shared" si="97"/>
        <v>174656.52403083682</v>
      </c>
      <c r="AA378" s="20">
        <f t="shared" si="98"/>
        <v>4.4326139624367815E-2</v>
      </c>
      <c r="AB378" s="17">
        <f t="shared" si="99"/>
        <v>174656.52403083682</v>
      </c>
      <c r="AC378" s="18">
        <f t="shared" si="100"/>
        <v>6839907.2843433265</v>
      </c>
      <c r="AD378" s="19">
        <f t="shared" si="101"/>
        <v>5.8597939567937444E-3</v>
      </c>
    </row>
    <row r="379" spans="1:30" x14ac:dyDescent="0.25">
      <c r="A379" s="8">
        <v>528</v>
      </c>
      <c r="B379" s="9">
        <v>45235</v>
      </c>
      <c r="C379" s="10">
        <v>2.083333333333333</v>
      </c>
      <c r="D379" s="11">
        <v>175584.01482741599</v>
      </c>
      <c r="E379" s="11">
        <v>2117.0313058380011</v>
      </c>
      <c r="F379" s="11">
        <v>147.57843109101</v>
      </c>
      <c r="G379" s="11">
        <v>52943.931065308003</v>
      </c>
      <c r="H379" s="12">
        <v>7.1787314049619133E-2</v>
      </c>
      <c r="I379" s="13">
        <v>3952</v>
      </c>
      <c r="J379" s="13">
        <v>679280</v>
      </c>
      <c r="K379" s="12">
        <v>7.7253905894292541E-2</v>
      </c>
      <c r="L379" s="14">
        <v>41.5142013888889</v>
      </c>
      <c r="M379" s="15"/>
      <c r="N379" s="16">
        <f t="shared" si="85"/>
        <v>122640.08376210798</v>
      </c>
      <c r="O379" s="17">
        <f t="shared" si="86"/>
        <v>177848.62456434499</v>
      </c>
      <c r="P379" s="18">
        <f t="shared" si="87"/>
        <v>7383243.6169011118</v>
      </c>
      <c r="Q379" s="19">
        <f t="shared" si="88"/>
        <v>1.1903557370903742E-2</v>
      </c>
      <c r="R379" s="20">
        <f t="shared" si="89"/>
        <v>7.1787314049619133E-2</v>
      </c>
      <c r="S379" s="20">
        <f t="shared" si="90"/>
        <v>9.3145687229691579E-4</v>
      </c>
      <c r="T379" s="20">
        <f t="shared" si="91"/>
        <v>6.493193721956089E-5</v>
      </c>
      <c r="U379" s="20">
        <f t="shared" si="92"/>
        <v>7.8250294703809009E-2</v>
      </c>
      <c r="V379" s="21">
        <f t="shared" si="93"/>
        <v>398470331.34692067</v>
      </c>
      <c r="W379" s="21" t="str">
        <f t="shared" si="94"/>
        <v/>
      </c>
      <c r="X379" s="19" t="str">
        <f t="shared" si="95"/>
        <v/>
      </c>
      <c r="Y379" s="17">
        <f t="shared" si="96"/>
        <v>1058.5156529190006</v>
      </c>
      <c r="Z379" s="17">
        <f t="shared" si="97"/>
        <v>174525.49917449697</v>
      </c>
      <c r="AA379" s="20">
        <f t="shared" si="98"/>
        <v>4.4286711110498478E-2</v>
      </c>
      <c r="AB379" s="17">
        <f t="shared" si="99"/>
        <v>174525.49917449697</v>
      </c>
      <c r="AC379" s="18">
        <f t="shared" si="100"/>
        <v>7245286.7202264303</v>
      </c>
      <c r="AD379" s="19">
        <f t="shared" si="101"/>
        <v>6.0285422563063646E-3</v>
      </c>
    </row>
    <row r="380" spans="1:30" x14ac:dyDescent="0.25">
      <c r="A380" s="8">
        <v>529</v>
      </c>
      <c r="B380" s="9">
        <v>45237</v>
      </c>
      <c r="C380" s="10">
        <v>2.041666666666667</v>
      </c>
      <c r="D380" s="11">
        <v>175482.01420590791</v>
      </c>
      <c r="E380" s="11">
        <v>2135.7869723420008</v>
      </c>
      <c r="F380" s="11">
        <v>213.64708904295949</v>
      </c>
      <c r="G380" s="11">
        <v>52832.909753854001</v>
      </c>
      <c r="H380" s="12">
        <v>7.1534387542413383E-2</v>
      </c>
      <c r="I380" s="13">
        <v>3957</v>
      </c>
      <c r="J380" s="13">
        <v>682072</v>
      </c>
      <c r="K380" s="12">
        <v>7.9110573993923211E-2</v>
      </c>
      <c r="L380" s="14">
        <v>41.953020833333333</v>
      </c>
      <c r="M380" s="15"/>
      <c r="N380" s="16">
        <f t="shared" si="85"/>
        <v>122649.1044520539</v>
      </c>
      <c r="O380" s="17">
        <f t="shared" si="86"/>
        <v>177831.44826729287</v>
      </c>
      <c r="P380" s="18">
        <f t="shared" si="87"/>
        <v>7460566.4539795769</v>
      </c>
      <c r="Q380" s="19">
        <f t="shared" si="88"/>
        <v>1.2010175889316081E-2</v>
      </c>
      <c r="R380" s="20">
        <f t="shared" si="89"/>
        <v>7.1534387542413383E-2</v>
      </c>
      <c r="S380" s="20">
        <f t="shared" si="90"/>
        <v>9.6285271214439168E-4</v>
      </c>
      <c r="T380" s="20">
        <f t="shared" si="91"/>
        <v>9.6316103520940332E-5</v>
      </c>
      <c r="U380" s="20">
        <f t="shared" si="92"/>
        <v>8.0169742809588537E-2</v>
      </c>
      <c r="V380" s="21">
        <f t="shared" si="93"/>
        <v>396829053.68994999</v>
      </c>
      <c r="W380" s="21" t="str">
        <f t="shared" si="94"/>
        <v/>
      </c>
      <c r="X380" s="19" t="str">
        <f t="shared" si="95"/>
        <v/>
      </c>
      <c r="Y380" s="17">
        <f t="shared" si="96"/>
        <v>1067.8934861710004</v>
      </c>
      <c r="Z380" s="17">
        <f t="shared" si="97"/>
        <v>174414.12071973691</v>
      </c>
      <c r="AA380" s="20">
        <f t="shared" si="98"/>
        <v>4.424731766865931E-2</v>
      </c>
      <c r="AB380" s="17">
        <f t="shared" si="99"/>
        <v>174414.12071973691</v>
      </c>
      <c r="AC380" s="18">
        <f t="shared" si="100"/>
        <v>7317199.2401826372</v>
      </c>
      <c r="AD380" s="19">
        <f t="shared" si="101"/>
        <v>6.0854868289689822E-3</v>
      </c>
    </row>
    <row r="381" spans="1:30" x14ac:dyDescent="0.25">
      <c r="A381" s="8">
        <v>530</v>
      </c>
      <c r="B381" s="9">
        <v>45239</v>
      </c>
      <c r="C381" s="10">
        <v>2.083333333333333</v>
      </c>
      <c r="D381" s="11">
        <v>175380.01847362489</v>
      </c>
      <c r="E381" s="11">
        <v>2243.1557708819992</v>
      </c>
      <c r="F381" s="11">
        <v>478.61162976600878</v>
      </c>
      <c r="G381" s="11">
        <v>52753.367932925001</v>
      </c>
      <c r="H381" s="12">
        <v>7.157554375087051E-2</v>
      </c>
      <c r="I381" s="13">
        <v>3960</v>
      </c>
      <c r="J381" s="13">
        <v>690762</v>
      </c>
      <c r="K381" s="12">
        <v>7.7293318570430827E-2</v>
      </c>
      <c r="L381" s="14">
        <v>45.15065972222223</v>
      </c>
      <c r="M381" s="15"/>
      <c r="N381" s="16">
        <f t="shared" si="85"/>
        <v>122626.65054069989</v>
      </c>
      <c r="O381" s="17">
        <f t="shared" si="86"/>
        <v>178101.7858742729</v>
      </c>
      <c r="P381" s="18">
        <f t="shared" si="87"/>
        <v>8041413.1299293814</v>
      </c>
      <c r="Q381" s="19">
        <f t="shared" si="88"/>
        <v>1.2594796620767781E-2</v>
      </c>
      <c r="R381" s="20">
        <f t="shared" si="89"/>
        <v>7.157554375087051E-2</v>
      </c>
      <c r="S381" s="20">
        <f t="shared" si="90"/>
        <v>9.8860152434045493E-4</v>
      </c>
      <c r="T381" s="20">
        <f t="shared" si="91"/>
        <v>2.1093327217650281E-4</v>
      </c>
      <c r="U381" s="20">
        <f t="shared" si="92"/>
        <v>7.8492853366947779E-2</v>
      </c>
      <c r="V381" s="21">
        <f t="shared" si="93"/>
        <v>397804433.90819383</v>
      </c>
      <c r="W381" s="21" t="str">
        <f t="shared" si="94"/>
        <v/>
      </c>
      <c r="X381" s="19" t="str">
        <f t="shared" si="95"/>
        <v/>
      </c>
      <c r="Y381" s="17">
        <f t="shared" si="96"/>
        <v>1121.5778854409996</v>
      </c>
      <c r="Z381" s="17">
        <f t="shared" si="97"/>
        <v>174258.4405881839</v>
      </c>
      <c r="AA381" s="20">
        <f t="shared" si="98"/>
        <v>4.4207959267653404E-2</v>
      </c>
      <c r="AB381" s="17">
        <f t="shared" si="99"/>
        <v>174258.4405881839</v>
      </c>
      <c r="AC381" s="18">
        <f t="shared" si="100"/>
        <v>7867883.5547221703</v>
      </c>
      <c r="AD381" s="19">
        <f t="shared" si="101"/>
        <v>6.3951292467771736E-3</v>
      </c>
    </row>
    <row r="382" spans="1:30" x14ac:dyDescent="0.25">
      <c r="A382" s="8">
        <v>531</v>
      </c>
      <c r="B382" s="9">
        <v>45241</v>
      </c>
      <c r="C382" s="10">
        <v>2.166666666666667</v>
      </c>
      <c r="D382" s="11">
        <v>175278.0000165317</v>
      </c>
      <c r="E382" s="11">
        <v>2106.681879753</v>
      </c>
      <c r="F382" s="11">
        <v>274.23031746595268</v>
      </c>
      <c r="G382" s="11">
        <v>52778.369500989997</v>
      </c>
      <c r="H382" s="12">
        <v>7.1397209801299308E-2</v>
      </c>
      <c r="I382" s="13">
        <v>3968</v>
      </c>
      <c r="J382" s="13">
        <v>695185</v>
      </c>
      <c r="K382" s="12">
        <v>7.414687956637557E-2</v>
      </c>
      <c r="L382" s="14">
        <v>57.255104166666648</v>
      </c>
      <c r="M382" s="15"/>
      <c r="N382" s="16">
        <f t="shared" si="85"/>
        <v>122499.63051554171</v>
      </c>
      <c r="O382" s="17">
        <f t="shared" si="86"/>
        <v>177658.91221375068</v>
      </c>
      <c r="P382" s="18">
        <f t="shared" si="87"/>
        <v>10171879.524934981</v>
      </c>
      <c r="Q382" s="19">
        <f t="shared" si="88"/>
        <v>1.1858014064717122E-2</v>
      </c>
      <c r="R382" s="20">
        <f t="shared" si="89"/>
        <v>7.1397209801299308E-2</v>
      </c>
      <c r="S382" s="20">
        <f t="shared" si="90"/>
        <v>8.9117794365510051E-4</v>
      </c>
      <c r="T382" s="20">
        <f t="shared" si="91"/>
        <v>1.1600612923857617E-4</v>
      </c>
      <c r="U382" s="20">
        <f t="shared" si="92"/>
        <v>7.5154063639269256E-2</v>
      </c>
      <c r="V382" s="21">
        <f t="shared" si="93"/>
        <v>398503970.74920535</v>
      </c>
      <c r="W382" s="21" t="str">
        <f t="shared" si="94"/>
        <v/>
      </c>
      <c r="X382" s="19" t="str">
        <f t="shared" si="95"/>
        <v/>
      </c>
      <c r="Y382" s="17">
        <f t="shared" si="96"/>
        <v>1053.3409398765</v>
      </c>
      <c r="Z382" s="17">
        <f t="shared" si="97"/>
        <v>174224.6590766552</v>
      </c>
      <c r="AA382" s="20">
        <f t="shared" si="98"/>
        <v>4.4168635876311611E-2</v>
      </c>
      <c r="AB382" s="17">
        <f t="shared" si="99"/>
        <v>174224.6590766552</v>
      </c>
      <c r="AC382" s="18">
        <f t="shared" si="100"/>
        <v>9975251.0038358774</v>
      </c>
      <c r="AD382" s="19">
        <f t="shared" si="101"/>
        <v>6.0095444937593532E-3</v>
      </c>
    </row>
    <row r="383" spans="1:30" x14ac:dyDescent="0.25">
      <c r="A383" s="8">
        <v>532</v>
      </c>
      <c r="B383" s="9">
        <v>45243</v>
      </c>
      <c r="C383" s="10">
        <v>2.166666666666667</v>
      </c>
      <c r="D383" s="11">
        <v>175176.03506776679</v>
      </c>
      <c r="E383" s="11">
        <v>2075.1707218920001</v>
      </c>
      <c r="F383" s="11">
        <v>186.53636005296991</v>
      </c>
      <c r="G383" s="11">
        <v>52359.608323054003</v>
      </c>
      <c r="H383" s="12">
        <v>7.1161862140415352E-2</v>
      </c>
      <c r="I383" s="13">
        <v>3978</v>
      </c>
      <c r="J383" s="13">
        <v>703220</v>
      </c>
      <c r="K383" s="12">
        <v>7.4349918574180399E-2</v>
      </c>
      <c r="L383" s="14">
        <v>56.428993055555573</v>
      </c>
      <c r="M383" s="15"/>
      <c r="N383" s="16">
        <f t="shared" si="85"/>
        <v>122816.42674471278</v>
      </c>
      <c r="O383" s="17">
        <f t="shared" si="86"/>
        <v>177437.74214971176</v>
      </c>
      <c r="P383" s="18">
        <f t="shared" si="87"/>
        <v>10012633.119559545</v>
      </c>
      <c r="Q383" s="19">
        <f t="shared" si="88"/>
        <v>1.1695204733506418E-2</v>
      </c>
      <c r="R383" s="20">
        <f t="shared" si="89"/>
        <v>7.1161862140415352E-2</v>
      </c>
      <c r="S383" s="20">
        <f t="shared" si="90"/>
        <v>8.807641646901461E-4</v>
      </c>
      <c r="T383" s="20">
        <f t="shared" si="91"/>
        <v>7.9171578325180772E-5</v>
      </c>
      <c r="U383" s="20">
        <f t="shared" si="92"/>
        <v>7.5309854317195724E-2</v>
      </c>
      <c r="V383" s="21">
        <f t="shared" si="93"/>
        <v>397184523.59939027</v>
      </c>
      <c r="W383" s="21" t="str">
        <f t="shared" si="94"/>
        <v/>
      </c>
      <c r="X383" s="19" t="str">
        <f t="shared" si="95"/>
        <v/>
      </c>
      <c r="Y383" s="17">
        <f t="shared" si="96"/>
        <v>1037.585360946</v>
      </c>
      <c r="Z383" s="17">
        <f t="shared" si="97"/>
        <v>174138.4497068208</v>
      </c>
      <c r="AA383" s="20">
        <f t="shared" si="98"/>
        <v>4.4129347463492515E-2</v>
      </c>
      <c r="AB383" s="17">
        <f t="shared" si="99"/>
        <v>174138.4497068208</v>
      </c>
      <c r="AC383" s="18">
        <f t="shared" si="100"/>
        <v>9826457.3692114037</v>
      </c>
      <c r="AD383" s="19">
        <f t="shared" si="101"/>
        <v>5.9231010711288815E-3</v>
      </c>
    </row>
    <row r="384" spans="1:30" x14ac:dyDescent="0.25">
      <c r="A384" s="8">
        <v>533</v>
      </c>
      <c r="B384" s="9">
        <v>45246</v>
      </c>
      <c r="C384" s="10">
        <v>2.166666666666667</v>
      </c>
      <c r="D384" s="11">
        <v>175074.09084677519</v>
      </c>
      <c r="E384" s="11">
        <v>2105.0091162669992</v>
      </c>
      <c r="F384" s="11">
        <v>186.48406167896431</v>
      </c>
      <c r="G384" s="11">
        <v>52672.980428223003</v>
      </c>
      <c r="H384" s="12">
        <v>7.0494573499043339E-2</v>
      </c>
      <c r="I384" s="13">
        <v>3980</v>
      </c>
      <c r="J384" s="13">
        <v>702094</v>
      </c>
      <c r="K384" s="12">
        <v>7.4236649534460006E-2</v>
      </c>
      <c r="L384" s="14">
        <v>63.633611111111144</v>
      </c>
      <c r="M384" s="15"/>
      <c r="N384" s="16">
        <f t="shared" si="85"/>
        <v>122401.11041855218</v>
      </c>
      <c r="O384" s="17">
        <f t="shared" si="86"/>
        <v>177365.58402472115</v>
      </c>
      <c r="P384" s="18">
        <f t="shared" si="87"/>
        <v>11286412.598324213</v>
      </c>
      <c r="Q384" s="19">
        <f t="shared" si="88"/>
        <v>1.1868193752704604E-2</v>
      </c>
      <c r="R384" s="20">
        <f t="shared" si="89"/>
        <v>7.0494573499043339E-2</v>
      </c>
      <c r="S384" s="20">
        <f t="shared" si="90"/>
        <v>8.9258680867817857E-4</v>
      </c>
      <c r="T384" s="20">
        <f t="shared" si="91"/>
        <v>7.9074818344994981E-5</v>
      </c>
      <c r="U384" s="20">
        <f t="shared" si="92"/>
        <v>7.5208311161483188E-2</v>
      </c>
      <c r="V384" s="21">
        <f t="shared" si="93"/>
        <v>397559045.70745981</v>
      </c>
      <c r="W384" s="21" t="str">
        <f t="shared" si="94"/>
        <v/>
      </c>
      <c r="X384" s="19" t="str">
        <f t="shared" si="95"/>
        <v/>
      </c>
      <c r="Y384" s="17">
        <f t="shared" si="96"/>
        <v>1052.5045581334996</v>
      </c>
      <c r="Z384" s="17">
        <f t="shared" si="97"/>
        <v>174021.5862886417</v>
      </c>
      <c r="AA384" s="20">
        <f t="shared" si="98"/>
        <v>4.4070480360940238E-2</v>
      </c>
      <c r="AB384" s="17">
        <f t="shared" si="99"/>
        <v>174021.5862886417</v>
      </c>
      <c r="AC384" s="18">
        <f t="shared" si="100"/>
        <v>11073621.946830098</v>
      </c>
      <c r="AD384" s="19">
        <f t="shared" si="101"/>
        <v>6.0117665214931854E-3</v>
      </c>
    </row>
    <row r="385" spans="1:30" x14ac:dyDescent="0.25">
      <c r="A385" s="8">
        <v>534</v>
      </c>
      <c r="B385" s="9">
        <v>45248</v>
      </c>
      <c r="C385" s="10">
        <v>2.166666666666667</v>
      </c>
      <c r="D385" s="11">
        <v>174972.14845488829</v>
      </c>
      <c r="E385" s="11">
        <v>2126.0097012719989</v>
      </c>
      <c r="F385" s="11">
        <v>238.20499448601049</v>
      </c>
      <c r="G385" s="11">
        <v>51723.498157050999</v>
      </c>
      <c r="H385" s="12">
        <v>7.100127086123792E-2</v>
      </c>
      <c r="I385" s="13">
        <v>3991</v>
      </c>
      <c r="J385" s="13">
        <v>709741</v>
      </c>
      <c r="K385" s="12">
        <v>7.4098852770925192E-2</v>
      </c>
      <c r="L385" s="14">
        <v>57.543402777777821</v>
      </c>
      <c r="M385" s="15"/>
      <c r="N385" s="16">
        <f t="shared" si="85"/>
        <v>123248.65029783729</v>
      </c>
      <c r="O385" s="17">
        <f t="shared" si="86"/>
        <v>177336.3631506463</v>
      </c>
      <c r="P385" s="18">
        <f t="shared" si="87"/>
        <v>10204537.771923916</v>
      </c>
      <c r="Q385" s="19">
        <f t="shared" si="88"/>
        <v>1.1988571680958434E-2</v>
      </c>
      <c r="R385" s="20">
        <f t="shared" si="89"/>
        <v>7.100127086123792E-2</v>
      </c>
      <c r="S385" s="20">
        <f t="shared" si="90"/>
        <v>9.0034260443872004E-4</v>
      </c>
      <c r="T385" s="20">
        <f t="shared" si="91"/>
        <v>1.0087729373837281E-4</v>
      </c>
      <c r="U385" s="20">
        <f t="shared" si="92"/>
        <v>7.5100072669102277E-2</v>
      </c>
      <c r="V385" s="21">
        <f t="shared" si="93"/>
        <v>398066438.38158548</v>
      </c>
      <c r="W385" s="21" t="str">
        <f t="shared" si="94"/>
        <v/>
      </c>
      <c r="X385" s="19" t="str">
        <f t="shared" si="95"/>
        <v/>
      </c>
      <c r="Y385" s="17">
        <f t="shared" si="96"/>
        <v>1063.0048506359994</v>
      </c>
      <c r="Z385" s="17">
        <f t="shared" si="97"/>
        <v>173909.14360425228</v>
      </c>
      <c r="AA385" s="20">
        <f t="shared" si="98"/>
        <v>4.4031279258365891E-2</v>
      </c>
      <c r="AB385" s="17">
        <f t="shared" si="99"/>
        <v>173909.14360425228</v>
      </c>
      <c r="AC385" s="18">
        <f t="shared" si="100"/>
        <v>10007323.897157893</v>
      </c>
      <c r="AD385" s="19">
        <f t="shared" si="101"/>
        <v>6.0752803233142319E-3</v>
      </c>
    </row>
    <row r="386" spans="1:30" x14ac:dyDescent="0.25">
      <c r="A386" s="8">
        <v>535</v>
      </c>
      <c r="B386" s="9">
        <v>45250</v>
      </c>
      <c r="C386" s="10">
        <v>2.083333333333333</v>
      </c>
      <c r="D386" s="11">
        <v>174870.21064556681</v>
      </c>
      <c r="E386" s="11">
        <v>2301.9093589259978</v>
      </c>
      <c r="F386" s="11">
        <v>683.03075021896939</v>
      </c>
      <c r="G386" s="11">
        <v>51888.693138738003</v>
      </c>
      <c r="H386" s="12">
        <v>7.052689531417973E-2</v>
      </c>
      <c r="I386" s="13">
        <v>3991</v>
      </c>
      <c r="J386" s="13">
        <v>708622</v>
      </c>
      <c r="K386" s="12">
        <v>7.7838596221853032E-2</v>
      </c>
      <c r="L386" s="14">
        <v>59.213055555555563</v>
      </c>
      <c r="M386" s="15"/>
      <c r="N386" s="16">
        <f t="shared" ref="N386:N449" si="102">D386-G386</f>
        <v>122981.51750682881</v>
      </c>
      <c r="O386" s="17">
        <f t="shared" ref="O386:O449" si="103">D386+E386+F386</f>
        <v>177855.15075471179</v>
      </c>
      <c r="P386" s="18">
        <f t="shared" ref="P386:P449" si="104">O386*L386</f>
        <v>10531346.92248046</v>
      </c>
      <c r="Q386" s="19">
        <f t="shared" ref="Q386:Q449" si="105">IF(O386&gt;0,E386/O386,"")</f>
        <v>1.2942607223676456E-2</v>
      </c>
      <c r="R386" s="20">
        <f t="shared" ref="R386:R449" si="106">IF(H386&lt;&gt;"",H386,IF(D386&gt;0,G386/D386,""))</f>
        <v>7.052689531417973E-2</v>
      </c>
      <c r="S386" s="20">
        <f t="shared" ref="S386:S449" si="107">IF(AND(K386&lt;&gt;"",D386&gt;0),E386*K386/D386,"")</f>
        <v>1.0246307388049555E-3</v>
      </c>
      <c r="T386" s="20">
        <f t="shared" ref="T386:T449" si="108">IF(AND(K386&lt;&gt;"",D386&gt;0),F386*K386/D386,"")</f>
        <v>3.0403208515121407E-4</v>
      </c>
      <c r="U386" s="20">
        <f t="shared" ref="U386:U449" si="109">IF(K386&lt;&gt;"",K386+S386+T386,"")</f>
        <v>7.9167259045809207E-2</v>
      </c>
      <c r="V386" s="21">
        <f t="shared" ref="V386:V449" si="110">IF(AND(K386&lt;&gt;"",K386&gt;0,C386&gt;0),D386*(365.25/C386)/K386,"")</f>
        <v>393869453.18232161</v>
      </c>
      <c r="W386" s="21" t="str">
        <f t="shared" ref="W386:W449" si="111">IF(AND(M386&lt;&gt;"",L386&gt;0),M386/L386,"")</f>
        <v/>
      </c>
      <c r="X386" s="19" t="str">
        <f t="shared" ref="X386:X449" si="112">IF(AND(V386&lt;&gt;"",W386&lt;&gt;"",W386&gt;0),V386/W386,"")</f>
        <v/>
      </c>
      <c r="Y386" s="17">
        <f t="shared" ref="Y386:Y449" si="113">IF(A386&lt;620,E386*0.5,"")</f>
        <v>1150.9546794629989</v>
      </c>
      <c r="Z386" s="17">
        <f t="shared" ref="Z386:Z449" si="114">IF(Y386&lt;&gt;"",D386-Y386,"")</f>
        <v>173719.25596610381</v>
      </c>
      <c r="AA386" s="20">
        <f t="shared" ref="AA386:AA449" si="115">IF(B386&lt;&gt;"",MAX(0.08*0.85^((B386-DATE(2020,3,16))/365.25),0.015),"")</f>
        <v>4.3992113025537245E-2</v>
      </c>
      <c r="AB386" s="17">
        <f t="shared" ref="AB386:AB449" si="116">IF(Z386&lt;&gt;"",Z386,"")</f>
        <v>173719.25596610381</v>
      </c>
      <c r="AC386" s="18">
        <f t="shared" ref="AC386:AC449" si="117">IF(AB386&lt;&gt;"",AB386*L386,"")</f>
        <v>10286447.954590682</v>
      </c>
      <c r="AD386" s="19">
        <f t="shared" ref="AD386:AD449" si="118">IF(AND(Y386&lt;&gt;"",D386&gt;0),Y386/D386,"")</f>
        <v>6.5817652715921696E-3</v>
      </c>
    </row>
    <row r="387" spans="1:30" x14ac:dyDescent="0.25">
      <c r="A387" s="8">
        <v>536</v>
      </c>
      <c r="B387" s="9">
        <v>45252</v>
      </c>
      <c r="C387" s="10">
        <v>2.166666666666667</v>
      </c>
      <c r="D387" s="11">
        <v>174768.22953549691</v>
      </c>
      <c r="E387" s="11">
        <v>2181.0402280029998</v>
      </c>
      <c r="F387" s="11">
        <v>256.51366685696712</v>
      </c>
      <c r="G387" s="11">
        <v>51827.453087779002</v>
      </c>
      <c r="H387" s="12">
        <v>7.0507133395748059E-2</v>
      </c>
      <c r="I387" s="13">
        <v>4003</v>
      </c>
      <c r="J387" s="13">
        <v>716661</v>
      </c>
      <c r="K387" s="12">
        <v>7.4611727876354672E-2</v>
      </c>
      <c r="L387" s="14">
        <v>55.231284722222213</v>
      </c>
      <c r="M387" s="15"/>
      <c r="N387" s="16">
        <f t="shared" si="102"/>
        <v>122940.77644771792</v>
      </c>
      <c r="O387" s="17">
        <f t="shared" si="103"/>
        <v>177205.78343035688</v>
      </c>
      <c r="P387" s="18">
        <f t="shared" si="104"/>
        <v>9787303.0790664889</v>
      </c>
      <c r="Q387" s="19">
        <f t="shared" si="105"/>
        <v>1.2307951725854163E-2</v>
      </c>
      <c r="R387" s="20">
        <f t="shared" si="106"/>
        <v>7.0507133395748059E-2</v>
      </c>
      <c r="S387" s="20">
        <f t="shared" si="107"/>
        <v>9.3112564229581721E-4</v>
      </c>
      <c r="T387" s="20">
        <f t="shared" si="108"/>
        <v>1.0951033811446062E-4</v>
      </c>
      <c r="U387" s="20">
        <f t="shared" si="109"/>
        <v>7.5652363856764951E-2</v>
      </c>
      <c r="V387" s="21">
        <f t="shared" si="110"/>
        <v>394869429.04631907</v>
      </c>
      <c r="W387" s="21" t="str">
        <f t="shared" si="111"/>
        <v/>
      </c>
      <c r="X387" s="19" t="str">
        <f t="shared" si="112"/>
        <v/>
      </c>
      <c r="Y387" s="17">
        <f t="shared" si="113"/>
        <v>1090.5201140014999</v>
      </c>
      <c r="Z387" s="17">
        <f t="shared" si="114"/>
        <v>173677.70942149541</v>
      </c>
      <c r="AA387" s="20">
        <f t="shared" si="115"/>
        <v>4.3952981631437328E-2</v>
      </c>
      <c r="AB387" s="17">
        <f t="shared" si="116"/>
        <v>173677.70942149541</v>
      </c>
      <c r="AC387" s="18">
        <f t="shared" si="117"/>
        <v>9592443.0189619884</v>
      </c>
      <c r="AD387" s="19">
        <f t="shared" si="118"/>
        <v>6.2398075262300803E-3</v>
      </c>
    </row>
    <row r="388" spans="1:30" x14ac:dyDescent="0.25">
      <c r="A388" s="8">
        <v>537</v>
      </c>
      <c r="B388" s="9">
        <v>45254</v>
      </c>
      <c r="C388" s="10">
        <v>2.166666666666667</v>
      </c>
      <c r="D388" s="11">
        <v>174666.29730833639</v>
      </c>
      <c r="E388" s="11">
        <v>2258.939309536001</v>
      </c>
      <c r="F388" s="11">
        <v>137.56621732798939</v>
      </c>
      <c r="G388" s="11">
        <v>51632.165699065998</v>
      </c>
      <c r="H388" s="12">
        <v>7.0009078435706251E-2</v>
      </c>
      <c r="I388" s="13">
        <v>3987</v>
      </c>
      <c r="J388" s="13">
        <v>718472</v>
      </c>
      <c r="K388" s="12">
        <v>7.4459012722774068E-2</v>
      </c>
      <c r="L388" s="14">
        <v>57.503159722222243</v>
      </c>
      <c r="M388" s="15"/>
      <c r="N388" s="16">
        <f t="shared" si="102"/>
        <v>123034.13160927039</v>
      </c>
      <c r="O388" s="17">
        <f t="shared" si="103"/>
        <v>177062.80283520039</v>
      </c>
      <c r="P388" s="18">
        <f t="shared" si="104"/>
        <v>10181670.632296873</v>
      </c>
      <c r="Q388" s="19">
        <f t="shared" si="105"/>
        <v>1.2757842264806394E-2</v>
      </c>
      <c r="R388" s="20">
        <f t="shared" si="106"/>
        <v>7.0009078435706251E-2</v>
      </c>
      <c r="S388" s="20">
        <f t="shared" si="107"/>
        <v>9.6296992253632591E-4</v>
      </c>
      <c r="T388" s="20">
        <f t="shared" si="108"/>
        <v>5.8643509847619521E-5</v>
      </c>
      <c r="U388" s="20">
        <f t="shared" si="109"/>
        <v>7.5480626155158007E-2</v>
      </c>
      <c r="V388" s="21">
        <f t="shared" si="110"/>
        <v>395448527.83781844</v>
      </c>
      <c r="W388" s="21" t="str">
        <f t="shared" si="111"/>
        <v/>
      </c>
      <c r="X388" s="19" t="str">
        <f t="shared" si="112"/>
        <v/>
      </c>
      <c r="Y388" s="17">
        <f t="shared" si="113"/>
        <v>1129.4696547680005</v>
      </c>
      <c r="Z388" s="17">
        <f t="shared" si="114"/>
        <v>173536.82765356838</v>
      </c>
      <c r="AA388" s="20">
        <f t="shared" si="115"/>
        <v>4.3913885045076782E-2</v>
      </c>
      <c r="AB388" s="17">
        <f t="shared" si="116"/>
        <v>173536.82765356838</v>
      </c>
      <c r="AC388" s="18">
        <f t="shared" si="117"/>
        <v>9978915.918250896</v>
      </c>
      <c r="AD388" s="19">
        <f t="shared" si="118"/>
        <v>6.4664429954346646E-3</v>
      </c>
    </row>
    <row r="389" spans="1:30" x14ac:dyDescent="0.25">
      <c r="A389" s="8">
        <v>538</v>
      </c>
      <c r="B389" s="9">
        <v>45256</v>
      </c>
      <c r="C389" s="10">
        <v>2.125</v>
      </c>
      <c r="D389" s="11">
        <v>174564.35244284591</v>
      </c>
      <c r="E389" s="11">
        <v>2353.8409361840022</v>
      </c>
      <c r="F389" s="11">
        <v>108.1782059119862</v>
      </c>
      <c r="G389" s="11">
        <v>51477.938924688999</v>
      </c>
      <c r="H389" s="12">
        <v>6.9754219074688623E-2</v>
      </c>
      <c r="I389" s="13">
        <v>3987</v>
      </c>
      <c r="J389" s="13">
        <v>725987</v>
      </c>
      <c r="K389" s="12">
        <v>7.5740592444669061E-2</v>
      </c>
      <c r="L389" s="14">
        <v>57.911111111111133</v>
      </c>
      <c r="M389" s="15"/>
      <c r="N389" s="16">
        <f t="shared" si="102"/>
        <v>123086.41351815691</v>
      </c>
      <c r="O389" s="17">
        <f t="shared" si="103"/>
        <v>177026.37158494189</v>
      </c>
      <c r="P389" s="18">
        <f t="shared" si="104"/>
        <v>10251793.874452416</v>
      </c>
      <c r="Q389" s="19">
        <f t="shared" si="105"/>
        <v>1.3296555282186122E-2</v>
      </c>
      <c r="R389" s="20">
        <f t="shared" si="106"/>
        <v>6.9754219074688623E-2</v>
      </c>
      <c r="S389" s="20">
        <f t="shared" si="107"/>
        <v>1.0212927469568098E-3</v>
      </c>
      <c r="T389" s="20">
        <f t="shared" si="108"/>
        <v>4.6936738748295487E-5</v>
      </c>
      <c r="U389" s="20">
        <f t="shared" si="109"/>
        <v>7.6808821930374166E-2</v>
      </c>
      <c r="V389" s="21">
        <f t="shared" si="110"/>
        <v>396148626.10757154</v>
      </c>
      <c r="W389" s="21" t="str">
        <f t="shared" si="111"/>
        <v/>
      </c>
      <c r="X389" s="19" t="str">
        <f t="shared" si="112"/>
        <v/>
      </c>
      <c r="Y389" s="17">
        <f t="shared" si="113"/>
        <v>1176.9204680920011</v>
      </c>
      <c r="Z389" s="17">
        <f t="shared" si="114"/>
        <v>173387.43197475391</v>
      </c>
      <c r="AA389" s="20">
        <f t="shared" si="115"/>
        <v>4.3874823235493778E-2</v>
      </c>
      <c r="AB389" s="17">
        <f t="shared" si="116"/>
        <v>173387.43197475391</v>
      </c>
      <c r="AC389" s="18">
        <f t="shared" si="117"/>
        <v>10041058.838360198</v>
      </c>
      <c r="AD389" s="19">
        <f t="shared" si="118"/>
        <v>6.7420435594222278E-3</v>
      </c>
    </row>
    <row r="390" spans="1:30" x14ac:dyDescent="0.25">
      <c r="A390" s="8">
        <v>539</v>
      </c>
      <c r="B390" s="9">
        <v>45258</v>
      </c>
      <c r="C390" s="10">
        <v>2.166666666666667</v>
      </c>
      <c r="D390" s="11">
        <v>174462.38975663771</v>
      </c>
      <c r="E390" s="11">
        <v>2274.4911740829989</v>
      </c>
      <c r="F390" s="11">
        <v>163.61021829096251</v>
      </c>
      <c r="G390" s="11">
        <v>51427.727891857001</v>
      </c>
      <c r="H390" s="12">
        <v>6.9595434265075334E-2</v>
      </c>
      <c r="I390" s="13">
        <v>3992</v>
      </c>
      <c r="J390" s="13">
        <v>728291</v>
      </c>
      <c r="K390" s="12">
        <v>7.3730414704903713E-2</v>
      </c>
      <c r="L390" s="14">
        <v>56.142604166666644</v>
      </c>
      <c r="M390" s="15"/>
      <c r="N390" s="16">
        <f t="shared" si="102"/>
        <v>123034.6618647807</v>
      </c>
      <c r="O390" s="17">
        <f t="shared" si="103"/>
        <v>176900.49114901168</v>
      </c>
      <c r="P390" s="18">
        <f t="shared" si="104"/>
        <v>9931654.251467878</v>
      </c>
      <c r="Q390" s="19">
        <f t="shared" si="105"/>
        <v>1.2857461046657508E-2</v>
      </c>
      <c r="R390" s="20">
        <f t="shared" si="106"/>
        <v>6.9595434265075334E-2</v>
      </c>
      <c r="S390" s="20">
        <f t="shared" si="107"/>
        <v>9.6123398138539171E-4</v>
      </c>
      <c r="T390" s="20">
        <f t="shared" si="108"/>
        <v>6.9144124767404362E-5</v>
      </c>
      <c r="U390" s="20">
        <f t="shared" si="109"/>
        <v>7.4760792811056506E-2</v>
      </c>
      <c r="V390" s="21">
        <f t="shared" si="110"/>
        <v>398890104.92524523</v>
      </c>
      <c r="W390" s="21" t="str">
        <f t="shared" si="111"/>
        <v/>
      </c>
      <c r="X390" s="19" t="str">
        <f t="shared" si="112"/>
        <v/>
      </c>
      <c r="Y390" s="17">
        <f t="shared" si="113"/>
        <v>1137.2455870414994</v>
      </c>
      <c r="Z390" s="17">
        <f t="shared" si="114"/>
        <v>173325.14416959623</v>
      </c>
      <c r="AA390" s="20">
        <f t="shared" si="115"/>
        <v>4.3835796171754079E-2</v>
      </c>
      <c r="AB390" s="17">
        <f t="shared" si="116"/>
        <v>173325.14416959623</v>
      </c>
      <c r="AC390" s="18">
        <f t="shared" si="117"/>
        <v>9730924.961244069</v>
      </c>
      <c r="AD390" s="19">
        <f t="shared" si="118"/>
        <v>6.5185716453149238E-3</v>
      </c>
    </row>
    <row r="391" spans="1:30" x14ac:dyDescent="0.25">
      <c r="A391" s="8">
        <v>540</v>
      </c>
      <c r="B391" s="9">
        <v>45261</v>
      </c>
      <c r="C391" s="10">
        <v>2.166666666666667</v>
      </c>
      <c r="D391" s="11">
        <v>174360.46341057491</v>
      </c>
      <c r="E391" s="11">
        <v>2296.0350323060011</v>
      </c>
      <c r="F391" s="11">
        <v>113.69927298998461</v>
      </c>
      <c r="G391" s="11">
        <v>51516.150944809</v>
      </c>
      <c r="H391" s="12">
        <v>6.9214853625761824E-2</v>
      </c>
      <c r="I391" s="13">
        <v>4005</v>
      </c>
      <c r="J391" s="13">
        <v>724942</v>
      </c>
      <c r="K391" s="12">
        <v>7.4424719836358316E-2</v>
      </c>
      <c r="L391" s="14">
        <v>60.507638888888827</v>
      </c>
      <c r="M391" s="15"/>
      <c r="N391" s="16">
        <f t="shared" si="102"/>
        <v>122844.31246576592</v>
      </c>
      <c r="O391" s="17">
        <f t="shared" si="103"/>
        <v>176770.19771587092</v>
      </c>
      <c r="P391" s="18">
        <f t="shared" si="104"/>
        <v>10695947.289709399</v>
      </c>
      <c r="Q391" s="19">
        <f t="shared" si="105"/>
        <v>1.2988812944569427E-2</v>
      </c>
      <c r="R391" s="20">
        <f t="shared" si="106"/>
        <v>6.9214853625761824E-2</v>
      </c>
      <c r="S391" s="20">
        <f t="shared" si="107"/>
        <v>9.8004880619899826E-4</v>
      </c>
      <c r="T391" s="20">
        <f t="shared" si="108"/>
        <v>4.8531853909743662E-5</v>
      </c>
      <c r="U391" s="20">
        <f t="shared" si="109"/>
        <v>7.5453300496467049E-2</v>
      </c>
      <c r="V391" s="21">
        <f t="shared" si="110"/>
        <v>394938005.71435767</v>
      </c>
      <c r="W391" s="21" t="str">
        <f t="shared" si="111"/>
        <v/>
      </c>
      <c r="X391" s="19" t="str">
        <f t="shared" si="112"/>
        <v/>
      </c>
      <c r="Y391" s="17">
        <f t="shared" si="113"/>
        <v>1148.0175161530005</v>
      </c>
      <c r="Z391" s="17">
        <f t="shared" si="114"/>
        <v>173212.44589442192</v>
      </c>
      <c r="AA391" s="20">
        <f t="shared" si="115"/>
        <v>4.3777320656999678E-2</v>
      </c>
      <c r="AB391" s="17">
        <f t="shared" si="116"/>
        <v>173212.44589442192</v>
      </c>
      <c r="AC391" s="18">
        <f t="shared" si="117"/>
        <v>10480676.127240876</v>
      </c>
      <c r="AD391" s="19">
        <f t="shared" si="118"/>
        <v>6.5841618776253698E-3</v>
      </c>
    </row>
    <row r="392" spans="1:30" x14ac:dyDescent="0.25">
      <c r="A392" s="8">
        <v>541</v>
      </c>
      <c r="B392" s="9">
        <v>45263</v>
      </c>
      <c r="C392" s="10">
        <v>2.125</v>
      </c>
      <c r="D392" s="11">
        <v>174258.54214138139</v>
      </c>
      <c r="E392" s="11">
        <v>2182.026395622001</v>
      </c>
      <c r="F392" s="11">
        <v>181.75660367898141</v>
      </c>
      <c r="G392" s="11">
        <v>51547.861964613003</v>
      </c>
      <c r="H392" s="12">
        <v>6.8966246565254935E-2</v>
      </c>
      <c r="I392" s="13">
        <v>4007</v>
      </c>
      <c r="J392" s="13">
        <v>714598</v>
      </c>
      <c r="K392" s="12">
        <v>7.5843966727865419E-2</v>
      </c>
      <c r="L392" s="14">
        <v>63.526076388888882</v>
      </c>
      <c r="M392" s="15"/>
      <c r="N392" s="16">
        <f t="shared" si="102"/>
        <v>122710.68017676839</v>
      </c>
      <c r="O392" s="17">
        <f t="shared" si="103"/>
        <v>176622.32514068237</v>
      </c>
      <c r="P392" s="18">
        <f t="shared" si="104"/>
        <v>11220123.318870157</v>
      </c>
      <c r="Q392" s="19">
        <f t="shared" si="105"/>
        <v>1.2354193581609708E-2</v>
      </c>
      <c r="R392" s="20">
        <f t="shared" si="106"/>
        <v>6.8966246565254935E-2</v>
      </c>
      <c r="S392" s="20">
        <f t="shared" si="107"/>
        <v>9.4970114701527285E-4</v>
      </c>
      <c r="T392" s="20">
        <f t="shared" si="108"/>
        <v>7.9107409212767147E-5</v>
      </c>
      <c r="U392" s="20">
        <f t="shared" si="109"/>
        <v>7.6872775284093461E-2</v>
      </c>
      <c r="V392" s="21">
        <f t="shared" si="110"/>
        <v>394915634.50036824</v>
      </c>
      <c r="W392" s="21" t="str">
        <f t="shared" si="111"/>
        <v/>
      </c>
      <c r="X392" s="19" t="str">
        <f t="shared" si="112"/>
        <v/>
      </c>
      <c r="Y392" s="17">
        <f t="shared" si="113"/>
        <v>1091.0131978110005</v>
      </c>
      <c r="Z392" s="17">
        <f t="shared" si="114"/>
        <v>173167.52894357039</v>
      </c>
      <c r="AA392" s="20">
        <f t="shared" si="115"/>
        <v>4.3738380322711282E-2</v>
      </c>
      <c r="AB392" s="17">
        <f t="shared" si="116"/>
        <v>173167.52894357039</v>
      </c>
      <c r="AC392" s="18">
        <f t="shared" si="117"/>
        <v>11000653.671744378</v>
      </c>
      <c r="AD392" s="19">
        <f t="shared" si="118"/>
        <v>6.2608878991184686E-3</v>
      </c>
    </row>
    <row r="393" spans="1:30" x14ac:dyDescent="0.25">
      <c r="A393" s="8">
        <v>542</v>
      </c>
      <c r="B393" s="9">
        <v>45265</v>
      </c>
      <c r="C393" s="10">
        <v>2.166666666666667</v>
      </c>
      <c r="D393" s="11">
        <v>174156.6679932499</v>
      </c>
      <c r="E393" s="11">
        <v>2232.8491172999979</v>
      </c>
      <c r="F393" s="11">
        <v>122.3976636840073</v>
      </c>
      <c r="G393" s="11">
        <v>51755.510042453003</v>
      </c>
      <c r="H393" s="12">
        <v>6.8978308038494557E-2</v>
      </c>
      <c r="I393" s="13">
        <v>4015</v>
      </c>
      <c r="J393" s="13">
        <v>719945</v>
      </c>
      <c r="K393" s="12">
        <v>7.4599775633107268E-2</v>
      </c>
      <c r="L393" s="14">
        <v>60.6044097222224</v>
      </c>
      <c r="M393" s="15"/>
      <c r="N393" s="16">
        <f t="shared" si="102"/>
        <v>122401.15795079689</v>
      </c>
      <c r="O393" s="17">
        <f t="shared" si="103"/>
        <v>176511.91477423391</v>
      </c>
      <c r="P393" s="18">
        <f t="shared" si="104"/>
        <v>10697400.403831674</v>
      </c>
      <c r="Q393" s="19">
        <f t="shared" si="105"/>
        <v>1.2649849275930778E-2</v>
      </c>
      <c r="R393" s="20">
        <f t="shared" si="106"/>
        <v>6.8978308038494557E-2</v>
      </c>
      <c r="S393" s="20">
        <f t="shared" si="107"/>
        <v>9.5643793081535934E-4</v>
      </c>
      <c r="T393" s="20">
        <f t="shared" si="108"/>
        <v>5.2428875414620162E-5</v>
      </c>
      <c r="U393" s="20">
        <f t="shared" si="109"/>
        <v>7.5608642439337251E-2</v>
      </c>
      <c r="V393" s="21">
        <f t="shared" si="110"/>
        <v>393550717.47162104</v>
      </c>
      <c r="W393" s="21" t="str">
        <f t="shared" si="111"/>
        <v/>
      </c>
      <c r="X393" s="19" t="str">
        <f t="shared" si="112"/>
        <v/>
      </c>
      <c r="Y393" s="17">
        <f t="shared" si="113"/>
        <v>1116.424558649999</v>
      </c>
      <c r="Z393" s="17">
        <f t="shared" si="114"/>
        <v>173040.24343459989</v>
      </c>
      <c r="AA393" s="20">
        <f t="shared" si="115"/>
        <v>4.3699474626212764E-2</v>
      </c>
      <c r="AB393" s="17">
        <f t="shared" si="116"/>
        <v>173040.24343459989</v>
      </c>
      <c r="AC393" s="18">
        <f t="shared" si="117"/>
        <v>10487001.811543597</v>
      </c>
      <c r="AD393" s="19">
        <f t="shared" si="118"/>
        <v>6.4104611756425553E-3</v>
      </c>
    </row>
    <row r="394" spans="1:30" x14ac:dyDescent="0.25">
      <c r="A394" s="8">
        <v>543</v>
      </c>
      <c r="B394" s="9">
        <v>45267</v>
      </c>
      <c r="C394" s="10">
        <v>2.208333333333333</v>
      </c>
      <c r="D394" s="11">
        <v>174054.79004631529</v>
      </c>
      <c r="E394" s="11">
        <v>2359.5460198219998</v>
      </c>
      <c r="F394" s="11">
        <v>496.39026699606308</v>
      </c>
      <c r="G394" s="11">
        <v>51735.858889176998</v>
      </c>
      <c r="H394" s="12">
        <v>6.870005525803341E-2</v>
      </c>
      <c r="I394" s="13">
        <v>4022</v>
      </c>
      <c r="J394" s="13">
        <v>723689</v>
      </c>
      <c r="K394" s="12">
        <v>7.3077105698633474E-2</v>
      </c>
      <c r="L394" s="14">
        <v>64.467534722222155</v>
      </c>
      <c r="M394" s="15"/>
      <c r="N394" s="16">
        <f t="shared" si="102"/>
        <v>122318.93115713829</v>
      </c>
      <c r="O394" s="17">
        <f t="shared" si="103"/>
        <v>176910.72633313335</v>
      </c>
      <c r="P394" s="18">
        <f t="shared" si="104"/>
        <v>11404998.392614815</v>
      </c>
      <c r="Q394" s="19">
        <f t="shared" si="105"/>
        <v>1.3337495519513244E-2</v>
      </c>
      <c r="R394" s="20">
        <f t="shared" si="106"/>
        <v>6.870005525803341E-2</v>
      </c>
      <c r="S394" s="20">
        <f t="shared" si="107"/>
        <v>9.9065813612736302E-4</v>
      </c>
      <c r="T394" s="20">
        <f t="shared" si="108"/>
        <v>2.0841002996465434E-4</v>
      </c>
      <c r="U394" s="20">
        <f t="shared" si="109"/>
        <v>7.4276173864725487E-2</v>
      </c>
      <c r="V394" s="21">
        <f t="shared" si="110"/>
        <v>393940142.92044419</v>
      </c>
      <c r="W394" s="21" t="str">
        <f t="shared" si="111"/>
        <v/>
      </c>
      <c r="X394" s="19" t="str">
        <f t="shared" si="112"/>
        <v/>
      </c>
      <c r="Y394" s="17">
        <f t="shared" si="113"/>
        <v>1179.7730099109999</v>
      </c>
      <c r="Z394" s="17">
        <f t="shared" si="114"/>
        <v>172875.01703640429</v>
      </c>
      <c r="AA394" s="20">
        <f t="shared" si="115"/>
        <v>4.3660603536693501E-2</v>
      </c>
      <c r="AB394" s="17">
        <f t="shared" si="116"/>
        <v>172875.01703640429</v>
      </c>
      <c r="AC394" s="18">
        <f t="shared" si="117"/>
        <v>11144826.163399139</v>
      </c>
      <c r="AD394" s="19">
        <f t="shared" si="118"/>
        <v>6.7781703083096244E-3</v>
      </c>
    </row>
    <row r="395" spans="1:30" x14ac:dyDescent="0.25">
      <c r="A395" s="8">
        <v>544</v>
      </c>
      <c r="B395" s="9">
        <v>45270</v>
      </c>
      <c r="C395" s="10">
        <v>2.25</v>
      </c>
      <c r="D395" s="11">
        <v>173952.88513966571</v>
      </c>
      <c r="E395" s="11">
        <v>2393.9253199709979</v>
      </c>
      <c r="F395" s="11">
        <v>980.76266847696343</v>
      </c>
      <c r="G395" s="11">
        <v>51659.219195828002</v>
      </c>
      <c r="H395" s="12">
        <v>6.8497579306163181E-2</v>
      </c>
      <c r="I395" s="13">
        <v>4027</v>
      </c>
      <c r="J395" s="13">
        <v>730350</v>
      </c>
      <c r="K395" s="12">
        <v>7.171053966320462E-2</v>
      </c>
      <c r="L395" s="14">
        <v>73.106006944444644</v>
      </c>
      <c r="M395" s="15"/>
      <c r="N395" s="16">
        <f t="shared" si="102"/>
        <v>122293.66594383771</v>
      </c>
      <c r="O395" s="17">
        <f t="shared" si="103"/>
        <v>177327.57312811367</v>
      </c>
      <c r="P395" s="18">
        <f t="shared" si="104"/>
        <v>12963710.792545393</v>
      </c>
      <c r="Q395" s="19">
        <f t="shared" si="105"/>
        <v>1.3500017384445119E-2</v>
      </c>
      <c r="R395" s="20">
        <f t="shared" si="106"/>
        <v>6.8497579306163181E-2</v>
      </c>
      <c r="S395" s="20">
        <f t="shared" si="107"/>
        <v>9.8687455784764655E-4</v>
      </c>
      <c r="T395" s="20">
        <f t="shared" si="108"/>
        <v>4.0431074300112553E-4</v>
      </c>
      <c r="U395" s="20">
        <f t="shared" si="109"/>
        <v>7.3101724964053386E-2</v>
      </c>
      <c r="V395" s="21">
        <f t="shared" si="110"/>
        <v>393782445.65298927</v>
      </c>
      <c r="W395" s="21" t="str">
        <f t="shared" si="111"/>
        <v/>
      </c>
      <c r="X395" s="19" t="str">
        <f t="shared" si="112"/>
        <v/>
      </c>
      <c r="Y395" s="17">
        <f t="shared" si="113"/>
        <v>1196.9626599854989</v>
      </c>
      <c r="Z395" s="17">
        <f t="shared" si="114"/>
        <v>172755.92247968022</v>
      </c>
      <c r="AA395" s="20">
        <f t="shared" si="115"/>
        <v>4.360236172316985E-2</v>
      </c>
      <c r="AB395" s="17">
        <f t="shared" si="116"/>
        <v>172755.92247968022</v>
      </c>
      <c r="AC395" s="18">
        <f t="shared" si="117"/>
        <v>12629495.668493442</v>
      </c>
      <c r="AD395" s="19">
        <f t="shared" si="118"/>
        <v>6.8809589391085118E-3</v>
      </c>
    </row>
    <row r="396" spans="1:30" x14ac:dyDescent="0.25">
      <c r="A396" s="8">
        <v>545</v>
      </c>
      <c r="B396" s="9">
        <v>45272</v>
      </c>
      <c r="C396" s="10">
        <v>2.291666666666667</v>
      </c>
      <c r="D396" s="11">
        <v>173850.98179977809</v>
      </c>
      <c r="E396" s="11">
        <v>3061.3030212059989</v>
      </c>
      <c r="F396" s="11">
        <v>1869.344181714195</v>
      </c>
      <c r="G396" s="11">
        <v>51421.94697972</v>
      </c>
      <c r="H396" s="12">
        <v>6.8438995689525564E-2</v>
      </c>
      <c r="I396" s="13">
        <v>4035</v>
      </c>
      <c r="J396" s="13">
        <v>721186</v>
      </c>
      <c r="K396" s="12">
        <v>7.0357934481358173E-2</v>
      </c>
      <c r="L396" s="14">
        <v>69.905173611111195</v>
      </c>
      <c r="M396" s="15"/>
      <c r="N396" s="16">
        <f t="shared" si="102"/>
        <v>122429.03482005809</v>
      </c>
      <c r="O396" s="17">
        <f t="shared" si="103"/>
        <v>178781.62900269829</v>
      </c>
      <c r="P396" s="18">
        <f t="shared" si="104"/>
        <v>12497760.813910896</v>
      </c>
      <c r="Q396" s="19">
        <f t="shared" si="105"/>
        <v>1.7123140885799824E-2</v>
      </c>
      <c r="R396" s="20">
        <f t="shared" si="106"/>
        <v>6.8438995689525564E-2</v>
      </c>
      <c r="S396" s="20">
        <f t="shared" si="107"/>
        <v>1.2389171183494025E-3</v>
      </c>
      <c r="T396" s="20">
        <f t="shared" si="108"/>
        <v>7.5652834455447026E-4</v>
      </c>
      <c r="U396" s="20">
        <f t="shared" si="109"/>
        <v>7.2353379944262053E-2</v>
      </c>
      <c r="V396" s="21">
        <f t="shared" si="110"/>
        <v>393824602.38772953</v>
      </c>
      <c r="W396" s="21" t="str">
        <f t="shared" si="111"/>
        <v/>
      </c>
      <c r="X396" s="19" t="str">
        <f t="shared" si="112"/>
        <v/>
      </c>
      <c r="Y396" s="17">
        <f t="shared" si="113"/>
        <v>1530.6515106029995</v>
      </c>
      <c r="Z396" s="17">
        <f t="shared" si="114"/>
        <v>172320.33028917509</v>
      </c>
      <c r="AA396" s="20">
        <f t="shared" si="115"/>
        <v>4.3563577016481947E-2</v>
      </c>
      <c r="AB396" s="17">
        <f t="shared" si="116"/>
        <v>172320.33028917509</v>
      </c>
      <c r="AC396" s="18">
        <f t="shared" si="117"/>
        <v>12046082.605588809</v>
      </c>
      <c r="AD396" s="19">
        <f t="shared" si="118"/>
        <v>8.8043880728026647E-3</v>
      </c>
    </row>
    <row r="397" spans="1:30" x14ac:dyDescent="0.25">
      <c r="A397" s="8">
        <v>546</v>
      </c>
      <c r="B397" s="9">
        <v>45274</v>
      </c>
      <c r="C397" s="10">
        <v>2.291666666666667</v>
      </c>
      <c r="D397" s="11">
        <v>173748.88543996561</v>
      </c>
      <c r="E397" s="11">
        <v>3424.5591461369991</v>
      </c>
      <c r="F397" s="11">
        <v>4414.7858853190364</v>
      </c>
      <c r="G397" s="11">
        <v>51474.198097435998</v>
      </c>
      <c r="H397" s="12">
        <v>6.8048148603825825E-2</v>
      </c>
      <c r="I397" s="13">
        <v>4038</v>
      </c>
      <c r="J397" s="13">
        <v>738300</v>
      </c>
      <c r="K397" s="12">
        <v>7.0297380058418527E-2</v>
      </c>
      <c r="L397" s="14">
        <v>72.25614583333342</v>
      </c>
      <c r="M397" s="15"/>
      <c r="N397" s="16">
        <f t="shared" si="102"/>
        <v>122274.68734252962</v>
      </c>
      <c r="O397" s="17">
        <f t="shared" si="103"/>
        <v>181588.23047142164</v>
      </c>
      <c r="P397" s="18">
        <f t="shared" si="104"/>
        <v>13120865.662560001</v>
      </c>
      <c r="Q397" s="19">
        <f t="shared" si="105"/>
        <v>1.8858926799641657E-2</v>
      </c>
      <c r="R397" s="20">
        <f t="shared" si="106"/>
        <v>6.8048148603825825E-2</v>
      </c>
      <c r="S397" s="20">
        <f t="shared" si="107"/>
        <v>1.3855486624787957E-3</v>
      </c>
      <c r="T397" s="20">
        <f t="shared" si="108"/>
        <v>1.7861863140644237E-3</v>
      </c>
      <c r="U397" s="20">
        <f t="shared" si="109"/>
        <v>7.3469115034961743E-2</v>
      </c>
      <c r="V397" s="21">
        <f t="shared" si="110"/>
        <v>393932366.26277113</v>
      </c>
      <c r="W397" s="21" t="str">
        <f t="shared" si="111"/>
        <v/>
      </c>
      <c r="X397" s="19" t="str">
        <f t="shared" si="112"/>
        <v/>
      </c>
      <c r="Y397" s="17">
        <f t="shared" si="113"/>
        <v>1712.2795730684995</v>
      </c>
      <c r="Z397" s="17">
        <f t="shared" si="114"/>
        <v>172036.60586689712</v>
      </c>
      <c r="AA397" s="20">
        <f t="shared" si="115"/>
        <v>4.3524826809151741E-2</v>
      </c>
      <c r="AB397" s="17">
        <f t="shared" si="116"/>
        <v>172036.60586689712</v>
      </c>
      <c r="AC397" s="18">
        <f t="shared" si="117"/>
        <v>12430702.082190223</v>
      </c>
      <c r="AD397" s="19">
        <f t="shared" si="118"/>
        <v>9.854909680327895E-3</v>
      </c>
    </row>
    <row r="398" spans="1:30" x14ac:dyDescent="0.25">
      <c r="A398" s="8">
        <v>547</v>
      </c>
      <c r="B398" s="9">
        <v>45276</v>
      </c>
      <c r="C398" s="10">
        <v>2.25</v>
      </c>
      <c r="D398" s="11">
        <v>173646.6900512678</v>
      </c>
      <c r="E398" s="11">
        <v>3266.3956090790002</v>
      </c>
      <c r="F398" s="11">
        <v>2601.7024002873891</v>
      </c>
      <c r="G398" s="11">
        <v>51274.460570978998</v>
      </c>
      <c r="H398" s="12">
        <v>6.8109871963696306E-2</v>
      </c>
      <c r="I398" s="13">
        <v>4040</v>
      </c>
      <c r="J398" s="13">
        <v>746874</v>
      </c>
      <c r="K398" s="12">
        <v>7.1403206068700556E-2</v>
      </c>
      <c r="L398" s="14">
        <v>74.530312500000122</v>
      </c>
      <c r="M398" s="15"/>
      <c r="N398" s="16">
        <f t="shared" si="102"/>
        <v>122372.22948028881</v>
      </c>
      <c r="O398" s="17">
        <f t="shared" si="103"/>
        <v>179514.78806063416</v>
      </c>
      <c r="P398" s="18">
        <f t="shared" si="104"/>
        <v>13379293.252530355</v>
      </c>
      <c r="Q398" s="19">
        <f t="shared" si="105"/>
        <v>1.8195690975473952E-2</v>
      </c>
      <c r="R398" s="20">
        <f t="shared" si="106"/>
        <v>6.8109871963696306E-2</v>
      </c>
      <c r="S398" s="20">
        <f t="shared" si="107"/>
        <v>1.3431359889906735E-3</v>
      </c>
      <c r="T398" s="20">
        <f t="shared" si="108"/>
        <v>1.0698153391942354E-3</v>
      </c>
      <c r="U398" s="20">
        <f t="shared" si="109"/>
        <v>7.3816157396885462E-2</v>
      </c>
      <c r="V398" s="21">
        <f t="shared" si="110"/>
        <v>394781237.01057321</v>
      </c>
      <c r="W398" s="21" t="str">
        <f t="shared" si="111"/>
        <v/>
      </c>
      <c r="X398" s="19" t="str">
        <f t="shared" si="112"/>
        <v/>
      </c>
      <c r="Y398" s="17">
        <f t="shared" si="113"/>
        <v>1633.1978045395001</v>
      </c>
      <c r="Z398" s="17">
        <f t="shared" si="114"/>
        <v>172013.4922467283</v>
      </c>
      <c r="AA398" s="20">
        <f t="shared" si="115"/>
        <v>4.3486111070491704E-2</v>
      </c>
      <c r="AB398" s="17">
        <f t="shared" si="116"/>
        <v>172013.4922467283</v>
      </c>
      <c r="AC398" s="18">
        <f t="shared" si="117"/>
        <v>12820219.331365008</v>
      </c>
      <c r="AD398" s="19">
        <f t="shared" si="118"/>
        <v>9.4052918835211396E-3</v>
      </c>
    </row>
    <row r="399" spans="1:30" x14ac:dyDescent="0.25">
      <c r="A399" s="8">
        <v>548</v>
      </c>
      <c r="B399" s="9">
        <v>45279</v>
      </c>
      <c r="C399" s="10">
        <v>2.291666666666667</v>
      </c>
      <c r="D399" s="11">
        <v>173544.5562299109</v>
      </c>
      <c r="E399" s="11">
        <v>3869.998967208001</v>
      </c>
      <c r="F399" s="11">
        <v>4003.283078232128</v>
      </c>
      <c r="G399" s="11">
        <v>51280.283030065999</v>
      </c>
      <c r="H399" s="12">
        <v>6.7850567066777806E-2</v>
      </c>
      <c r="I399" s="13">
        <v>4023</v>
      </c>
      <c r="J399" s="13">
        <v>760240</v>
      </c>
      <c r="K399" s="12">
        <v>7.0126291086936604E-2</v>
      </c>
      <c r="L399" s="14">
        <v>74.509965277778093</v>
      </c>
      <c r="M399" s="15"/>
      <c r="N399" s="16">
        <f t="shared" si="102"/>
        <v>122264.2731998449</v>
      </c>
      <c r="O399" s="17">
        <f t="shared" si="103"/>
        <v>181417.83827535104</v>
      </c>
      <c r="P399" s="18">
        <f t="shared" si="104"/>
        <v>13517436.830665966</v>
      </c>
      <c r="Q399" s="19">
        <f t="shared" si="105"/>
        <v>2.1331964948971677E-2</v>
      </c>
      <c r="R399" s="20">
        <f t="shared" si="106"/>
        <v>6.7850567066777806E-2</v>
      </c>
      <c r="S399" s="20">
        <f t="shared" si="107"/>
        <v>1.5637982543286349E-3</v>
      </c>
      <c r="T399" s="20">
        <f t="shared" si="108"/>
        <v>1.6176560103423644E-3</v>
      </c>
      <c r="U399" s="20">
        <f t="shared" si="109"/>
        <v>7.3307745351607598E-2</v>
      </c>
      <c r="V399" s="21">
        <f t="shared" si="110"/>
        <v>394429057.61534792</v>
      </c>
      <c r="W399" s="21" t="str">
        <f t="shared" si="111"/>
        <v/>
      </c>
      <c r="X399" s="19" t="str">
        <f t="shared" si="112"/>
        <v/>
      </c>
      <c r="Y399" s="17">
        <f t="shared" si="113"/>
        <v>1934.9994836040005</v>
      </c>
      <c r="Z399" s="17">
        <f t="shared" si="114"/>
        <v>171609.55674630689</v>
      </c>
      <c r="AA399" s="20">
        <f t="shared" si="115"/>
        <v>4.3428102024196509E-2</v>
      </c>
      <c r="AB399" s="17">
        <f t="shared" si="116"/>
        <v>171609.55674630689</v>
      </c>
      <c r="AC399" s="18">
        <f t="shared" si="117"/>
        <v>12786622.114502216</v>
      </c>
      <c r="AD399" s="19">
        <f t="shared" si="118"/>
        <v>1.1149871396948478E-2</v>
      </c>
    </row>
    <row r="400" spans="1:30" x14ac:dyDescent="0.25">
      <c r="A400" s="8">
        <v>549</v>
      </c>
      <c r="B400" s="9">
        <v>45281</v>
      </c>
      <c r="C400" s="10">
        <v>2.25</v>
      </c>
      <c r="D400" s="11">
        <v>173442.25007455799</v>
      </c>
      <c r="E400" s="11">
        <v>5346.8181227449986</v>
      </c>
      <c r="F400" s="11">
        <v>6186.1397689155629</v>
      </c>
      <c r="G400" s="11">
        <v>51210.241255194</v>
      </c>
      <c r="H400" s="12">
        <v>6.7734956237045729E-2</v>
      </c>
      <c r="I400" s="13">
        <v>4022</v>
      </c>
      <c r="J400" s="13">
        <v>785758</v>
      </c>
      <c r="K400" s="12">
        <v>7.13340064210745E-2</v>
      </c>
      <c r="L400" s="14">
        <v>87.736215277777845</v>
      </c>
      <c r="M400" s="15"/>
      <c r="N400" s="16">
        <f t="shared" si="102"/>
        <v>122232.00881936398</v>
      </c>
      <c r="O400" s="17">
        <f t="shared" si="103"/>
        <v>184975.20796621856</v>
      </c>
      <c r="P400" s="18">
        <f t="shared" si="104"/>
        <v>16229024.667175878</v>
      </c>
      <c r="Q400" s="19">
        <f t="shared" si="105"/>
        <v>2.8905593249671985E-2</v>
      </c>
      <c r="R400" s="20">
        <f t="shared" si="106"/>
        <v>6.7734956237045729E-2</v>
      </c>
      <c r="S400" s="20">
        <f t="shared" si="107"/>
        <v>2.1990602528291214E-3</v>
      </c>
      <c r="T400" s="20">
        <f t="shared" si="108"/>
        <v>2.5442597395259358E-3</v>
      </c>
      <c r="U400" s="20">
        <f t="shared" si="109"/>
        <v>7.6077326413429555E-2</v>
      </c>
      <c r="V400" s="21">
        <f t="shared" si="110"/>
        <v>394698966.28599423</v>
      </c>
      <c r="W400" s="21" t="str">
        <f t="shared" si="111"/>
        <v/>
      </c>
      <c r="X400" s="19" t="str">
        <f t="shared" si="112"/>
        <v/>
      </c>
      <c r="Y400" s="17">
        <f t="shared" si="113"/>
        <v>2673.4090613724993</v>
      </c>
      <c r="Z400" s="17">
        <f t="shared" si="114"/>
        <v>170768.84101318548</v>
      </c>
      <c r="AA400" s="20">
        <f t="shared" si="115"/>
        <v>4.3389472323133199E-2</v>
      </c>
      <c r="AB400" s="17">
        <f t="shared" si="116"/>
        <v>170768.84101318548</v>
      </c>
      <c r="AC400" s="18">
        <f t="shared" si="117"/>
        <v>14982611.797869459</v>
      </c>
      <c r="AD400" s="19">
        <f t="shared" si="118"/>
        <v>1.541382829283681E-2</v>
      </c>
    </row>
    <row r="401" spans="1:30" x14ac:dyDescent="0.25">
      <c r="A401" s="8">
        <v>550</v>
      </c>
      <c r="B401" s="9">
        <v>45283</v>
      </c>
      <c r="C401" s="10">
        <v>2.25</v>
      </c>
      <c r="D401" s="11">
        <v>173339.504555297</v>
      </c>
      <c r="E401" s="11">
        <v>5417.358266066999</v>
      </c>
      <c r="F401" s="11">
        <v>3784.2621308774328</v>
      </c>
      <c r="G401" s="11">
        <v>51216.632673234999</v>
      </c>
      <c r="H401" s="12">
        <v>6.746526353929376E-2</v>
      </c>
      <c r="I401" s="13">
        <v>4032</v>
      </c>
      <c r="J401" s="13">
        <v>773630</v>
      </c>
      <c r="K401" s="12">
        <v>7.1207754535947895E-2</v>
      </c>
      <c r="L401" s="14">
        <v>97.917291666666728</v>
      </c>
      <c r="M401" s="15"/>
      <c r="N401" s="16">
        <f t="shared" si="102"/>
        <v>122122.871882062</v>
      </c>
      <c r="O401" s="17">
        <f t="shared" si="103"/>
        <v>182541.12495224143</v>
      </c>
      <c r="P401" s="18">
        <f t="shared" si="104"/>
        <v>17873932.573110081</v>
      </c>
      <c r="Q401" s="19">
        <f t="shared" si="105"/>
        <v>2.967746729666727E-2</v>
      </c>
      <c r="R401" s="20">
        <f t="shared" si="106"/>
        <v>6.746526353929376E-2</v>
      </c>
      <c r="S401" s="20">
        <f t="shared" si="107"/>
        <v>2.2254472148922444E-3</v>
      </c>
      <c r="T401" s="20">
        <f t="shared" si="108"/>
        <v>1.5545723959839758E-3</v>
      </c>
      <c r="U401" s="20">
        <f t="shared" si="109"/>
        <v>7.4987774146824115E-2</v>
      </c>
      <c r="V401" s="21">
        <f t="shared" si="110"/>
        <v>395164540.10081935</v>
      </c>
      <c r="W401" s="21" t="str">
        <f t="shared" si="111"/>
        <v/>
      </c>
      <c r="X401" s="19" t="str">
        <f t="shared" si="112"/>
        <v/>
      </c>
      <c r="Y401" s="17">
        <f t="shared" si="113"/>
        <v>2708.6791330334995</v>
      </c>
      <c r="Z401" s="17">
        <f t="shared" si="114"/>
        <v>170630.8254222635</v>
      </c>
      <c r="AA401" s="20">
        <f t="shared" si="115"/>
        <v>4.3350876983548614E-2</v>
      </c>
      <c r="AB401" s="17">
        <f t="shared" si="116"/>
        <v>170630.8254222635</v>
      </c>
      <c r="AC401" s="18">
        <f t="shared" si="117"/>
        <v>16707708.300195867</v>
      </c>
      <c r="AD401" s="19">
        <f t="shared" si="118"/>
        <v>1.5626438646992927E-2</v>
      </c>
    </row>
    <row r="402" spans="1:30" x14ac:dyDescent="0.25">
      <c r="A402" s="8">
        <v>551</v>
      </c>
      <c r="B402" s="9">
        <v>45286</v>
      </c>
      <c r="C402" s="10">
        <v>2.25</v>
      </c>
      <c r="D402" s="11">
        <v>173236.75145682489</v>
      </c>
      <c r="E402" s="11">
        <v>7123.2108173859997</v>
      </c>
      <c r="F402" s="11">
        <v>5078.6059053894551</v>
      </c>
      <c r="G402" s="11">
        <v>51960.813245204998</v>
      </c>
      <c r="H402" s="12">
        <v>6.6747002183555545E-2</v>
      </c>
      <c r="I402" s="13">
        <v>4038</v>
      </c>
      <c r="J402" s="13">
        <v>774444</v>
      </c>
      <c r="K402" s="12">
        <v>7.0873246631254577E-2</v>
      </c>
      <c r="L402" s="14">
        <v>113.8198263888884</v>
      </c>
      <c r="M402" s="15"/>
      <c r="N402" s="16">
        <f t="shared" si="102"/>
        <v>121275.93821161988</v>
      </c>
      <c r="O402" s="17">
        <f t="shared" si="103"/>
        <v>185438.56817960032</v>
      </c>
      <c r="P402" s="18">
        <f t="shared" si="104"/>
        <v>21106585.636006154</v>
      </c>
      <c r="Q402" s="19">
        <f t="shared" si="105"/>
        <v>3.8412779430474532E-2</v>
      </c>
      <c r="R402" s="20">
        <f t="shared" si="106"/>
        <v>6.6747002183555545E-2</v>
      </c>
      <c r="S402" s="20">
        <f t="shared" si="107"/>
        <v>2.914191548973019E-3</v>
      </c>
      <c r="T402" s="20">
        <f t="shared" si="108"/>
        <v>2.0777189935088257E-3</v>
      </c>
      <c r="U402" s="20">
        <f t="shared" si="109"/>
        <v>7.5865157173736417E-2</v>
      </c>
      <c r="V402" s="21">
        <f t="shared" si="110"/>
        <v>396794286.3707183</v>
      </c>
      <c r="W402" s="21" t="str">
        <f t="shared" si="111"/>
        <v/>
      </c>
      <c r="X402" s="19" t="str">
        <f t="shared" si="112"/>
        <v/>
      </c>
      <c r="Y402" s="17">
        <f t="shared" si="113"/>
        <v>3561.6054086929998</v>
      </c>
      <c r="Z402" s="17">
        <f t="shared" si="114"/>
        <v>169675.14604813189</v>
      </c>
      <c r="AA402" s="20">
        <f t="shared" si="115"/>
        <v>4.3293048335091192E-2</v>
      </c>
      <c r="AB402" s="17">
        <f t="shared" si="116"/>
        <v>169675.14604813189</v>
      </c>
      <c r="AC402" s="18">
        <f t="shared" si="117"/>
        <v>19312395.665707655</v>
      </c>
      <c r="AD402" s="19">
        <f t="shared" si="118"/>
        <v>2.0559179150739529E-2</v>
      </c>
    </row>
    <row r="403" spans="1:30" x14ac:dyDescent="0.25">
      <c r="A403" s="8">
        <v>552</v>
      </c>
      <c r="B403" s="9">
        <v>45288</v>
      </c>
      <c r="C403" s="10">
        <v>2.25</v>
      </c>
      <c r="D403" s="11">
        <v>173133.49053900709</v>
      </c>
      <c r="E403" s="11">
        <v>5744.6416182190014</v>
      </c>
      <c r="F403" s="11">
        <v>2850.6816768790218</v>
      </c>
      <c r="G403" s="11">
        <v>51835.000749960003</v>
      </c>
      <c r="H403" s="12">
        <v>6.6655785182904673E-2</v>
      </c>
      <c r="I403" s="13">
        <v>4044</v>
      </c>
      <c r="J403" s="13">
        <v>778120</v>
      </c>
      <c r="K403" s="12">
        <v>7.0917466755612502E-2</v>
      </c>
      <c r="L403" s="14">
        <v>103.0759722222226</v>
      </c>
      <c r="M403" s="15"/>
      <c r="N403" s="16">
        <f t="shared" si="102"/>
        <v>121298.48978904709</v>
      </c>
      <c r="O403" s="17">
        <f t="shared" si="103"/>
        <v>181728.81383410512</v>
      </c>
      <c r="P403" s="18">
        <f t="shared" si="104"/>
        <v>18731874.166741684</v>
      </c>
      <c r="Q403" s="19">
        <f t="shared" si="105"/>
        <v>3.1611066495284099E-2</v>
      </c>
      <c r="R403" s="20">
        <f t="shared" si="106"/>
        <v>6.6655785182904673E-2</v>
      </c>
      <c r="S403" s="20">
        <f t="shared" si="107"/>
        <v>2.3530712036974014E-3</v>
      </c>
      <c r="T403" s="20">
        <f t="shared" si="108"/>
        <v>1.1676719646875845E-3</v>
      </c>
      <c r="U403" s="20">
        <f t="shared" si="109"/>
        <v>7.4438209923997495E-2</v>
      </c>
      <c r="V403" s="21">
        <f t="shared" si="110"/>
        <v>396310498.90269607</v>
      </c>
      <c r="W403" s="21" t="str">
        <f t="shared" si="111"/>
        <v/>
      </c>
      <c r="X403" s="19" t="str">
        <f t="shared" si="112"/>
        <v/>
      </c>
      <c r="Y403" s="17">
        <f t="shared" si="113"/>
        <v>2872.3208091095007</v>
      </c>
      <c r="Z403" s="17">
        <f t="shared" si="114"/>
        <v>170261.16972989758</v>
      </c>
      <c r="AA403" s="20">
        <f t="shared" si="115"/>
        <v>4.3254538765541674E-2</v>
      </c>
      <c r="AB403" s="17">
        <f t="shared" si="116"/>
        <v>170261.16972989758</v>
      </c>
      <c r="AC403" s="18">
        <f t="shared" si="117"/>
        <v>17549835.601602051</v>
      </c>
      <c r="AD403" s="19">
        <f t="shared" si="118"/>
        <v>1.6590209093383726E-2</v>
      </c>
    </row>
    <row r="404" spans="1:30" x14ac:dyDescent="0.25">
      <c r="A404" s="8">
        <v>553</v>
      </c>
      <c r="B404" s="9">
        <v>45290</v>
      </c>
      <c r="C404" s="10">
        <v>2.25</v>
      </c>
      <c r="D404" s="11">
        <v>173030.66617607331</v>
      </c>
      <c r="E404" s="11">
        <v>5527.5811125439996</v>
      </c>
      <c r="F404" s="11">
        <v>1625.920384922842</v>
      </c>
      <c r="G404" s="11">
        <v>51777.143231062997</v>
      </c>
      <c r="H404" s="12">
        <v>6.633503761239179E-2</v>
      </c>
      <c r="I404" s="13">
        <v>4049</v>
      </c>
      <c r="J404" s="13">
        <v>773890</v>
      </c>
      <c r="K404" s="12">
        <v>7.0923209544329457E-2</v>
      </c>
      <c r="L404" s="14">
        <v>103.6530208333333</v>
      </c>
      <c r="M404" s="15"/>
      <c r="N404" s="16">
        <f t="shared" si="102"/>
        <v>121253.52294501031</v>
      </c>
      <c r="O404" s="17">
        <f t="shared" si="103"/>
        <v>180184.16767354016</v>
      </c>
      <c r="P404" s="18">
        <f t="shared" si="104"/>
        <v>18676633.285702277</v>
      </c>
      <c r="Q404" s="19">
        <f t="shared" si="105"/>
        <v>3.0677396265796991E-2</v>
      </c>
      <c r="R404" s="20">
        <f t="shared" si="106"/>
        <v>6.633503761239179E-2</v>
      </c>
      <c r="S404" s="20">
        <f t="shared" si="107"/>
        <v>2.2656896732935672E-3</v>
      </c>
      <c r="T404" s="20">
        <f t="shared" si="108"/>
        <v>6.6644540364270627E-4</v>
      </c>
      <c r="U404" s="20">
        <f t="shared" si="109"/>
        <v>7.3855344621265723E-2</v>
      </c>
      <c r="V404" s="21">
        <f t="shared" si="110"/>
        <v>396043058.2557444</v>
      </c>
      <c r="W404" s="21" t="str">
        <f t="shared" si="111"/>
        <v/>
      </c>
      <c r="X404" s="19" t="str">
        <f t="shared" si="112"/>
        <v/>
      </c>
      <c r="Y404" s="17">
        <f t="shared" si="113"/>
        <v>2763.7905562719998</v>
      </c>
      <c r="Z404" s="17">
        <f t="shared" si="114"/>
        <v>170266.87561980131</v>
      </c>
      <c r="AA404" s="20">
        <f t="shared" si="115"/>
        <v>4.3216063450612803E-2</v>
      </c>
      <c r="AB404" s="17">
        <f t="shared" si="116"/>
        <v>170266.87561980131</v>
      </c>
      <c r="AC404" s="18">
        <f t="shared" si="117"/>
        <v>17648676.005845837</v>
      </c>
      <c r="AD404" s="19">
        <f t="shared" si="118"/>
        <v>1.5972836592211982E-2</v>
      </c>
    </row>
    <row r="405" spans="1:30" x14ac:dyDescent="0.25">
      <c r="A405" s="8">
        <v>554</v>
      </c>
      <c r="B405" s="9">
        <v>45292</v>
      </c>
      <c r="C405" s="10">
        <v>2.291666666666667</v>
      </c>
      <c r="D405" s="11">
        <v>172927.92266461329</v>
      </c>
      <c r="E405" s="11">
        <v>5567.3942319150028</v>
      </c>
      <c r="F405" s="11">
        <v>3440.6065086402191</v>
      </c>
      <c r="G405" s="11">
        <v>51682.428484155003</v>
      </c>
      <c r="H405" s="12">
        <v>6.5975112408606651E-2</v>
      </c>
      <c r="I405" s="13">
        <v>4055</v>
      </c>
      <c r="J405" s="13">
        <v>781347</v>
      </c>
      <c r="K405" s="12">
        <v>6.9533319237436955E-2</v>
      </c>
      <c r="L405" s="14">
        <v>105.0400694444443</v>
      </c>
      <c r="M405" s="15"/>
      <c r="N405" s="16">
        <f t="shared" si="102"/>
        <v>121245.49418045828</v>
      </c>
      <c r="O405" s="17">
        <f t="shared" si="103"/>
        <v>181935.92340516852</v>
      </c>
      <c r="P405" s="18">
        <f t="shared" si="104"/>
        <v>19110562.028918002</v>
      </c>
      <c r="Q405" s="19">
        <f t="shared" si="105"/>
        <v>3.0600851814825494E-2</v>
      </c>
      <c r="R405" s="20">
        <f t="shared" si="106"/>
        <v>6.5975112408606651E-2</v>
      </c>
      <c r="S405" s="20">
        <f t="shared" si="107"/>
        <v>2.2386170751568756E-3</v>
      </c>
      <c r="T405" s="20">
        <f t="shared" si="108"/>
        <v>1.3834480114566219E-3</v>
      </c>
      <c r="U405" s="20">
        <f t="shared" si="109"/>
        <v>7.3155384324050457E-2</v>
      </c>
      <c r="V405" s="21">
        <f t="shared" si="110"/>
        <v>396379275.87745112</v>
      </c>
      <c r="W405" s="21" t="str">
        <f t="shared" si="111"/>
        <v/>
      </c>
      <c r="X405" s="19" t="str">
        <f t="shared" si="112"/>
        <v/>
      </c>
      <c r="Y405" s="17">
        <f t="shared" si="113"/>
        <v>2783.6971159575014</v>
      </c>
      <c r="Z405" s="17">
        <f t="shared" si="114"/>
        <v>170144.22554865578</v>
      </c>
      <c r="AA405" s="20">
        <f t="shared" si="115"/>
        <v>4.3177622359834758E-2</v>
      </c>
      <c r="AB405" s="17">
        <f t="shared" si="116"/>
        <v>170144.22554865578</v>
      </c>
      <c r="AC405" s="18">
        <f t="shared" si="117"/>
        <v>17871961.267201997</v>
      </c>
      <c r="AD405" s="19">
        <f t="shared" si="118"/>
        <v>1.6097441483503908E-2</v>
      </c>
    </row>
    <row r="406" spans="1:30" x14ac:dyDescent="0.25">
      <c r="A406" s="8">
        <v>555</v>
      </c>
      <c r="B406" s="9">
        <v>45295</v>
      </c>
      <c r="C406" s="10">
        <v>2.25</v>
      </c>
      <c r="D406" s="11">
        <v>172825.18105108189</v>
      </c>
      <c r="E406" s="11">
        <v>4966.8368260450043</v>
      </c>
      <c r="F406" s="11">
        <v>3336.5335462540079</v>
      </c>
      <c r="G406" s="11">
        <v>51241.830391566</v>
      </c>
      <c r="H406" s="12">
        <v>6.537776653354882E-2</v>
      </c>
      <c r="I406" s="13">
        <v>4061</v>
      </c>
      <c r="J406" s="13">
        <v>781146</v>
      </c>
      <c r="K406" s="12">
        <v>7.0977896692002163E-2</v>
      </c>
      <c r="L406" s="14">
        <v>101.57309027777779</v>
      </c>
      <c r="M406" s="15"/>
      <c r="N406" s="16">
        <f t="shared" si="102"/>
        <v>121583.35065951588</v>
      </c>
      <c r="O406" s="17">
        <f t="shared" si="103"/>
        <v>181128.55142338091</v>
      </c>
      <c r="P406" s="18">
        <f t="shared" si="104"/>
        <v>18397786.705610186</v>
      </c>
      <c r="Q406" s="19">
        <f t="shared" si="105"/>
        <v>2.7421611816655107E-2</v>
      </c>
      <c r="R406" s="20">
        <f t="shared" si="106"/>
        <v>6.537776653354882E-2</v>
      </c>
      <c r="S406" s="20">
        <f t="shared" si="107"/>
        <v>2.0398395012868834E-3</v>
      </c>
      <c r="T406" s="20">
        <f t="shared" si="108"/>
        <v>1.370287199556989E-3</v>
      </c>
      <c r="U406" s="20">
        <f t="shared" si="109"/>
        <v>7.4388023392846045E-2</v>
      </c>
      <c r="V406" s="21">
        <f t="shared" si="110"/>
        <v>395267950.0450772</v>
      </c>
      <c r="W406" s="21" t="str">
        <f t="shared" si="111"/>
        <v/>
      </c>
      <c r="X406" s="19" t="str">
        <f t="shared" si="112"/>
        <v/>
      </c>
      <c r="Y406" s="17">
        <f t="shared" si="113"/>
        <v>2483.4184130225021</v>
      </c>
      <c r="Z406" s="17">
        <f t="shared" si="114"/>
        <v>170341.76263805939</v>
      </c>
      <c r="AA406" s="20">
        <f t="shared" si="115"/>
        <v>4.3120024827364489E-2</v>
      </c>
      <c r="AB406" s="17">
        <f t="shared" si="116"/>
        <v>170341.76263805939</v>
      </c>
      <c r="AC406" s="18">
        <f t="shared" si="117"/>
        <v>17302139.234511402</v>
      </c>
      <c r="AD406" s="19">
        <f t="shared" si="118"/>
        <v>1.4369540352389267E-2</v>
      </c>
    </row>
    <row r="407" spans="1:30" x14ac:dyDescent="0.25">
      <c r="A407" s="8">
        <v>556</v>
      </c>
      <c r="B407" s="9">
        <v>45297</v>
      </c>
      <c r="C407" s="10">
        <v>2.291666666666667</v>
      </c>
      <c r="D407" s="11">
        <v>172722.6376995125</v>
      </c>
      <c r="E407" s="11">
        <v>4733.1758539029979</v>
      </c>
      <c r="F407" s="11">
        <v>2048.6893438578022</v>
      </c>
      <c r="G407" s="11">
        <v>51566.987187291998</v>
      </c>
      <c r="H407" s="12">
        <v>6.450271713941963E-2</v>
      </c>
      <c r="I407" s="13">
        <v>4061</v>
      </c>
      <c r="J407" s="13">
        <v>775670</v>
      </c>
      <c r="K407" s="12">
        <v>6.9398917849548325E-2</v>
      </c>
      <c r="L407" s="14">
        <v>95.804756944444492</v>
      </c>
      <c r="M407" s="15"/>
      <c r="N407" s="16">
        <f t="shared" si="102"/>
        <v>121155.65051222051</v>
      </c>
      <c r="O407" s="17">
        <f t="shared" si="103"/>
        <v>179504.50289727331</v>
      </c>
      <c r="P407" s="18">
        <f t="shared" si="104"/>
        <v>17197385.270506602</v>
      </c>
      <c r="Q407" s="19">
        <f t="shared" si="105"/>
        <v>2.6368006247797005E-2</v>
      </c>
      <c r="R407" s="20">
        <f t="shared" si="106"/>
        <v>6.450271713941963E-2</v>
      </c>
      <c r="S407" s="20">
        <f t="shared" si="107"/>
        <v>1.9017616140388932E-3</v>
      </c>
      <c r="T407" s="20">
        <f t="shared" si="108"/>
        <v>8.2315106674655635E-4</v>
      </c>
      <c r="U407" s="20">
        <f t="shared" si="109"/>
        <v>7.2123830530333777E-2</v>
      </c>
      <c r="V407" s="21">
        <f t="shared" si="110"/>
        <v>396675465.42135191</v>
      </c>
      <c r="W407" s="21" t="str">
        <f t="shared" si="111"/>
        <v/>
      </c>
      <c r="X407" s="19" t="str">
        <f t="shared" si="112"/>
        <v/>
      </c>
      <c r="Y407" s="17">
        <f t="shared" si="113"/>
        <v>2366.587926951499</v>
      </c>
      <c r="Z407" s="17">
        <f t="shared" si="114"/>
        <v>170356.049772561</v>
      </c>
      <c r="AA407" s="20">
        <f t="shared" si="115"/>
        <v>4.3081669163835941E-2</v>
      </c>
      <c r="AB407" s="17">
        <f t="shared" si="116"/>
        <v>170356.049772561</v>
      </c>
      <c r="AC407" s="18">
        <f t="shared" si="117"/>
        <v>16320919.942475894</v>
      </c>
      <c r="AD407" s="19">
        <f t="shared" si="118"/>
        <v>1.3701666200053511E-2</v>
      </c>
    </row>
    <row r="408" spans="1:30" x14ac:dyDescent="0.25">
      <c r="A408" s="8">
        <v>557</v>
      </c>
      <c r="B408" s="9">
        <v>45299</v>
      </c>
      <c r="C408" s="10">
        <v>2.25</v>
      </c>
      <c r="D408" s="11">
        <v>172620.17990785779</v>
      </c>
      <c r="E408" s="11">
        <v>4210.3516436669979</v>
      </c>
      <c r="F408" s="11">
        <v>2226.6927639925661</v>
      </c>
      <c r="G408" s="11">
        <v>52046.470629652998</v>
      </c>
      <c r="H408" s="12">
        <v>6.3894829426348707E-2</v>
      </c>
      <c r="I408" s="13">
        <v>4063</v>
      </c>
      <c r="J408" s="13">
        <v>775273</v>
      </c>
      <c r="K408" s="12">
        <v>7.0695069953501097E-2</v>
      </c>
      <c r="L408" s="14">
        <v>92.885520833333331</v>
      </c>
      <c r="M408" s="15"/>
      <c r="N408" s="16">
        <f t="shared" si="102"/>
        <v>120573.7092782048</v>
      </c>
      <c r="O408" s="17">
        <f t="shared" si="103"/>
        <v>179057.22431551735</v>
      </c>
      <c r="P408" s="18">
        <f t="shared" si="104"/>
        <v>16631823.539517825</v>
      </c>
      <c r="Q408" s="19">
        <f t="shared" si="105"/>
        <v>2.3514000397146351E-2</v>
      </c>
      <c r="R408" s="20">
        <f t="shared" si="106"/>
        <v>6.3894829426348707E-2</v>
      </c>
      <c r="S408" s="20">
        <f t="shared" si="107"/>
        <v>1.7243123262689142E-3</v>
      </c>
      <c r="T408" s="20">
        <f t="shared" si="108"/>
        <v>9.1192235345505777E-4</v>
      </c>
      <c r="U408" s="20">
        <f t="shared" si="109"/>
        <v>7.333130463322507E-2</v>
      </c>
      <c r="V408" s="21">
        <f t="shared" si="110"/>
        <v>396378548.36940426</v>
      </c>
      <c r="W408" s="21" t="str">
        <f t="shared" si="111"/>
        <v/>
      </c>
      <c r="X408" s="19" t="str">
        <f t="shared" si="112"/>
        <v/>
      </c>
      <c r="Y408" s="17">
        <f t="shared" si="113"/>
        <v>2105.175821833499</v>
      </c>
      <c r="Z408" s="17">
        <f t="shared" si="114"/>
        <v>170515.0040860243</v>
      </c>
      <c r="AA408" s="20">
        <f t="shared" si="115"/>
        <v>4.3043347618027181E-2</v>
      </c>
      <c r="AB408" s="17">
        <f t="shared" si="116"/>
        <v>170515.0040860243</v>
      </c>
      <c r="AC408" s="18">
        <f t="shared" si="117"/>
        <v>15838374.964428328</v>
      </c>
      <c r="AD408" s="19">
        <f t="shared" si="118"/>
        <v>1.219542131723656E-2</v>
      </c>
    </row>
    <row r="409" spans="1:30" x14ac:dyDescent="0.25">
      <c r="A409" s="8">
        <v>558</v>
      </c>
      <c r="B409" s="9">
        <v>45301</v>
      </c>
      <c r="C409" s="10">
        <v>2.166666666666667</v>
      </c>
      <c r="D409" s="11">
        <v>172517.8957455623</v>
      </c>
      <c r="E409" s="11">
        <v>3910.7824516830001</v>
      </c>
      <c r="F409" s="11">
        <v>4156.2312262771757</v>
      </c>
      <c r="G409" s="11">
        <v>51853.653963905002</v>
      </c>
      <c r="H409" s="12">
        <v>6.3248184422973031E-2</v>
      </c>
      <c r="I409" s="13">
        <v>4065</v>
      </c>
      <c r="J409" s="13">
        <v>779084</v>
      </c>
      <c r="K409" s="12">
        <v>7.320932323901011E-2</v>
      </c>
      <c r="L409" s="14">
        <v>97.63104166666659</v>
      </c>
      <c r="M409" s="15"/>
      <c r="N409" s="16">
        <f t="shared" si="102"/>
        <v>120664.2417816573</v>
      </c>
      <c r="O409" s="17">
        <f t="shared" si="103"/>
        <v>180584.90942352248</v>
      </c>
      <c r="P409" s="18">
        <f t="shared" si="104"/>
        <v>17630692.816299137</v>
      </c>
      <c r="Q409" s="19">
        <f t="shared" si="105"/>
        <v>2.1656197431819253E-2</v>
      </c>
      <c r="R409" s="20">
        <f t="shared" si="106"/>
        <v>6.3248184422973031E-2</v>
      </c>
      <c r="S409" s="20">
        <f t="shared" si="107"/>
        <v>1.6595712310621194E-3</v>
      </c>
      <c r="T409" s="20">
        <f t="shared" si="108"/>
        <v>1.7637293452115389E-3</v>
      </c>
      <c r="U409" s="20">
        <f t="shared" si="109"/>
        <v>7.6632623815283768E-2</v>
      </c>
      <c r="V409" s="21">
        <f t="shared" si="110"/>
        <v>397251808.29148072</v>
      </c>
      <c r="W409" s="21" t="str">
        <f t="shared" si="111"/>
        <v/>
      </c>
      <c r="X409" s="19" t="str">
        <f t="shared" si="112"/>
        <v/>
      </c>
      <c r="Y409" s="17">
        <f t="shared" si="113"/>
        <v>1955.3912258415</v>
      </c>
      <c r="Z409" s="17">
        <f t="shared" si="114"/>
        <v>170562.50451972079</v>
      </c>
      <c r="AA409" s="20">
        <f t="shared" si="115"/>
        <v>4.3005060159590193E-2</v>
      </c>
      <c r="AB409" s="17">
        <f t="shared" si="116"/>
        <v>170562.50451972079</v>
      </c>
      <c r="AC409" s="18">
        <f t="shared" si="117"/>
        <v>16652194.985535869</v>
      </c>
      <c r="AD409" s="19">
        <f t="shared" si="118"/>
        <v>1.1334425436798773E-2</v>
      </c>
    </row>
    <row r="410" spans="1:30" x14ac:dyDescent="0.25">
      <c r="A410" s="8">
        <v>559</v>
      </c>
      <c r="B410" s="9">
        <v>45304</v>
      </c>
      <c r="C410" s="10">
        <v>2.166666666666667</v>
      </c>
      <c r="D410" s="11">
        <v>172415.716922438</v>
      </c>
      <c r="E410" s="11">
        <v>4130.7453627860004</v>
      </c>
      <c r="F410" s="11">
        <v>2293.238360808627</v>
      </c>
      <c r="G410" s="11">
        <v>51328.874939906003</v>
      </c>
      <c r="H410" s="12">
        <v>6.3840196175908248E-2</v>
      </c>
      <c r="I410" s="13">
        <v>4075</v>
      </c>
      <c r="J410" s="13">
        <v>780508</v>
      </c>
      <c r="K410" s="12">
        <v>7.3062194682815579E-2</v>
      </c>
      <c r="L410" s="14">
        <v>92.921701388888849</v>
      </c>
      <c r="M410" s="15"/>
      <c r="N410" s="16">
        <f t="shared" si="102"/>
        <v>121086.841982532</v>
      </c>
      <c r="O410" s="17">
        <f t="shared" si="103"/>
        <v>178839.70064603264</v>
      </c>
      <c r="P410" s="18">
        <f t="shared" si="104"/>
        <v>16618089.259908916</v>
      </c>
      <c r="Q410" s="19">
        <f t="shared" si="105"/>
        <v>2.3097474150673918E-2</v>
      </c>
      <c r="R410" s="20">
        <f t="shared" si="106"/>
        <v>6.3840196175908248E-2</v>
      </c>
      <c r="S410" s="20">
        <f t="shared" si="107"/>
        <v>1.7504281353699046E-3</v>
      </c>
      <c r="T410" s="20">
        <f t="shared" si="108"/>
        <v>9.7177351671990243E-4</v>
      </c>
      <c r="U410" s="20">
        <f t="shared" si="109"/>
        <v>7.5784396334905385E-2</v>
      </c>
      <c r="V410" s="21">
        <f t="shared" si="110"/>
        <v>397816013.80943203</v>
      </c>
      <c r="W410" s="21" t="str">
        <f t="shared" si="111"/>
        <v/>
      </c>
      <c r="X410" s="19" t="str">
        <f t="shared" si="112"/>
        <v/>
      </c>
      <c r="Y410" s="17">
        <f t="shared" si="113"/>
        <v>2065.3726813930002</v>
      </c>
      <c r="Z410" s="17">
        <f t="shared" si="114"/>
        <v>170350.34424104501</v>
      </c>
      <c r="AA410" s="20">
        <f t="shared" si="115"/>
        <v>4.2947692819436882E-2</v>
      </c>
      <c r="AB410" s="17">
        <f t="shared" si="116"/>
        <v>170350.34424104501</v>
      </c>
      <c r="AC410" s="18">
        <f t="shared" si="117"/>
        <v>15829243.819060806</v>
      </c>
      <c r="AD410" s="19">
        <f t="shared" si="118"/>
        <v>1.1979027888287688E-2</v>
      </c>
    </row>
    <row r="411" spans="1:30" x14ac:dyDescent="0.25">
      <c r="A411" s="8">
        <v>560</v>
      </c>
      <c r="B411" s="9">
        <v>45306</v>
      </c>
      <c r="C411" s="10">
        <v>2.166666666666667</v>
      </c>
      <c r="D411" s="11">
        <v>172313.48549645589</v>
      </c>
      <c r="E411" s="11">
        <v>5498.3778891270049</v>
      </c>
      <c r="F411" s="11">
        <v>3176.8035592829692</v>
      </c>
      <c r="G411" s="11">
        <v>51708.129944287</v>
      </c>
      <c r="H411" s="12">
        <v>6.3469898862183349E-2</v>
      </c>
      <c r="I411" s="13">
        <v>4072</v>
      </c>
      <c r="J411" s="13">
        <v>797401</v>
      </c>
      <c r="K411" s="12">
        <v>7.2767125748881514E-2</v>
      </c>
      <c r="L411" s="14">
        <v>95.357048611111153</v>
      </c>
      <c r="M411" s="15"/>
      <c r="N411" s="16">
        <f t="shared" si="102"/>
        <v>120605.35555216888</v>
      </c>
      <c r="O411" s="17">
        <f t="shared" si="103"/>
        <v>180988.66694486586</v>
      </c>
      <c r="P411" s="18">
        <f t="shared" si="104"/>
        <v>17258545.11192178</v>
      </c>
      <c r="Q411" s="19">
        <f t="shared" si="105"/>
        <v>3.0379680573049152E-2</v>
      </c>
      <c r="R411" s="20">
        <f t="shared" si="106"/>
        <v>6.3469898862183349E-2</v>
      </c>
      <c r="S411" s="20">
        <f t="shared" si="107"/>
        <v>2.3219375669886479E-3</v>
      </c>
      <c r="T411" s="20">
        <f t="shared" si="108"/>
        <v>1.3415483031511935E-3</v>
      </c>
      <c r="U411" s="20">
        <f t="shared" si="109"/>
        <v>7.6430611619021357E-2</v>
      </c>
      <c r="V411" s="21">
        <f t="shared" si="110"/>
        <v>399192312.3347913</v>
      </c>
      <c r="W411" s="21" t="str">
        <f t="shared" si="111"/>
        <v/>
      </c>
      <c r="X411" s="19" t="str">
        <f t="shared" si="112"/>
        <v/>
      </c>
      <c r="Y411" s="17">
        <f t="shared" si="113"/>
        <v>2749.1889445635024</v>
      </c>
      <c r="Z411" s="17">
        <f t="shared" si="114"/>
        <v>169564.29655189239</v>
      </c>
      <c r="AA411" s="20">
        <f t="shared" si="115"/>
        <v>4.2909490446833794E-2</v>
      </c>
      <c r="AB411" s="17">
        <f t="shared" si="116"/>
        <v>169564.29655189239</v>
      </c>
      <c r="AC411" s="18">
        <f t="shared" si="117"/>
        <v>16169150.869007669</v>
      </c>
      <c r="AD411" s="19">
        <f t="shared" si="118"/>
        <v>1.5954577998598066E-2</v>
      </c>
    </row>
    <row r="412" spans="1:30" x14ac:dyDescent="0.25">
      <c r="A412" s="8">
        <v>561</v>
      </c>
      <c r="B412" s="9">
        <v>45308</v>
      </c>
      <c r="C412" s="10">
        <v>2.166666666666667</v>
      </c>
      <c r="D412" s="11">
        <v>172210.85326009709</v>
      </c>
      <c r="E412" s="11">
        <v>5523.9315020469976</v>
      </c>
      <c r="F412" s="11">
        <v>3678.4458045120859</v>
      </c>
      <c r="G412" s="11">
        <v>51371.755339212999</v>
      </c>
      <c r="H412" s="12">
        <v>6.3690322101580266E-2</v>
      </c>
      <c r="I412" s="13">
        <v>4085</v>
      </c>
      <c r="J412" s="13">
        <v>795379</v>
      </c>
      <c r="K412" s="12">
        <v>7.3149624113214906E-2</v>
      </c>
      <c r="L412" s="14">
        <v>99.957569444444502</v>
      </c>
      <c r="M412" s="15"/>
      <c r="N412" s="16">
        <f t="shared" si="102"/>
        <v>120839.09792088409</v>
      </c>
      <c r="O412" s="17">
        <f t="shared" si="103"/>
        <v>181413.23056665619</v>
      </c>
      <c r="P412" s="18">
        <f t="shared" si="104"/>
        <v>18133625.592507556</v>
      </c>
      <c r="Q412" s="19">
        <f t="shared" si="105"/>
        <v>3.0449441227592019E-2</v>
      </c>
      <c r="R412" s="20">
        <f t="shared" si="106"/>
        <v>6.3690322101580266E-2</v>
      </c>
      <c r="S412" s="20">
        <f t="shared" si="107"/>
        <v>2.3463881941958426E-3</v>
      </c>
      <c r="T412" s="20">
        <f t="shared" si="108"/>
        <v>1.5624853069771021E-3</v>
      </c>
      <c r="U412" s="20">
        <f t="shared" si="109"/>
        <v>7.705849761438785E-2</v>
      </c>
      <c r="V412" s="21">
        <f t="shared" si="110"/>
        <v>396868420.2410562</v>
      </c>
      <c r="W412" s="21" t="str">
        <f t="shared" si="111"/>
        <v/>
      </c>
      <c r="X412" s="19" t="str">
        <f t="shared" si="112"/>
        <v/>
      </c>
      <c r="Y412" s="17">
        <f t="shared" si="113"/>
        <v>2761.9657510234988</v>
      </c>
      <c r="Z412" s="17">
        <f t="shared" si="114"/>
        <v>169448.8875090736</v>
      </c>
      <c r="AA412" s="20">
        <f t="shared" si="115"/>
        <v>4.2871322055596774E-2</v>
      </c>
      <c r="AB412" s="17">
        <f t="shared" si="116"/>
        <v>169448.8875090736</v>
      </c>
      <c r="AC412" s="18">
        <f t="shared" si="117"/>
        <v>16937698.940472089</v>
      </c>
      <c r="AD412" s="19">
        <f t="shared" si="118"/>
        <v>1.6038279230008744E-2</v>
      </c>
    </row>
    <row r="413" spans="1:30" x14ac:dyDescent="0.25">
      <c r="A413" s="8">
        <v>562</v>
      </c>
      <c r="B413" s="9">
        <v>45310</v>
      </c>
      <c r="C413" s="10">
        <v>2.083333333333333</v>
      </c>
      <c r="D413" s="11">
        <v>172108.22841809451</v>
      </c>
      <c r="E413" s="11">
        <v>5956.4174429699997</v>
      </c>
      <c r="F413" s="11">
        <v>4934.8231060213011</v>
      </c>
      <c r="G413" s="11">
        <v>51066.014099489003</v>
      </c>
      <c r="H413" s="12">
        <v>6.3270409930279617E-2</v>
      </c>
      <c r="I413" s="13">
        <v>4096</v>
      </c>
      <c r="J413" s="13">
        <v>799444</v>
      </c>
      <c r="K413" s="12">
        <v>7.6093641284730076E-2</v>
      </c>
      <c r="L413" s="14">
        <v>93.385659722222201</v>
      </c>
      <c r="M413" s="15"/>
      <c r="N413" s="16">
        <f t="shared" si="102"/>
        <v>121042.21431860552</v>
      </c>
      <c r="O413" s="17">
        <f t="shared" si="103"/>
        <v>182999.46896708582</v>
      </c>
      <c r="P413" s="18">
        <f t="shared" si="104"/>
        <v>17089526.138307638</v>
      </c>
      <c r="Q413" s="19">
        <f t="shared" si="105"/>
        <v>3.2548823647358872E-2</v>
      </c>
      <c r="R413" s="20">
        <f t="shared" si="106"/>
        <v>6.3270409930279617E-2</v>
      </c>
      <c r="S413" s="20">
        <f t="shared" si="107"/>
        <v>2.6334911259816131E-3</v>
      </c>
      <c r="T413" s="20">
        <f t="shared" si="108"/>
        <v>2.1818170036645582E-3</v>
      </c>
      <c r="U413" s="20">
        <f t="shared" si="109"/>
        <v>8.0908949414376249E-2</v>
      </c>
      <c r="V413" s="21">
        <f t="shared" si="110"/>
        <v>396537924.80969679</v>
      </c>
      <c r="W413" s="21" t="str">
        <f t="shared" si="111"/>
        <v/>
      </c>
      <c r="X413" s="19" t="str">
        <f t="shared" si="112"/>
        <v/>
      </c>
      <c r="Y413" s="17">
        <f t="shared" si="113"/>
        <v>2978.2087214849998</v>
      </c>
      <c r="Z413" s="17">
        <f t="shared" si="114"/>
        <v>169130.01969660952</v>
      </c>
      <c r="AA413" s="20">
        <f t="shared" si="115"/>
        <v>4.2833187615499119E-2</v>
      </c>
      <c r="AB413" s="17">
        <f t="shared" si="116"/>
        <v>169130.01969660952</v>
      </c>
      <c r="AC413" s="18">
        <f t="shared" si="117"/>
        <v>15794318.468200315</v>
      </c>
      <c r="AD413" s="19">
        <f t="shared" si="118"/>
        <v>1.7304278527870125E-2</v>
      </c>
    </row>
    <row r="414" spans="1:30" x14ac:dyDescent="0.25">
      <c r="A414" s="8">
        <v>563</v>
      </c>
      <c r="B414" s="9">
        <v>45312</v>
      </c>
      <c r="C414" s="10">
        <v>2.041666666666667</v>
      </c>
      <c r="D414" s="11">
        <v>172005.4876694628</v>
      </c>
      <c r="E414" s="11">
        <v>5467.897724636</v>
      </c>
      <c r="F414" s="11">
        <v>4843.0859977805376</v>
      </c>
      <c r="G414" s="11">
        <v>51103.720259203998</v>
      </c>
      <c r="H414" s="12">
        <v>6.3198919364665707E-2</v>
      </c>
      <c r="I414" s="13">
        <v>4107</v>
      </c>
      <c r="J414" s="13">
        <v>800306</v>
      </c>
      <c r="K414" s="12">
        <v>7.7588231464710972E-2</v>
      </c>
      <c r="L414" s="14">
        <v>92.701041666666683</v>
      </c>
      <c r="M414" s="15"/>
      <c r="N414" s="16">
        <f t="shared" si="102"/>
        <v>120901.76741025881</v>
      </c>
      <c r="O414" s="17">
        <f t="shared" si="103"/>
        <v>182316.47139187931</v>
      </c>
      <c r="P414" s="18">
        <f t="shared" si="104"/>
        <v>16900926.811018247</v>
      </c>
      <c r="Q414" s="19">
        <f t="shared" si="105"/>
        <v>2.999124370328039E-2</v>
      </c>
      <c r="R414" s="20">
        <f t="shared" si="106"/>
        <v>6.3198919364665707E-2</v>
      </c>
      <c r="S414" s="20">
        <f t="shared" si="107"/>
        <v>2.4664591812307811E-3</v>
      </c>
      <c r="T414" s="20">
        <f t="shared" si="108"/>
        <v>2.1846191216956692E-3</v>
      </c>
      <c r="U414" s="20">
        <f t="shared" si="109"/>
        <v>8.2239309767637422E-2</v>
      </c>
      <c r="V414" s="21">
        <f t="shared" si="110"/>
        <v>396599202.37330067</v>
      </c>
      <c r="W414" s="21" t="str">
        <f t="shared" si="111"/>
        <v/>
      </c>
      <c r="X414" s="19" t="str">
        <f t="shared" si="112"/>
        <v/>
      </c>
      <c r="Y414" s="17">
        <f t="shared" si="113"/>
        <v>2733.948862318</v>
      </c>
      <c r="Z414" s="17">
        <f t="shared" si="114"/>
        <v>169271.5388071448</v>
      </c>
      <c r="AA414" s="20">
        <f t="shared" si="115"/>
        <v>4.2795087096340952E-2</v>
      </c>
      <c r="AB414" s="17">
        <f t="shared" si="116"/>
        <v>169271.5388071448</v>
      </c>
      <c r="AC414" s="18">
        <f t="shared" si="117"/>
        <v>15691647.971941916</v>
      </c>
      <c r="AD414" s="19">
        <f t="shared" si="118"/>
        <v>1.5894544408790831E-2</v>
      </c>
    </row>
    <row r="415" spans="1:30" x14ac:dyDescent="0.25">
      <c r="A415" s="8">
        <v>564</v>
      </c>
      <c r="B415" s="9">
        <v>45314</v>
      </c>
      <c r="C415" s="10">
        <v>2.041666666666667</v>
      </c>
      <c r="D415" s="11">
        <v>171902.91038436259</v>
      </c>
      <c r="E415" s="11">
        <v>6261.3104745899973</v>
      </c>
      <c r="F415" s="11">
        <v>4369.313971248871</v>
      </c>
      <c r="G415" s="11">
        <v>51408.010084285997</v>
      </c>
      <c r="H415" s="12">
        <v>6.2697061291951989E-2</v>
      </c>
      <c r="I415" s="13">
        <v>4116</v>
      </c>
      <c r="J415" s="13">
        <v>807169</v>
      </c>
      <c r="K415" s="12">
        <v>7.7455772296727843E-2</v>
      </c>
      <c r="L415" s="14">
        <v>82.58704861111093</v>
      </c>
      <c r="M415" s="15"/>
      <c r="N415" s="16">
        <f t="shared" si="102"/>
        <v>120494.9003000766</v>
      </c>
      <c r="O415" s="17">
        <f t="shared" si="103"/>
        <v>182533.53483020145</v>
      </c>
      <c r="P415" s="18">
        <f t="shared" si="104"/>
        <v>15074905.914179757</v>
      </c>
      <c r="Q415" s="19">
        <f t="shared" si="105"/>
        <v>3.4302247422176253E-2</v>
      </c>
      <c r="R415" s="20">
        <f t="shared" si="106"/>
        <v>6.2697061291951989E-2</v>
      </c>
      <c r="S415" s="20">
        <f t="shared" si="107"/>
        <v>2.8212124932299938E-3</v>
      </c>
      <c r="T415" s="20">
        <f t="shared" si="108"/>
        <v>1.9687193619541527E-3</v>
      </c>
      <c r="U415" s="20">
        <f t="shared" si="109"/>
        <v>8.2245704151911986E-2</v>
      </c>
      <c r="V415" s="21">
        <f t="shared" si="110"/>
        <v>397040516.58904642</v>
      </c>
      <c r="W415" s="21" t="str">
        <f t="shared" si="111"/>
        <v/>
      </c>
      <c r="X415" s="19" t="str">
        <f t="shared" si="112"/>
        <v/>
      </c>
      <c r="Y415" s="17">
        <f t="shared" si="113"/>
        <v>3130.6552372949986</v>
      </c>
      <c r="Z415" s="17">
        <f t="shared" si="114"/>
        <v>168772.2551470676</v>
      </c>
      <c r="AA415" s="20">
        <f t="shared" si="115"/>
        <v>4.275702046794929E-2</v>
      </c>
      <c r="AB415" s="17">
        <f t="shared" si="116"/>
        <v>168772.2551470676</v>
      </c>
      <c r="AC415" s="18">
        <f t="shared" si="117"/>
        <v>13938402.440037688</v>
      </c>
      <c r="AD415" s="19">
        <f t="shared" si="118"/>
        <v>1.8211764014321095E-2</v>
      </c>
    </row>
    <row r="416" spans="1:30" x14ac:dyDescent="0.25">
      <c r="A416" s="8">
        <v>565</v>
      </c>
      <c r="B416" s="9">
        <v>45316</v>
      </c>
      <c r="C416" s="10">
        <v>2.041666666666667</v>
      </c>
      <c r="D416" s="11">
        <v>171800.10838130981</v>
      </c>
      <c r="E416" s="11">
        <v>6853.7752466100028</v>
      </c>
      <c r="F416" s="11">
        <v>5165.1504929670054</v>
      </c>
      <c r="G416" s="11">
        <v>50964.994143016003</v>
      </c>
      <c r="H416" s="12">
        <v>6.2247009132845622E-2</v>
      </c>
      <c r="I416" s="13">
        <v>4127</v>
      </c>
      <c r="J416" s="13">
        <v>808291</v>
      </c>
      <c r="K416" s="12">
        <v>7.7309320375916438E-2</v>
      </c>
      <c r="L416" s="14">
        <v>87.585069444444386</v>
      </c>
      <c r="M416" s="15"/>
      <c r="N416" s="16">
        <f t="shared" si="102"/>
        <v>120835.11423829381</v>
      </c>
      <c r="O416" s="17">
        <f t="shared" si="103"/>
        <v>183819.03412088682</v>
      </c>
      <c r="P416" s="18">
        <f t="shared" si="104"/>
        <v>16099802.868688565</v>
      </c>
      <c r="Q416" s="19">
        <f t="shared" si="105"/>
        <v>3.7285449134188589E-2</v>
      </c>
      <c r="R416" s="20">
        <f t="shared" si="106"/>
        <v>6.2247009132845622E-2</v>
      </c>
      <c r="S416" s="20">
        <f t="shared" si="107"/>
        <v>3.084169802435015E-3</v>
      </c>
      <c r="T416" s="20">
        <f t="shared" si="108"/>
        <v>2.324295822703046E-3</v>
      </c>
      <c r="U416" s="20">
        <f t="shared" si="109"/>
        <v>8.2717786001054505E-2</v>
      </c>
      <c r="V416" s="21">
        <f t="shared" si="110"/>
        <v>397554766.06834549</v>
      </c>
      <c r="W416" s="21" t="str">
        <f t="shared" si="111"/>
        <v/>
      </c>
      <c r="X416" s="19" t="str">
        <f t="shared" si="112"/>
        <v/>
      </c>
      <c r="Y416" s="17">
        <f t="shared" si="113"/>
        <v>3426.8876233050014</v>
      </c>
      <c r="Z416" s="17">
        <f t="shared" si="114"/>
        <v>168373.22075800481</v>
      </c>
      <c r="AA416" s="20">
        <f t="shared" si="115"/>
        <v>4.2718987700177992E-2</v>
      </c>
      <c r="AB416" s="17">
        <f t="shared" si="116"/>
        <v>168373.22075800481</v>
      </c>
      <c r="AC416" s="18">
        <f t="shared" si="117"/>
        <v>14746980.232674617</v>
      </c>
      <c r="AD416" s="19">
        <f t="shared" si="118"/>
        <v>1.9946946806919556E-2</v>
      </c>
    </row>
    <row r="417" spans="1:30" x14ac:dyDescent="0.25">
      <c r="A417" s="8">
        <v>566</v>
      </c>
      <c r="B417" s="9">
        <v>45318</v>
      </c>
      <c r="C417" s="10">
        <v>2.041666666666667</v>
      </c>
      <c r="D417" s="11">
        <v>171697.14313594741</v>
      </c>
      <c r="E417" s="11">
        <v>6709.8086987310044</v>
      </c>
      <c r="F417" s="11">
        <v>5257.9596395318586</v>
      </c>
      <c r="G417" s="11">
        <v>50868.703473301997</v>
      </c>
      <c r="H417" s="12">
        <v>6.1558700731230397E-2</v>
      </c>
      <c r="I417" s="13">
        <v>4126</v>
      </c>
      <c r="J417" s="13">
        <v>812662</v>
      </c>
      <c r="K417" s="12">
        <v>7.7148033855011885E-2</v>
      </c>
      <c r="L417" s="14">
        <v>92.557013888888974</v>
      </c>
      <c r="M417" s="15"/>
      <c r="N417" s="16">
        <f t="shared" si="102"/>
        <v>120828.43966264541</v>
      </c>
      <c r="O417" s="17">
        <f t="shared" si="103"/>
        <v>183664.91147421027</v>
      </c>
      <c r="P417" s="18">
        <f t="shared" si="104"/>
        <v>16999475.762220044</v>
      </c>
      <c r="Q417" s="19">
        <f t="shared" si="105"/>
        <v>3.6532882872802722E-2</v>
      </c>
      <c r="R417" s="20">
        <f t="shared" si="106"/>
        <v>6.1558700731230397E-2</v>
      </c>
      <c r="S417" s="20">
        <f t="shared" si="107"/>
        <v>3.0148931962163507E-3</v>
      </c>
      <c r="T417" s="20">
        <f t="shared" si="108"/>
        <v>2.3625392995485594E-3</v>
      </c>
      <c r="U417" s="20">
        <f t="shared" si="109"/>
        <v>8.2525466350776802E-2</v>
      </c>
      <c r="V417" s="21">
        <f t="shared" si="110"/>
        <v>398147133.11313492</v>
      </c>
      <c r="W417" s="21" t="str">
        <f t="shared" si="111"/>
        <v/>
      </c>
      <c r="X417" s="19" t="str">
        <f t="shared" si="112"/>
        <v/>
      </c>
      <c r="Y417" s="17">
        <f t="shared" si="113"/>
        <v>3354.9043493655022</v>
      </c>
      <c r="Z417" s="17">
        <f t="shared" si="114"/>
        <v>168342.2387865819</v>
      </c>
      <c r="AA417" s="20">
        <f t="shared" si="115"/>
        <v>4.2680988762907698E-2</v>
      </c>
      <c r="AB417" s="17">
        <f t="shared" si="116"/>
        <v>168342.2387865819</v>
      </c>
      <c r="AC417" s="18">
        <f t="shared" si="117"/>
        <v>15581254.933456326</v>
      </c>
      <c r="AD417" s="19">
        <f t="shared" si="118"/>
        <v>1.953966320050611E-2</v>
      </c>
    </row>
    <row r="418" spans="1:30" x14ac:dyDescent="0.25">
      <c r="A418" s="8">
        <v>567</v>
      </c>
      <c r="B418" s="9">
        <v>45320</v>
      </c>
      <c r="C418" s="10">
        <v>2.041666666666667</v>
      </c>
      <c r="D418" s="11">
        <v>171594.2374834716</v>
      </c>
      <c r="E418" s="11">
        <v>9752.5952863009952</v>
      </c>
      <c r="F418" s="11">
        <v>11323.86634125421</v>
      </c>
      <c r="G418" s="11">
        <v>50391.995752536001</v>
      </c>
      <c r="H418" s="12">
        <v>6.2615035815736561E-2</v>
      </c>
      <c r="I418" s="13">
        <v>4130</v>
      </c>
      <c r="J418" s="13">
        <v>817432</v>
      </c>
      <c r="K418" s="12">
        <v>7.7361827755395865E-2</v>
      </c>
      <c r="L418" s="14">
        <v>98.284201388888818</v>
      </c>
      <c r="M418" s="15"/>
      <c r="N418" s="16">
        <f t="shared" si="102"/>
        <v>121202.24173093561</v>
      </c>
      <c r="O418" s="17">
        <f t="shared" si="103"/>
        <v>192670.6991110268</v>
      </c>
      <c r="P418" s="18">
        <f t="shared" si="104"/>
        <v>18936485.793166161</v>
      </c>
      <c r="Q418" s="19">
        <f t="shared" si="105"/>
        <v>5.0617947260787416E-2</v>
      </c>
      <c r="R418" s="20">
        <f t="shared" si="106"/>
        <v>6.2615035815736561E-2</v>
      </c>
      <c r="S418" s="20">
        <f t="shared" si="107"/>
        <v>4.3968760709669902E-3</v>
      </c>
      <c r="T418" s="20">
        <f t="shared" si="108"/>
        <v>5.1052704931400447E-3</v>
      </c>
      <c r="U418" s="20">
        <f t="shared" si="109"/>
        <v>8.6863974319502907E-2</v>
      </c>
      <c r="V418" s="21">
        <f t="shared" si="110"/>
        <v>396808862.77057409</v>
      </c>
      <c r="W418" s="21" t="str">
        <f t="shared" si="111"/>
        <v/>
      </c>
      <c r="X418" s="19" t="str">
        <f t="shared" si="112"/>
        <v/>
      </c>
      <c r="Y418" s="17">
        <f t="shared" si="113"/>
        <v>4876.2976431504976</v>
      </c>
      <c r="Z418" s="17">
        <f t="shared" si="114"/>
        <v>166717.93984032111</v>
      </c>
      <c r="AA418" s="20">
        <f t="shared" si="115"/>
        <v>4.264302362604587E-2</v>
      </c>
      <c r="AB418" s="17">
        <f t="shared" si="116"/>
        <v>166717.93984032111</v>
      </c>
      <c r="AC418" s="18">
        <f t="shared" si="117"/>
        <v>16385739.574406771</v>
      </c>
      <c r="AD418" s="19">
        <f t="shared" si="118"/>
        <v>2.8417607226584138E-2</v>
      </c>
    </row>
    <row r="419" spans="1:30" x14ac:dyDescent="0.25">
      <c r="A419" s="8">
        <v>568</v>
      </c>
      <c r="B419" s="9">
        <v>45323</v>
      </c>
      <c r="C419" s="10">
        <v>2.083333333333333</v>
      </c>
      <c r="D419" s="11">
        <v>171490.4299612224</v>
      </c>
      <c r="E419" s="11">
        <v>8322.4721668459952</v>
      </c>
      <c r="F419" s="11">
        <v>8506.9386634414514</v>
      </c>
      <c r="G419" s="11">
        <v>51093.283609407998</v>
      </c>
      <c r="H419" s="12">
        <v>6.173360531883957E-2</v>
      </c>
      <c r="I419" s="13">
        <v>4132</v>
      </c>
      <c r="J419" s="13">
        <v>823888</v>
      </c>
      <c r="K419" s="12">
        <v>7.570498206146016E-2</v>
      </c>
      <c r="L419" s="14">
        <v>95.902499999999819</v>
      </c>
      <c r="M419" s="15"/>
      <c r="N419" s="16">
        <f t="shared" si="102"/>
        <v>120397.1463518144</v>
      </c>
      <c r="O419" s="17">
        <f t="shared" si="103"/>
        <v>188319.84079150984</v>
      </c>
      <c r="P419" s="18">
        <f t="shared" si="104"/>
        <v>18060343.531507738</v>
      </c>
      <c r="Q419" s="19">
        <f t="shared" si="105"/>
        <v>4.4193283787128196E-2</v>
      </c>
      <c r="R419" s="20">
        <f t="shared" si="106"/>
        <v>6.173360531883957E-2</v>
      </c>
      <c r="S419" s="20">
        <f t="shared" si="107"/>
        <v>3.6739811442571208E-3</v>
      </c>
      <c r="T419" s="20">
        <f t="shared" si="108"/>
        <v>3.755414451170266E-3</v>
      </c>
      <c r="U419" s="20">
        <f t="shared" si="109"/>
        <v>8.3134377656887554E-2</v>
      </c>
      <c r="V419" s="21">
        <f t="shared" si="110"/>
        <v>397142980.05371749</v>
      </c>
      <c r="W419" s="21" t="str">
        <f t="shared" si="111"/>
        <v/>
      </c>
      <c r="X419" s="19" t="str">
        <f t="shared" si="112"/>
        <v/>
      </c>
      <c r="Y419" s="17">
        <f t="shared" si="113"/>
        <v>4161.2360834229976</v>
      </c>
      <c r="Z419" s="17">
        <f t="shared" si="114"/>
        <v>167329.19387779941</v>
      </c>
      <c r="AA419" s="20">
        <f t="shared" si="115"/>
        <v>4.2586139230757443E-2</v>
      </c>
      <c r="AB419" s="17">
        <f t="shared" si="116"/>
        <v>167329.19387779941</v>
      </c>
      <c r="AC419" s="18">
        <f t="shared" si="117"/>
        <v>16047288.015865628</v>
      </c>
      <c r="AD419" s="19">
        <f t="shared" si="118"/>
        <v>2.4265121291980787E-2</v>
      </c>
    </row>
    <row r="420" spans="1:30" x14ac:dyDescent="0.25">
      <c r="A420" s="8">
        <v>569</v>
      </c>
      <c r="B420" s="9">
        <v>45325</v>
      </c>
      <c r="C420" s="10">
        <v>2.083333333333333</v>
      </c>
      <c r="D420" s="11">
        <v>171387.07114484091</v>
      </c>
      <c r="E420" s="11">
        <v>6157.9451108209996</v>
      </c>
      <c r="F420" s="11">
        <v>4853.4492790527829</v>
      </c>
      <c r="G420" s="11">
        <v>51399.210454890002</v>
      </c>
      <c r="H420" s="12">
        <v>6.1677845121648422E-2</v>
      </c>
      <c r="I420" s="13">
        <v>4136</v>
      </c>
      <c r="J420" s="13">
        <v>825012</v>
      </c>
      <c r="K420" s="12">
        <v>7.5835841004058616E-2</v>
      </c>
      <c r="L420" s="14">
        <v>98.814305555555421</v>
      </c>
      <c r="M420" s="15"/>
      <c r="N420" s="16">
        <f t="shared" si="102"/>
        <v>119987.8606899509</v>
      </c>
      <c r="O420" s="17">
        <f t="shared" si="103"/>
        <v>182398.46553471469</v>
      </c>
      <c r="P420" s="18">
        <f t="shared" si="104"/>
        <v>18023577.706211742</v>
      </c>
      <c r="Q420" s="19">
        <f t="shared" si="105"/>
        <v>3.3760948003419465E-2</v>
      </c>
      <c r="R420" s="20">
        <f t="shared" si="106"/>
        <v>6.1677845121648422E-2</v>
      </c>
      <c r="S420" s="20">
        <f t="shared" si="107"/>
        <v>2.7247851498744678E-3</v>
      </c>
      <c r="T420" s="20">
        <f t="shared" si="108"/>
        <v>2.1475681064440041E-3</v>
      </c>
      <c r="U420" s="20">
        <f t="shared" si="109"/>
        <v>8.0708194260377092E-2</v>
      </c>
      <c r="V420" s="21">
        <f t="shared" si="110"/>
        <v>396218739.25688273</v>
      </c>
      <c r="W420" s="21" t="str">
        <f t="shared" si="111"/>
        <v/>
      </c>
      <c r="X420" s="19" t="str">
        <f t="shared" si="112"/>
        <v/>
      </c>
      <c r="Y420" s="17">
        <f t="shared" si="113"/>
        <v>3078.9725554104998</v>
      </c>
      <c r="Z420" s="17">
        <f t="shared" si="114"/>
        <v>168308.09858943042</v>
      </c>
      <c r="AA420" s="20">
        <f t="shared" si="115"/>
        <v>4.2548258463437509E-2</v>
      </c>
      <c r="AB420" s="17">
        <f t="shared" si="116"/>
        <v>168308.09858943042</v>
      </c>
      <c r="AC420" s="18">
        <f t="shared" si="117"/>
        <v>16631247.881490523</v>
      </c>
      <c r="AD420" s="19">
        <f t="shared" si="118"/>
        <v>1.7965022302110698E-2</v>
      </c>
    </row>
    <row r="421" spans="1:30" x14ac:dyDescent="0.25">
      <c r="A421" s="8">
        <v>570</v>
      </c>
      <c r="B421" s="9">
        <v>45327</v>
      </c>
      <c r="C421" s="10">
        <v>2.125</v>
      </c>
      <c r="D421" s="11">
        <v>171284.38131664461</v>
      </c>
      <c r="E421" s="11">
        <v>6419.3036727579974</v>
      </c>
      <c r="F421" s="11">
        <v>4649.7290308252341</v>
      </c>
      <c r="G421" s="11">
        <v>51342.061546413002</v>
      </c>
      <c r="H421" s="12">
        <v>6.1807427098630088E-2</v>
      </c>
      <c r="I421" s="13">
        <v>4140</v>
      </c>
      <c r="J421" s="13">
        <v>826714</v>
      </c>
      <c r="K421" s="12">
        <v>7.4244561291258504E-2</v>
      </c>
      <c r="L421" s="14">
        <v>96.401527777778114</v>
      </c>
      <c r="M421" s="15"/>
      <c r="N421" s="16">
        <f t="shared" si="102"/>
        <v>119942.31977023161</v>
      </c>
      <c r="O421" s="17">
        <f t="shared" si="103"/>
        <v>182353.41402022782</v>
      </c>
      <c r="P421" s="18">
        <f t="shared" si="104"/>
        <v>17579147.707043666</v>
      </c>
      <c r="Q421" s="19">
        <f t="shared" si="105"/>
        <v>3.5202541763467758E-2</v>
      </c>
      <c r="R421" s="20">
        <f t="shared" si="106"/>
        <v>6.1807427098630088E-2</v>
      </c>
      <c r="S421" s="20">
        <f t="shared" si="107"/>
        <v>2.7824976294728186E-3</v>
      </c>
      <c r="T421" s="20">
        <f t="shared" si="108"/>
        <v>2.0154615929555367E-3</v>
      </c>
      <c r="U421" s="20">
        <f t="shared" si="109"/>
        <v>7.9042520513686862E-2</v>
      </c>
      <c r="V421" s="21">
        <f t="shared" si="110"/>
        <v>396537631.45402128</v>
      </c>
      <c r="W421" s="21" t="str">
        <f t="shared" si="111"/>
        <v/>
      </c>
      <c r="X421" s="19" t="str">
        <f t="shared" si="112"/>
        <v/>
      </c>
      <c r="Y421" s="17">
        <f t="shared" si="113"/>
        <v>3209.6518363789987</v>
      </c>
      <c r="Z421" s="17">
        <f t="shared" si="114"/>
        <v>168074.72948026561</v>
      </c>
      <c r="AA421" s="20">
        <f t="shared" si="115"/>
        <v>4.2510411391412782E-2</v>
      </c>
      <c r="AB421" s="17">
        <f t="shared" si="116"/>
        <v>168074.72948026561</v>
      </c>
      <c r="AC421" s="18">
        <f t="shared" si="117"/>
        <v>16202660.702734368</v>
      </c>
      <c r="AD421" s="19">
        <f t="shared" si="118"/>
        <v>1.8738730360040715E-2</v>
      </c>
    </row>
    <row r="422" spans="1:30" x14ac:dyDescent="0.25">
      <c r="A422" s="8">
        <v>571</v>
      </c>
      <c r="B422" s="9">
        <v>45329</v>
      </c>
      <c r="C422" s="10">
        <v>2.291666666666667</v>
      </c>
      <c r="D422" s="11">
        <v>171181.6289825323</v>
      </c>
      <c r="E422" s="11">
        <v>5452.5816588210027</v>
      </c>
      <c r="F422" s="11">
        <v>3647.54933128018</v>
      </c>
      <c r="G422" s="11">
        <v>51264.123467473</v>
      </c>
      <c r="H422" s="12">
        <v>6.141333987025957E-2</v>
      </c>
      <c r="I422" s="13">
        <v>4143</v>
      </c>
      <c r="J422" s="13">
        <v>830371</v>
      </c>
      <c r="K422" s="12">
        <v>6.8755100200320801E-2</v>
      </c>
      <c r="L422" s="14">
        <v>96.733680555555452</v>
      </c>
      <c r="M422" s="15"/>
      <c r="N422" s="16">
        <f t="shared" si="102"/>
        <v>119917.50551505931</v>
      </c>
      <c r="O422" s="17">
        <f t="shared" si="103"/>
        <v>180281.75997263347</v>
      </c>
      <c r="P422" s="18">
        <f t="shared" si="104"/>
        <v>17439318.17918605</v>
      </c>
      <c r="Q422" s="19">
        <f t="shared" si="105"/>
        <v>3.0244777173512712E-2</v>
      </c>
      <c r="R422" s="20">
        <f t="shared" si="106"/>
        <v>6.141333987025957E-2</v>
      </c>
      <c r="S422" s="20">
        <f t="shared" si="107"/>
        <v>2.1900293888482874E-3</v>
      </c>
      <c r="T422" s="20">
        <f t="shared" si="108"/>
        <v>1.4650381658850363E-3</v>
      </c>
      <c r="U422" s="20">
        <f t="shared" si="109"/>
        <v>7.2410167755054114E-2</v>
      </c>
      <c r="V422" s="21">
        <f t="shared" si="110"/>
        <v>396817678.7913999</v>
      </c>
      <c r="W422" s="21" t="str">
        <f t="shared" si="111"/>
        <v/>
      </c>
      <c r="X422" s="19" t="str">
        <f t="shared" si="112"/>
        <v/>
      </c>
      <c r="Y422" s="17">
        <f t="shared" si="113"/>
        <v>2726.2908294105014</v>
      </c>
      <c r="Z422" s="17">
        <f t="shared" si="114"/>
        <v>168455.33815312179</v>
      </c>
      <c r="AA422" s="20">
        <f t="shared" si="115"/>
        <v>4.2472597984710973E-2</v>
      </c>
      <c r="AB422" s="17">
        <f t="shared" si="116"/>
        <v>168455.33815312179</v>
      </c>
      <c r="AC422" s="18">
        <f t="shared" si="117"/>
        <v>16295304.868782155</v>
      </c>
      <c r="AD422" s="19">
        <f t="shared" si="118"/>
        <v>1.5926304975685781E-2</v>
      </c>
    </row>
    <row r="423" spans="1:30" x14ac:dyDescent="0.25">
      <c r="A423" s="8">
        <v>572</v>
      </c>
      <c r="B423" s="9">
        <v>45331</v>
      </c>
      <c r="C423" s="10">
        <v>2.041666666666667</v>
      </c>
      <c r="D423" s="11">
        <v>171079.1837163326</v>
      </c>
      <c r="E423" s="11">
        <v>4294.5922105639966</v>
      </c>
      <c r="F423" s="11">
        <v>3114.5329281458548</v>
      </c>
      <c r="G423" s="11">
        <v>50729.994278919003</v>
      </c>
      <c r="H423" s="12">
        <v>6.2973444234378798E-2</v>
      </c>
      <c r="I423" s="13">
        <v>4142</v>
      </c>
      <c r="J423" s="13">
        <v>837910</v>
      </c>
      <c r="K423" s="12">
        <v>7.7249623984942201E-2</v>
      </c>
      <c r="L423" s="14">
        <v>105.3719097222221</v>
      </c>
      <c r="M423" s="15"/>
      <c r="N423" s="16">
        <f t="shared" si="102"/>
        <v>120349.18943741359</v>
      </c>
      <c r="O423" s="17">
        <f t="shared" si="103"/>
        <v>178488.30885504247</v>
      </c>
      <c r="P423" s="18">
        <f t="shared" si="104"/>
        <v>18807653.967145629</v>
      </c>
      <c r="Q423" s="19">
        <f t="shared" si="105"/>
        <v>2.4060916023647284E-2</v>
      </c>
      <c r="R423" s="20">
        <f t="shared" si="106"/>
        <v>6.2973444234378798E-2</v>
      </c>
      <c r="S423" s="20">
        <f t="shared" si="107"/>
        <v>1.9391934554984574E-3</v>
      </c>
      <c r="T423" s="20">
        <f t="shared" si="108"/>
        <v>1.4063458356624074E-3</v>
      </c>
      <c r="U423" s="20">
        <f t="shared" si="109"/>
        <v>8.0595163276103068E-2</v>
      </c>
      <c r="V423" s="21">
        <f t="shared" si="110"/>
        <v>396192437.54023224</v>
      </c>
      <c r="W423" s="21" t="str">
        <f t="shared" si="111"/>
        <v/>
      </c>
      <c r="X423" s="19" t="str">
        <f t="shared" si="112"/>
        <v/>
      </c>
      <c r="Y423" s="17">
        <f t="shared" si="113"/>
        <v>2147.2961052819983</v>
      </c>
      <c r="Z423" s="17">
        <f t="shared" si="114"/>
        <v>168931.8876110506</v>
      </c>
      <c r="AA423" s="20">
        <f t="shared" si="115"/>
        <v>4.2434818213386453E-2</v>
      </c>
      <c r="AB423" s="17">
        <f t="shared" si="116"/>
        <v>168931.8876110506</v>
      </c>
      <c r="AC423" s="18">
        <f t="shared" si="117"/>
        <v>17800675.610556193</v>
      </c>
      <c r="AD423" s="19">
        <f t="shared" si="118"/>
        <v>1.2551475045862053E-2</v>
      </c>
    </row>
    <row r="424" spans="1:30" x14ac:dyDescent="0.25">
      <c r="A424" s="8">
        <v>573</v>
      </c>
      <c r="B424" s="9">
        <v>45333</v>
      </c>
      <c r="C424" s="10">
        <v>2.041666666666667</v>
      </c>
      <c r="D424" s="11">
        <v>170977.10228912361</v>
      </c>
      <c r="E424" s="11">
        <v>5027.7072423100008</v>
      </c>
      <c r="F424" s="11">
        <v>5865.5916808037446</v>
      </c>
      <c r="G424" s="11">
        <v>51020.336850574997</v>
      </c>
      <c r="H424" s="12">
        <v>6.2708215520777863E-2</v>
      </c>
      <c r="I424" s="13">
        <v>4110</v>
      </c>
      <c r="J424" s="13">
        <v>839932</v>
      </c>
      <c r="K424" s="12">
        <v>7.7145892677695782E-2</v>
      </c>
      <c r="L424" s="14">
        <v>108.9118402777776</v>
      </c>
      <c r="M424" s="15"/>
      <c r="N424" s="16">
        <f t="shared" si="102"/>
        <v>119956.76543854861</v>
      </c>
      <c r="O424" s="17">
        <f t="shared" si="103"/>
        <v>181870.40121223734</v>
      </c>
      <c r="P424" s="18">
        <f t="shared" si="104"/>
        <v>19807840.088082522</v>
      </c>
      <c r="Q424" s="19">
        <f t="shared" si="105"/>
        <v>2.76444501623044E-2</v>
      </c>
      <c r="R424" s="20">
        <f t="shared" si="106"/>
        <v>6.2708215520777863E-2</v>
      </c>
      <c r="S424" s="20">
        <f t="shared" si="107"/>
        <v>2.2685316228733079E-3</v>
      </c>
      <c r="T424" s="20">
        <f t="shared" si="108"/>
        <v>2.6465901003122584E-3</v>
      </c>
      <c r="U424" s="20">
        <f t="shared" si="109"/>
        <v>8.2061014400881357E-2</v>
      </c>
      <c r="V424" s="21">
        <f t="shared" si="110"/>
        <v>396488440.34318572</v>
      </c>
      <c r="W424" s="21" t="str">
        <f t="shared" si="111"/>
        <v/>
      </c>
      <c r="X424" s="19" t="str">
        <f t="shared" si="112"/>
        <v/>
      </c>
      <c r="Y424" s="17">
        <f t="shared" si="113"/>
        <v>2513.8536211550004</v>
      </c>
      <c r="Z424" s="17">
        <f t="shared" si="114"/>
        <v>168463.24866796861</v>
      </c>
      <c r="AA424" s="20">
        <f t="shared" si="115"/>
        <v>4.2397072047520259E-2</v>
      </c>
      <c r="AB424" s="17">
        <f t="shared" si="116"/>
        <v>168463.24866796861</v>
      </c>
      <c r="AC424" s="18">
        <f t="shared" si="117"/>
        <v>18347642.431601327</v>
      </c>
      <c r="AD424" s="19">
        <f t="shared" si="118"/>
        <v>1.4702867152959783E-2</v>
      </c>
    </row>
    <row r="425" spans="1:30" x14ac:dyDescent="0.25">
      <c r="A425" s="8">
        <v>574</v>
      </c>
      <c r="B425" s="9">
        <v>45335</v>
      </c>
      <c r="C425" s="10">
        <v>2.083333333333333</v>
      </c>
      <c r="D425" s="11">
        <v>170874.81647370529</v>
      </c>
      <c r="E425" s="11">
        <v>4615.6428866819979</v>
      </c>
      <c r="F425" s="11">
        <v>4967.5547815215868</v>
      </c>
      <c r="G425" s="11">
        <v>51235.712726044003</v>
      </c>
      <c r="H425" s="12">
        <v>6.2497765895123208E-2</v>
      </c>
      <c r="I425" s="13">
        <v>4092</v>
      </c>
      <c r="J425" s="13">
        <v>848168</v>
      </c>
      <c r="K425" s="12">
        <v>7.5447721318042532E-2</v>
      </c>
      <c r="L425" s="14">
        <v>112.8605902777781</v>
      </c>
      <c r="M425" s="15"/>
      <c r="N425" s="16">
        <f t="shared" si="102"/>
        <v>119639.10374766128</v>
      </c>
      <c r="O425" s="17">
        <f t="shared" si="103"/>
        <v>180458.01414190888</v>
      </c>
      <c r="P425" s="18">
        <f t="shared" si="104"/>
        <v>20366597.996411465</v>
      </c>
      <c r="Q425" s="19">
        <f t="shared" si="105"/>
        <v>2.5577378254048284E-2</v>
      </c>
      <c r="R425" s="20">
        <f t="shared" si="106"/>
        <v>6.2497765895123208E-2</v>
      </c>
      <c r="S425" s="20">
        <f t="shared" si="107"/>
        <v>2.0379816371102108E-3</v>
      </c>
      <c r="T425" s="20">
        <f t="shared" si="108"/>
        <v>2.1933641043355516E-3</v>
      </c>
      <c r="U425" s="20">
        <f t="shared" si="109"/>
        <v>7.9679067059488295E-2</v>
      </c>
      <c r="V425" s="21">
        <f t="shared" si="110"/>
        <v>397066635.02647001</v>
      </c>
      <c r="W425" s="21" t="str">
        <f t="shared" si="111"/>
        <v/>
      </c>
      <c r="X425" s="19" t="str">
        <f t="shared" si="112"/>
        <v/>
      </c>
      <c r="Y425" s="17">
        <f t="shared" si="113"/>
        <v>2307.8214433409989</v>
      </c>
      <c r="Z425" s="17">
        <f t="shared" si="114"/>
        <v>168566.99503036428</v>
      </c>
      <c r="AA425" s="20">
        <f t="shared" si="115"/>
        <v>4.2359359457220025E-2</v>
      </c>
      <c r="AB425" s="17">
        <f t="shared" si="116"/>
        <v>168566.99503036428</v>
      </c>
      <c r="AC425" s="18">
        <f t="shared" si="117"/>
        <v>19024570.560478199</v>
      </c>
      <c r="AD425" s="19">
        <f t="shared" si="118"/>
        <v>1.3505919075536407E-2</v>
      </c>
    </row>
    <row r="426" spans="1:30" x14ac:dyDescent="0.25">
      <c r="A426" s="8">
        <v>575</v>
      </c>
      <c r="B426" s="9">
        <v>45337</v>
      </c>
      <c r="C426" s="10">
        <v>2.083333333333333</v>
      </c>
      <c r="D426" s="11">
        <v>170772.6701992618</v>
      </c>
      <c r="E426" s="11">
        <v>4100.9882711579976</v>
      </c>
      <c r="F426" s="11">
        <v>3619.7707283687441</v>
      </c>
      <c r="G426" s="11">
        <v>51154.240718401001</v>
      </c>
      <c r="H426" s="12">
        <v>6.1341629788400187E-2</v>
      </c>
      <c r="I426" s="13">
        <v>4092</v>
      </c>
      <c r="J426" s="13">
        <v>849724</v>
      </c>
      <c r="K426" s="12">
        <v>7.5966944212984555E-2</v>
      </c>
      <c r="L426" s="14">
        <v>115.3927777777773</v>
      </c>
      <c r="M426" s="15"/>
      <c r="N426" s="16">
        <f t="shared" si="102"/>
        <v>119618.4294808608</v>
      </c>
      <c r="O426" s="17">
        <f t="shared" si="103"/>
        <v>178493.42919878854</v>
      </c>
      <c r="P426" s="18">
        <f t="shared" si="104"/>
        <v>20596852.610329233</v>
      </c>
      <c r="Q426" s="19">
        <f t="shared" si="105"/>
        <v>2.2975569966728119E-2</v>
      </c>
      <c r="R426" s="20">
        <f t="shared" si="106"/>
        <v>6.1341629788400187E-2</v>
      </c>
      <c r="S426" s="20">
        <f t="shared" si="107"/>
        <v>1.8242939391276806E-3</v>
      </c>
      <c r="T426" s="20">
        <f t="shared" si="108"/>
        <v>1.6102279168260702E-3</v>
      </c>
      <c r="U426" s="20">
        <f t="shared" si="109"/>
        <v>7.9401466068938303E-2</v>
      </c>
      <c r="V426" s="21">
        <f t="shared" si="110"/>
        <v>394117005.09360689</v>
      </c>
      <c r="W426" s="21" t="str">
        <f t="shared" si="111"/>
        <v/>
      </c>
      <c r="X426" s="19" t="str">
        <f t="shared" si="112"/>
        <v/>
      </c>
      <c r="Y426" s="17">
        <f t="shared" si="113"/>
        <v>2050.4941355789988</v>
      </c>
      <c r="Z426" s="17">
        <f t="shared" si="114"/>
        <v>168722.1760636828</v>
      </c>
      <c r="AA426" s="20">
        <f t="shared" si="115"/>
        <v>4.2321680412619953E-2</v>
      </c>
      <c r="AB426" s="17">
        <f t="shared" si="116"/>
        <v>168722.1760636828</v>
      </c>
      <c r="AC426" s="18">
        <f t="shared" si="117"/>
        <v>19469320.568699565</v>
      </c>
      <c r="AD426" s="19">
        <f t="shared" si="118"/>
        <v>1.2007156257417719E-2</v>
      </c>
    </row>
    <row r="427" spans="1:30" x14ac:dyDescent="0.25">
      <c r="A427" s="8">
        <v>576</v>
      </c>
      <c r="B427" s="9">
        <v>45339</v>
      </c>
      <c r="C427" s="10">
        <v>2.083333333333333</v>
      </c>
      <c r="D427" s="11">
        <v>170670.69405401239</v>
      </c>
      <c r="E427" s="11">
        <v>3894.9693081039991</v>
      </c>
      <c r="F427" s="11">
        <v>3226.1907473373772</v>
      </c>
      <c r="G427" s="11">
        <v>51164.829920878001</v>
      </c>
      <c r="H427" s="12">
        <v>6.0265572478882992E-2</v>
      </c>
      <c r="I427" s="13">
        <v>4093</v>
      </c>
      <c r="J427" s="13">
        <v>859255</v>
      </c>
      <c r="K427" s="12">
        <v>7.5841557493631223E-2</v>
      </c>
      <c r="L427" s="14">
        <v>108.92145833333311</v>
      </c>
      <c r="M427" s="15"/>
      <c r="N427" s="16">
        <f t="shared" si="102"/>
        <v>119505.8641331344</v>
      </c>
      <c r="O427" s="17">
        <f t="shared" si="103"/>
        <v>177791.85410945376</v>
      </c>
      <c r="P427" s="18">
        <f t="shared" si="104"/>
        <v>19365348.029388908</v>
      </c>
      <c r="Q427" s="19">
        <f t="shared" si="105"/>
        <v>2.1907467738685849E-2</v>
      </c>
      <c r="R427" s="20">
        <f t="shared" si="106"/>
        <v>6.0265572478882992E-2</v>
      </c>
      <c r="S427" s="20">
        <f t="shared" si="107"/>
        <v>1.7308216876589994E-3</v>
      </c>
      <c r="T427" s="20">
        <f t="shared" si="108"/>
        <v>1.433634124509828E-3</v>
      </c>
      <c r="U427" s="20">
        <f t="shared" si="109"/>
        <v>7.9006013305800038E-2</v>
      </c>
      <c r="V427" s="21">
        <f t="shared" si="110"/>
        <v>394532853.36422771</v>
      </c>
      <c r="W427" s="21" t="str">
        <f t="shared" si="111"/>
        <v/>
      </c>
      <c r="X427" s="19" t="str">
        <f t="shared" si="112"/>
        <v/>
      </c>
      <c r="Y427" s="17">
        <f t="shared" si="113"/>
        <v>1947.4846540519995</v>
      </c>
      <c r="Z427" s="17">
        <f t="shared" si="114"/>
        <v>168723.20939996038</v>
      </c>
      <c r="AA427" s="20">
        <f t="shared" si="115"/>
        <v>4.2284034883880856E-2</v>
      </c>
      <c r="AB427" s="17">
        <f t="shared" si="116"/>
        <v>168723.20939996038</v>
      </c>
      <c r="AC427" s="18">
        <f t="shared" si="117"/>
        <v>18377578.022524022</v>
      </c>
      <c r="AD427" s="19">
        <f t="shared" si="118"/>
        <v>1.1410773623711148E-2</v>
      </c>
    </row>
    <row r="428" spans="1:30" x14ac:dyDescent="0.25">
      <c r="A428" s="8">
        <v>577</v>
      </c>
      <c r="B428" s="9">
        <v>45342</v>
      </c>
      <c r="C428" s="10">
        <v>2.125</v>
      </c>
      <c r="D428" s="11">
        <v>170568.79531494761</v>
      </c>
      <c r="E428" s="11">
        <v>3780.7893188619992</v>
      </c>
      <c r="F428" s="11">
        <v>2955.3798521914509</v>
      </c>
      <c r="G428" s="11">
        <v>50473.357162343003</v>
      </c>
      <c r="H428" s="12">
        <v>5.5901094560623248E-2</v>
      </c>
      <c r="I428" s="13">
        <v>4083</v>
      </c>
      <c r="J428" s="13">
        <v>859447</v>
      </c>
      <c r="K428" s="12">
        <v>7.4030264956083711E-2</v>
      </c>
      <c r="L428" s="14">
        <v>108.95854166666641</v>
      </c>
      <c r="M428" s="15"/>
      <c r="N428" s="16">
        <f t="shared" si="102"/>
        <v>120095.43815260461</v>
      </c>
      <c r="O428" s="17">
        <f t="shared" si="103"/>
        <v>177304.96448600106</v>
      </c>
      <c r="P428" s="18">
        <f t="shared" si="104"/>
        <v>19318890.360654753</v>
      </c>
      <c r="Q428" s="19">
        <f t="shared" si="105"/>
        <v>2.1323651764756466E-2</v>
      </c>
      <c r="R428" s="20">
        <f t="shared" si="106"/>
        <v>5.5901094560623248E-2</v>
      </c>
      <c r="S428" s="20">
        <f t="shared" si="107"/>
        <v>1.6409381006747192E-3</v>
      </c>
      <c r="T428" s="20">
        <f t="shared" si="108"/>
        <v>1.2826939013060579E-3</v>
      </c>
      <c r="U428" s="20">
        <f t="shared" si="109"/>
        <v>7.6953896958064483E-2</v>
      </c>
      <c r="V428" s="21">
        <f t="shared" si="110"/>
        <v>396024057.11322278</v>
      </c>
      <c r="W428" s="21" t="str">
        <f t="shared" si="111"/>
        <v/>
      </c>
      <c r="X428" s="19" t="str">
        <f t="shared" si="112"/>
        <v/>
      </c>
      <c r="Y428" s="17">
        <f t="shared" si="113"/>
        <v>1890.3946594309996</v>
      </c>
      <c r="Z428" s="17">
        <f t="shared" si="114"/>
        <v>168678.4006555166</v>
      </c>
      <c r="AA428" s="20">
        <f t="shared" si="115"/>
        <v>4.222762936780354E-2</v>
      </c>
      <c r="AB428" s="17">
        <f t="shared" si="116"/>
        <v>168678.4006555166</v>
      </c>
      <c r="AC428" s="18">
        <f t="shared" si="117"/>
        <v>18378952.546090756</v>
      </c>
      <c r="AD428" s="19">
        <f t="shared" si="118"/>
        <v>1.1082886854775932E-2</v>
      </c>
    </row>
    <row r="429" spans="1:30" x14ac:dyDescent="0.25">
      <c r="A429" s="8">
        <v>578</v>
      </c>
      <c r="B429" s="9">
        <v>45344</v>
      </c>
      <c r="C429" s="10">
        <v>2.083333333333333</v>
      </c>
      <c r="D429" s="11">
        <v>170466.9465221682</v>
      </c>
      <c r="E429" s="11">
        <v>3415.132493311999</v>
      </c>
      <c r="F429" s="11">
        <v>2939.998401762306</v>
      </c>
      <c r="G429" s="11">
        <v>50505.165926881004</v>
      </c>
      <c r="H429" s="12">
        <v>5.5516046771145321E-2</v>
      </c>
      <c r="I429" s="13">
        <v>4084</v>
      </c>
      <c r="J429" s="13">
        <v>867869</v>
      </c>
      <c r="K429" s="12">
        <v>7.5344945346209419E-2</v>
      </c>
      <c r="L429" s="14">
        <v>104.4094444444444</v>
      </c>
      <c r="M429" s="15"/>
      <c r="N429" s="16">
        <f t="shared" si="102"/>
        <v>119961.7805952872</v>
      </c>
      <c r="O429" s="17">
        <f t="shared" si="103"/>
        <v>176822.07741724252</v>
      </c>
      <c r="P429" s="18">
        <f t="shared" si="104"/>
        <v>18461894.86864683</v>
      </c>
      <c r="Q429" s="19">
        <f t="shared" si="105"/>
        <v>1.9313948479710474E-2</v>
      </c>
      <c r="R429" s="20">
        <f t="shared" si="106"/>
        <v>5.5516046771145321E-2</v>
      </c>
      <c r="S429" s="20">
        <f t="shared" si="107"/>
        <v>1.5094596126011704E-3</v>
      </c>
      <c r="T429" s="20">
        <f t="shared" si="108"/>
        <v>1.2994543717594978E-3</v>
      </c>
      <c r="U429" s="20">
        <f t="shared" si="109"/>
        <v>7.8153859330570091E-2</v>
      </c>
      <c r="V429" s="21">
        <f t="shared" si="110"/>
        <v>396659190.96416336</v>
      </c>
      <c r="W429" s="21" t="str">
        <f t="shared" si="111"/>
        <v/>
      </c>
      <c r="X429" s="19" t="str">
        <f t="shared" si="112"/>
        <v/>
      </c>
      <c r="Y429" s="17">
        <f t="shared" si="113"/>
        <v>1707.5662466559995</v>
      </c>
      <c r="Z429" s="17">
        <f t="shared" si="114"/>
        <v>168759.3802755122</v>
      </c>
      <c r="AA429" s="20">
        <f t="shared" si="115"/>
        <v>4.2190067498344405E-2</v>
      </c>
      <c r="AB429" s="17">
        <f t="shared" si="116"/>
        <v>168759.3802755122</v>
      </c>
      <c r="AC429" s="18">
        <f t="shared" si="117"/>
        <v>17620073.139354959</v>
      </c>
      <c r="AD429" s="19">
        <f t="shared" si="118"/>
        <v>1.0016993214775163E-2</v>
      </c>
    </row>
    <row r="430" spans="1:30" x14ac:dyDescent="0.25">
      <c r="A430" s="8">
        <v>579</v>
      </c>
      <c r="B430" s="9">
        <v>45346</v>
      </c>
      <c r="C430" s="10">
        <v>2.083333333333333</v>
      </c>
      <c r="D430" s="11">
        <v>170365.22273797219</v>
      </c>
      <c r="E430" s="11">
        <v>3055.6293454890001</v>
      </c>
      <c r="F430" s="11">
        <v>4446.0746013441021</v>
      </c>
      <c r="G430" s="11">
        <v>50010.249235158997</v>
      </c>
      <c r="H430" s="12">
        <v>5.5524238035736279E-2</v>
      </c>
      <c r="I430" s="13">
        <v>4102</v>
      </c>
      <c r="J430" s="13">
        <v>868161</v>
      </c>
      <c r="K430" s="12">
        <v>7.5351438029739912E-2</v>
      </c>
      <c r="L430" s="14">
        <v>102.2376041666667</v>
      </c>
      <c r="M430" s="15"/>
      <c r="N430" s="16">
        <f t="shared" si="102"/>
        <v>120354.9735028132</v>
      </c>
      <c r="O430" s="17">
        <f t="shared" si="103"/>
        <v>177866.92668480528</v>
      </c>
      <c r="P430" s="18">
        <f t="shared" si="104"/>
        <v>18184688.44474265</v>
      </c>
      <c r="Q430" s="19">
        <f t="shared" si="105"/>
        <v>1.7179300291750275E-2</v>
      </c>
      <c r="R430" s="20">
        <f t="shared" si="106"/>
        <v>5.5524238035736279E-2</v>
      </c>
      <c r="S430" s="20">
        <f t="shared" si="107"/>
        <v>1.3514851304047882E-3</v>
      </c>
      <c r="T430" s="20">
        <f t="shared" si="108"/>
        <v>1.9664700894621583E-3</v>
      </c>
      <c r="U430" s="20">
        <f t="shared" si="109"/>
        <v>7.8669393249606853E-2</v>
      </c>
      <c r="V430" s="21">
        <f t="shared" si="110"/>
        <v>396388332.21248853</v>
      </c>
      <c r="W430" s="21" t="str">
        <f t="shared" si="111"/>
        <v/>
      </c>
      <c r="X430" s="19" t="str">
        <f t="shared" si="112"/>
        <v/>
      </c>
      <c r="Y430" s="17">
        <f t="shared" si="113"/>
        <v>1527.8146727445001</v>
      </c>
      <c r="Z430" s="17">
        <f t="shared" si="114"/>
        <v>168837.40806522768</v>
      </c>
      <c r="AA430" s="20">
        <f t="shared" si="115"/>
        <v>4.2152539040517849E-2</v>
      </c>
      <c r="AB430" s="17">
        <f t="shared" si="116"/>
        <v>168837.40806522768</v>
      </c>
      <c r="AC430" s="18">
        <f t="shared" si="117"/>
        <v>17261532.094298728</v>
      </c>
      <c r="AD430" s="19">
        <f t="shared" si="118"/>
        <v>8.9678788205168718E-3</v>
      </c>
    </row>
    <row r="431" spans="1:30" x14ac:dyDescent="0.25">
      <c r="A431" s="8">
        <v>580</v>
      </c>
      <c r="B431" s="9">
        <v>45348</v>
      </c>
      <c r="C431" s="10">
        <v>2.083333333333333</v>
      </c>
      <c r="D431" s="11">
        <v>170263.62202730091</v>
      </c>
      <c r="E431" s="11">
        <v>3118.661064849</v>
      </c>
      <c r="F431" s="11">
        <v>6378.7434553698849</v>
      </c>
      <c r="G431" s="11">
        <v>49970.956523228997</v>
      </c>
      <c r="H431" s="12">
        <v>5.4894312374927007E-2</v>
      </c>
      <c r="I431" s="13">
        <v>4104</v>
      </c>
      <c r="J431" s="13">
        <v>873800</v>
      </c>
      <c r="K431" s="12">
        <v>7.5435692364833287E-2</v>
      </c>
      <c r="L431" s="14">
        <v>104.96097222222249</v>
      </c>
      <c r="M431" s="15"/>
      <c r="N431" s="16">
        <f t="shared" si="102"/>
        <v>120292.66550407192</v>
      </c>
      <c r="O431" s="17">
        <f t="shared" si="103"/>
        <v>179761.02654751981</v>
      </c>
      <c r="P431" s="18">
        <f t="shared" si="104"/>
        <v>18867892.114092428</v>
      </c>
      <c r="Q431" s="19">
        <f t="shared" si="105"/>
        <v>1.7348927766745827E-2</v>
      </c>
      <c r="R431" s="20">
        <f t="shared" si="106"/>
        <v>5.4894312374927007E-2</v>
      </c>
      <c r="S431" s="20">
        <f t="shared" si="107"/>
        <v>1.381730013005421E-3</v>
      </c>
      <c r="T431" s="20">
        <f t="shared" si="108"/>
        <v>2.8261170721266622E-3</v>
      </c>
      <c r="U431" s="20">
        <f t="shared" si="109"/>
        <v>7.9643539449965384E-2</v>
      </c>
      <c r="V431" s="21">
        <f t="shared" si="110"/>
        <v>395709474.89231503</v>
      </c>
      <c r="W431" s="21" t="str">
        <f t="shared" si="111"/>
        <v/>
      </c>
      <c r="X431" s="19" t="str">
        <f t="shared" si="112"/>
        <v/>
      </c>
      <c r="Y431" s="17">
        <f t="shared" si="113"/>
        <v>1559.3305324245</v>
      </c>
      <c r="Z431" s="17">
        <f t="shared" si="114"/>
        <v>168704.29149487641</v>
      </c>
      <c r="AA431" s="20">
        <f t="shared" si="115"/>
        <v>4.2115043964603929E-2</v>
      </c>
      <c r="AB431" s="17">
        <f t="shared" si="116"/>
        <v>168704.29149487641</v>
      </c>
      <c r="AC431" s="18">
        <f t="shared" si="117"/>
        <v>17707366.453363448</v>
      </c>
      <c r="AD431" s="19">
        <f t="shared" si="118"/>
        <v>9.1583305573898176E-3</v>
      </c>
    </row>
    <row r="432" spans="1:30" x14ac:dyDescent="0.25">
      <c r="A432" s="8">
        <v>581</v>
      </c>
      <c r="B432" s="9">
        <v>45350</v>
      </c>
      <c r="C432" s="10">
        <v>2.083333333333333</v>
      </c>
      <c r="D432" s="11">
        <v>170162.0181404204</v>
      </c>
      <c r="E432" s="11">
        <v>3075.418186663002</v>
      </c>
      <c r="F432" s="11">
        <v>6009.6758755290739</v>
      </c>
      <c r="G432" s="11">
        <v>50218.373611139999</v>
      </c>
      <c r="H432" s="12">
        <v>5.487533165040856E-2</v>
      </c>
      <c r="I432" s="13">
        <v>4112</v>
      </c>
      <c r="J432" s="13">
        <v>868856</v>
      </c>
      <c r="K432" s="12">
        <v>7.5560417668736196E-2</v>
      </c>
      <c r="L432" s="14">
        <v>111.43249999999991</v>
      </c>
      <c r="M432" s="15"/>
      <c r="N432" s="16">
        <f t="shared" si="102"/>
        <v>119943.6445292804</v>
      </c>
      <c r="O432" s="17">
        <f t="shared" si="103"/>
        <v>179247.11220261248</v>
      </c>
      <c r="P432" s="18">
        <f t="shared" si="104"/>
        <v>19973953.830517597</v>
      </c>
      <c r="Q432" s="19">
        <f t="shared" si="105"/>
        <v>1.7157421109170755E-2</v>
      </c>
      <c r="R432" s="20">
        <f t="shared" si="106"/>
        <v>5.487533165040856E-2</v>
      </c>
      <c r="S432" s="20">
        <f t="shared" si="107"/>
        <v>1.3656389670844179E-3</v>
      </c>
      <c r="T432" s="20">
        <f t="shared" si="108"/>
        <v>2.6685956370944039E-3</v>
      </c>
      <c r="U432" s="20">
        <f t="shared" si="109"/>
        <v>7.9594652272915012E-2</v>
      </c>
      <c r="V432" s="21">
        <f t="shared" si="110"/>
        <v>394820541.50584853</v>
      </c>
      <c r="W432" s="21" t="str">
        <f t="shared" si="111"/>
        <v/>
      </c>
      <c r="X432" s="19" t="str">
        <f t="shared" si="112"/>
        <v/>
      </c>
      <c r="Y432" s="17">
        <f t="shared" si="113"/>
        <v>1537.709093331501</v>
      </c>
      <c r="Z432" s="17">
        <f t="shared" si="114"/>
        <v>168624.3090470889</v>
      </c>
      <c r="AA432" s="20">
        <f t="shared" si="115"/>
        <v>4.2077582240909107E-2</v>
      </c>
      <c r="AB432" s="17">
        <f t="shared" si="116"/>
        <v>168624.3090470889</v>
      </c>
      <c r="AC432" s="18">
        <f t="shared" si="117"/>
        <v>18790228.317889716</v>
      </c>
      <c r="AD432" s="19">
        <f t="shared" si="118"/>
        <v>9.0367351664961976E-3</v>
      </c>
    </row>
    <row r="433" spans="1:30" x14ac:dyDescent="0.25">
      <c r="A433" s="8">
        <v>582</v>
      </c>
      <c r="B433" s="9">
        <v>45352</v>
      </c>
      <c r="C433" s="10">
        <v>2.041666666666667</v>
      </c>
      <c r="D433" s="11">
        <v>170060.44293511531</v>
      </c>
      <c r="E433" s="11">
        <v>3170.3129941240022</v>
      </c>
      <c r="F433" s="11">
        <v>8237.0622151382941</v>
      </c>
      <c r="G433" s="11">
        <v>50338.309865584</v>
      </c>
      <c r="H433" s="12">
        <v>5.4796045516103752E-2</v>
      </c>
      <c r="I433" s="13">
        <v>4115</v>
      </c>
      <c r="J433" s="13">
        <v>874561</v>
      </c>
      <c r="K433" s="12">
        <v>7.7374448579538707E-2</v>
      </c>
      <c r="L433" s="14">
        <v>132.83645833333341</v>
      </c>
      <c r="M433" s="15"/>
      <c r="N433" s="16">
        <f t="shared" si="102"/>
        <v>119722.13306953131</v>
      </c>
      <c r="O433" s="17">
        <f t="shared" si="103"/>
        <v>181467.81814437758</v>
      </c>
      <c r="P433" s="18">
        <f t="shared" si="104"/>
        <v>24105542.263776537</v>
      </c>
      <c r="Q433" s="19">
        <f t="shared" si="105"/>
        <v>1.7470386906849069E-2</v>
      </c>
      <c r="R433" s="20">
        <f t="shared" si="106"/>
        <v>5.4796045516103752E-2</v>
      </c>
      <c r="S433" s="20">
        <f t="shared" si="107"/>
        <v>1.4424354982921161E-3</v>
      </c>
      <c r="T433" s="20">
        <f t="shared" si="108"/>
        <v>3.747715434651952E-3</v>
      </c>
      <c r="U433" s="20">
        <f t="shared" si="109"/>
        <v>8.2564599512482781E-2</v>
      </c>
      <c r="V433" s="21">
        <f t="shared" si="110"/>
        <v>393197841.63229591</v>
      </c>
      <c r="W433" s="21" t="str">
        <f t="shared" si="111"/>
        <v/>
      </c>
      <c r="X433" s="19" t="str">
        <f t="shared" si="112"/>
        <v/>
      </c>
      <c r="Y433" s="17">
        <f t="shared" si="113"/>
        <v>1585.1564970620011</v>
      </c>
      <c r="Z433" s="17">
        <f t="shared" si="114"/>
        <v>168475.2864380533</v>
      </c>
      <c r="AA433" s="20">
        <f t="shared" si="115"/>
        <v>4.2040153839766281E-2</v>
      </c>
      <c r="AB433" s="17">
        <f t="shared" si="116"/>
        <v>168475.2864380533</v>
      </c>
      <c r="AC433" s="18">
        <f t="shared" si="117"/>
        <v>22379660.367124878</v>
      </c>
      <c r="AD433" s="19">
        <f t="shared" si="118"/>
        <v>9.3211358838269052E-3</v>
      </c>
    </row>
    <row r="434" spans="1:30" x14ac:dyDescent="0.25">
      <c r="A434" s="8">
        <v>583</v>
      </c>
      <c r="B434" s="9">
        <v>45354</v>
      </c>
      <c r="C434" s="10">
        <v>2.041666666666667</v>
      </c>
      <c r="D434" s="11">
        <v>169958.85526516029</v>
      </c>
      <c r="E434" s="11">
        <v>4275.3118482819973</v>
      </c>
      <c r="F434" s="11">
        <v>11297.85615633333</v>
      </c>
      <c r="G434" s="11">
        <v>50772.837957889999</v>
      </c>
      <c r="H434" s="12">
        <v>5.4605327683837981E-2</v>
      </c>
      <c r="I434" s="13">
        <v>4115</v>
      </c>
      <c r="J434" s="13">
        <v>869373</v>
      </c>
      <c r="K434" s="12">
        <v>7.7322436301788935E-2</v>
      </c>
      <c r="L434" s="14">
        <v>129.67965277777799</v>
      </c>
      <c r="M434" s="15"/>
      <c r="N434" s="16">
        <f t="shared" si="102"/>
        <v>119186.01730727029</v>
      </c>
      <c r="O434" s="17">
        <f t="shared" si="103"/>
        <v>185532.02326977561</v>
      </c>
      <c r="P434" s="18">
        <f t="shared" si="104"/>
        <v>24059728.356783129</v>
      </c>
      <c r="Q434" s="19">
        <f t="shared" si="105"/>
        <v>2.3043525171206784E-2</v>
      </c>
      <c r="R434" s="20">
        <f t="shared" si="106"/>
        <v>5.4605327683837981E-2</v>
      </c>
      <c r="S434" s="20">
        <f t="shared" si="107"/>
        <v>1.9450444493952356E-3</v>
      </c>
      <c r="T434" s="20">
        <f t="shared" si="108"/>
        <v>5.139936731345658E-3</v>
      </c>
      <c r="U434" s="20">
        <f t="shared" si="109"/>
        <v>8.4407417482529834E-2</v>
      </c>
      <c r="V434" s="21">
        <f t="shared" si="110"/>
        <v>393227293.47868526</v>
      </c>
      <c r="W434" s="21" t="str">
        <f t="shared" si="111"/>
        <v/>
      </c>
      <c r="X434" s="19" t="str">
        <f t="shared" si="112"/>
        <v/>
      </c>
      <c r="Y434" s="17">
        <f t="shared" si="113"/>
        <v>2137.6559241409986</v>
      </c>
      <c r="Z434" s="17">
        <f t="shared" si="114"/>
        <v>167821.1993410193</v>
      </c>
      <c r="AA434" s="20">
        <f t="shared" si="115"/>
        <v>4.200275873153473E-2</v>
      </c>
      <c r="AB434" s="17">
        <f t="shared" si="116"/>
        <v>167821.1993410193</v>
      </c>
      <c r="AC434" s="18">
        <f t="shared" si="117"/>
        <v>21762994.859293647</v>
      </c>
      <c r="AD434" s="19">
        <f t="shared" si="118"/>
        <v>1.2577490715655547E-2</v>
      </c>
    </row>
    <row r="435" spans="1:30" x14ac:dyDescent="0.25">
      <c r="A435" s="8">
        <v>584</v>
      </c>
      <c r="B435" s="9">
        <v>45356</v>
      </c>
      <c r="C435" s="10">
        <v>2.041666666666667</v>
      </c>
      <c r="D435" s="11">
        <v>169856.95490091931</v>
      </c>
      <c r="E435" s="11">
        <v>6928.8229299579971</v>
      </c>
      <c r="F435" s="11">
        <v>17459.07241993045</v>
      </c>
      <c r="G435" s="11">
        <v>50564.046121856998</v>
      </c>
      <c r="H435" s="12">
        <v>5.4411582619444267E-2</v>
      </c>
      <c r="I435" s="13">
        <v>4120</v>
      </c>
      <c r="J435" s="13">
        <v>875913</v>
      </c>
      <c r="K435" s="12">
        <v>7.7194131196785865E-2</v>
      </c>
      <c r="L435" s="14">
        <v>130.33354166666689</v>
      </c>
      <c r="M435" s="15"/>
      <c r="N435" s="16">
        <f t="shared" si="102"/>
        <v>119292.90877906232</v>
      </c>
      <c r="O435" s="17">
        <f t="shared" si="103"/>
        <v>194244.85025080777</v>
      </c>
      <c r="P435" s="18">
        <f t="shared" si="104"/>
        <v>25316619.283699125</v>
      </c>
      <c r="Q435" s="19">
        <f t="shared" si="105"/>
        <v>3.5670561772997038E-2</v>
      </c>
      <c r="R435" s="20">
        <f t="shared" si="106"/>
        <v>5.4411582619444267E-2</v>
      </c>
      <c r="S435" s="20">
        <f t="shared" si="107"/>
        <v>3.1489111918112044E-3</v>
      </c>
      <c r="T435" s="20">
        <f t="shared" si="108"/>
        <v>7.9345466174432309E-3</v>
      </c>
      <c r="U435" s="20">
        <f t="shared" si="109"/>
        <v>8.8277589006040311E-2</v>
      </c>
      <c r="V435" s="21">
        <f t="shared" si="110"/>
        <v>393644725.49686462</v>
      </c>
      <c r="W435" s="21" t="str">
        <f t="shared" si="111"/>
        <v/>
      </c>
      <c r="X435" s="19" t="str">
        <f t="shared" si="112"/>
        <v/>
      </c>
      <c r="Y435" s="17">
        <f t="shared" si="113"/>
        <v>3464.4114649789985</v>
      </c>
      <c r="Z435" s="17">
        <f t="shared" si="114"/>
        <v>166392.54343594032</v>
      </c>
      <c r="AA435" s="20">
        <f t="shared" si="115"/>
        <v>4.1965396886600087E-2</v>
      </c>
      <c r="AB435" s="17">
        <f t="shared" si="116"/>
        <v>166392.54343594032</v>
      </c>
      <c r="AC435" s="18">
        <f t="shared" si="117"/>
        <v>21686529.492930807</v>
      </c>
      <c r="AD435" s="19">
        <f t="shared" si="118"/>
        <v>2.0396053061235282E-2</v>
      </c>
    </row>
    <row r="436" spans="1:30" x14ac:dyDescent="0.25">
      <c r="A436" s="8">
        <v>585</v>
      </c>
      <c r="B436" s="9">
        <v>45358</v>
      </c>
      <c r="C436" s="10">
        <v>2.041666666666667</v>
      </c>
      <c r="D436" s="11">
        <v>169754.28242654691</v>
      </c>
      <c r="E436" s="11">
        <v>6616.5742939190086</v>
      </c>
      <c r="F436" s="11">
        <v>14631.797251674479</v>
      </c>
      <c r="G436" s="11">
        <v>51172.594649256003</v>
      </c>
      <c r="H436" s="12">
        <v>5.4191698214008377E-2</v>
      </c>
      <c r="I436" s="13">
        <v>4132</v>
      </c>
      <c r="J436" s="13">
        <v>877409</v>
      </c>
      <c r="K436" s="12">
        <v>7.7412162753101602E-2</v>
      </c>
      <c r="L436" s="14">
        <v>142.2726041666665</v>
      </c>
      <c r="M436" s="15"/>
      <c r="N436" s="16">
        <f t="shared" si="102"/>
        <v>118581.68777729091</v>
      </c>
      <c r="O436" s="17">
        <f t="shared" si="103"/>
        <v>191002.6539721404</v>
      </c>
      <c r="P436" s="18">
        <f t="shared" si="104"/>
        <v>27174444.983361103</v>
      </c>
      <c r="Q436" s="19">
        <f t="shared" si="105"/>
        <v>3.4641268884588905E-2</v>
      </c>
      <c r="R436" s="20">
        <f t="shared" si="106"/>
        <v>5.4191698214008377E-2</v>
      </c>
      <c r="S436" s="20">
        <f t="shared" si="107"/>
        <v>3.0173219714234789E-3</v>
      </c>
      <c r="T436" s="20">
        <f t="shared" si="108"/>
        <v>6.6724624205408336E-3</v>
      </c>
      <c r="U436" s="20">
        <f t="shared" si="109"/>
        <v>8.7101947145065903E-2</v>
      </c>
      <c r="V436" s="21">
        <f t="shared" si="110"/>
        <v>392298750.07698852</v>
      </c>
      <c r="W436" s="21" t="str">
        <f t="shared" si="111"/>
        <v/>
      </c>
      <c r="X436" s="19" t="str">
        <f t="shared" si="112"/>
        <v/>
      </c>
      <c r="Y436" s="17">
        <f t="shared" si="113"/>
        <v>3308.2871469595043</v>
      </c>
      <c r="Z436" s="17">
        <f t="shared" si="114"/>
        <v>166445.9952795874</v>
      </c>
      <c r="AA436" s="20">
        <f t="shared" si="115"/>
        <v>4.1928068275374354E-2</v>
      </c>
      <c r="AB436" s="17">
        <f t="shared" si="116"/>
        <v>166445.9952795874</v>
      </c>
      <c r="AC436" s="18">
        <f t="shared" si="117"/>
        <v>23680705.20153958</v>
      </c>
      <c r="AD436" s="19">
        <f t="shared" si="118"/>
        <v>1.948868152054431E-2</v>
      </c>
    </row>
    <row r="437" spans="1:30" x14ac:dyDescent="0.25">
      <c r="A437" s="8">
        <v>586</v>
      </c>
      <c r="B437" s="9">
        <v>45360</v>
      </c>
      <c r="C437" s="10">
        <v>2.041666666666667</v>
      </c>
      <c r="D437" s="11">
        <v>169651.72048583801</v>
      </c>
      <c r="E437" s="11">
        <v>10188.135825779989</v>
      </c>
      <c r="F437" s="11">
        <v>6110.4438966028601</v>
      </c>
      <c r="G437" s="11">
        <v>51467.012456331999</v>
      </c>
      <c r="H437" s="12">
        <v>5.3618026534565613E-2</v>
      </c>
      <c r="I437" s="13">
        <v>4137</v>
      </c>
      <c r="J437" s="13">
        <v>881241</v>
      </c>
      <c r="K437" s="12">
        <v>7.7115374649415119E-2</v>
      </c>
      <c r="L437" s="14">
        <v>146.70149305555589</v>
      </c>
      <c r="M437" s="15"/>
      <c r="N437" s="16">
        <f t="shared" si="102"/>
        <v>118184.70802950602</v>
      </c>
      <c r="O437" s="17">
        <f t="shared" si="103"/>
        <v>185950.30020822087</v>
      </c>
      <c r="P437" s="18">
        <f t="shared" si="104"/>
        <v>27279186.674674846</v>
      </c>
      <c r="Q437" s="19">
        <f t="shared" si="105"/>
        <v>5.4789563740266396E-2</v>
      </c>
      <c r="R437" s="20">
        <f t="shared" si="106"/>
        <v>5.3618026534565613E-2</v>
      </c>
      <c r="S437" s="20">
        <f t="shared" si="107"/>
        <v>4.6310282556181722E-3</v>
      </c>
      <c r="T437" s="20">
        <f t="shared" si="108"/>
        <v>2.7775089401471565E-3</v>
      </c>
      <c r="U437" s="20">
        <f t="shared" si="109"/>
        <v>8.4523911845180447E-2</v>
      </c>
      <c r="V437" s="21">
        <f t="shared" si="110"/>
        <v>393570629.78550434</v>
      </c>
      <c r="W437" s="21" t="str">
        <f t="shared" si="111"/>
        <v/>
      </c>
      <c r="X437" s="19" t="str">
        <f t="shared" si="112"/>
        <v/>
      </c>
      <c r="Y437" s="17">
        <f t="shared" si="113"/>
        <v>5094.0679128899947</v>
      </c>
      <c r="Z437" s="17">
        <f t="shared" si="114"/>
        <v>164557.65257294802</v>
      </c>
      <c r="AA437" s="20">
        <f t="shared" si="115"/>
        <v>4.1890772868295838E-2</v>
      </c>
      <c r="AB437" s="17">
        <f t="shared" si="116"/>
        <v>164557.65257294802</v>
      </c>
      <c r="AC437" s="18">
        <f t="shared" si="117"/>
        <v>24140853.326168913</v>
      </c>
      <c r="AD437" s="19">
        <f t="shared" si="118"/>
        <v>3.0026620999197184E-2</v>
      </c>
    </row>
    <row r="438" spans="1:30" x14ac:dyDescent="0.25">
      <c r="A438" s="8">
        <v>587</v>
      </c>
      <c r="B438" s="9">
        <v>45362</v>
      </c>
      <c r="C438" s="10">
        <v>2.041666666666667</v>
      </c>
      <c r="D438" s="11">
        <v>169548.11668053069</v>
      </c>
      <c r="E438" s="11">
        <v>11272.373165894</v>
      </c>
      <c r="F438" s="11">
        <v>6846.4247944120307</v>
      </c>
      <c r="G438" s="11">
        <v>51392.821352806997</v>
      </c>
      <c r="H438" s="12">
        <v>5.3172134752887172E-2</v>
      </c>
      <c r="I438" s="13">
        <v>4144</v>
      </c>
      <c r="J438" s="13">
        <v>878356</v>
      </c>
      <c r="K438" s="12">
        <v>7.7249121842751983E-2</v>
      </c>
      <c r="L438" s="14">
        <v>145.94104166666699</v>
      </c>
      <c r="M438" s="15"/>
      <c r="N438" s="16">
        <f t="shared" si="102"/>
        <v>118155.2953277237</v>
      </c>
      <c r="O438" s="17">
        <f t="shared" si="103"/>
        <v>187666.91464083674</v>
      </c>
      <c r="P438" s="18">
        <f t="shared" si="104"/>
        <v>27388305.009053193</v>
      </c>
      <c r="Q438" s="19">
        <f t="shared" si="105"/>
        <v>6.0065852243947462E-2</v>
      </c>
      <c r="R438" s="20">
        <f t="shared" si="106"/>
        <v>5.3172134752887172E-2</v>
      </c>
      <c r="S438" s="20">
        <f t="shared" si="107"/>
        <v>5.1358926610188989E-3</v>
      </c>
      <c r="T438" s="20">
        <f t="shared" si="108"/>
        <v>3.1193522728849331E-3</v>
      </c>
      <c r="U438" s="20">
        <f t="shared" si="109"/>
        <v>8.5504366776655807E-2</v>
      </c>
      <c r="V438" s="21">
        <f t="shared" si="110"/>
        <v>392649279.81091619</v>
      </c>
      <c r="W438" s="21" t="str">
        <f t="shared" si="111"/>
        <v/>
      </c>
      <c r="X438" s="19" t="str">
        <f t="shared" si="112"/>
        <v/>
      </c>
      <c r="Y438" s="17">
        <f t="shared" si="113"/>
        <v>5636.1865829469998</v>
      </c>
      <c r="Z438" s="17">
        <f t="shared" si="114"/>
        <v>163911.93009758368</v>
      </c>
      <c r="AA438" s="20">
        <f t="shared" si="115"/>
        <v>4.1853510635829122E-2</v>
      </c>
      <c r="AB438" s="17">
        <f t="shared" si="116"/>
        <v>163911.93009758368</v>
      </c>
      <c r="AC438" s="18">
        <f t="shared" si="117"/>
        <v>23921477.820035268</v>
      </c>
      <c r="AD438" s="19">
        <f t="shared" si="118"/>
        <v>3.32424015866064E-2</v>
      </c>
    </row>
    <row r="439" spans="1:30" x14ac:dyDescent="0.25">
      <c r="A439" s="8">
        <v>588</v>
      </c>
      <c r="B439" s="9">
        <v>45365</v>
      </c>
      <c r="C439" s="10">
        <v>2.083333333333333</v>
      </c>
      <c r="D439" s="11">
        <v>169444.21094559721</v>
      </c>
      <c r="E439" s="11">
        <v>17310.482448847</v>
      </c>
      <c r="F439" s="11">
        <v>9892.7034670973026</v>
      </c>
      <c r="G439" s="11">
        <v>51370.210052146998</v>
      </c>
      <c r="H439" s="12">
        <v>5.2702266966266099E-2</v>
      </c>
      <c r="I439" s="13">
        <v>4159</v>
      </c>
      <c r="J439" s="13">
        <v>876394</v>
      </c>
      <c r="K439" s="12">
        <v>7.5873158749971734E-2</v>
      </c>
      <c r="L439" s="14">
        <v>168.64260416666741</v>
      </c>
      <c r="M439" s="15"/>
      <c r="N439" s="16">
        <f t="shared" si="102"/>
        <v>118074.00089345021</v>
      </c>
      <c r="O439" s="17">
        <f t="shared" si="103"/>
        <v>196647.39686154152</v>
      </c>
      <c r="P439" s="18">
        <f t="shared" si="104"/>
        <v>33163129.1093265</v>
      </c>
      <c r="Q439" s="19">
        <f t="shared" si="105"/>
        <v>8.8028027449736479E-2</v>
      </c>
      <c r="R439" s="20">
        <f t="shared" si="106"/>
        <v>5.2702266966266099E-2</v>
      </c>
      <c r="S439" s="20">
        <f t="shared" si="107"/>
        <v>7.751229596752977E-3</v>
      </c>
      <c r="T439" s="20">
        <f t="shared" si="108"/>
        <v>4.4297214784543952E-3</v>
      </c>
      <c r="U439" s="20">
        <f t="shared" si="109"/>
        <v>8.8054109825179111E-2</v>
      </c>
      <c r="V439" s="21">
        <f t="shared" si="110"/>
        <v>391534497.21102023</v>
      </c>
      <c r="W439" s="21" t="str">
        <f t="shared" si="111"/>
        <v/>
      </c>
      <c r="X439" s="19" t="str">
        <f t="shared" si="112"/>
        <v/>
      </c>
      <c r="Y439" s="17">
        <f t="shared" si="113"/>
        <v>8655.2412244235002</v>
      </c>
      <c r="Z439" s="17">
        <f t="shared" si="114"/>
        <v>160788.96972117372</v>
      </c>
      <c r="AA439" s="20">
        <f t="shared" si="115"/>
        <v>4.1797679424982186E-2</v>
      </c>
      <c r="AB439" s="17">
        <f t="shared" si="116"/>
        <v>160788.96972117372</v>
      </c>
      <c r="AC439" s="18">
        <f t="shared" si="117"/>
        <v>27115870.575054172</v>
      </c>
      <c r="AD439" s="19">
        <f t="shared" si="118"/>
        <v>5.108018253395747E-2</v>
      </c>
    </row>
    <row r="440" spans="1:30" x14ac:dyDescent="0.25">
      <c r="A440" s="8">
        <v>589</v>
      </c>
      <c r="B440" s="9">
        <v>45367</v>
      </c>
      <c r="C440" s="10">
        <v>2.125</v>
      </c>
      <c r="D440" s="11">
        <v>169338.5369969983</v>
      </c>
      <c r="E440" s="11">
        <v>21935.370833437999</v>
      </c>
      <c r="F440" s="11">
        <v>11977.54188447118</v>
      </c>
      <c r="G440" s="11">
        <v>50257.017061853003</v>
      </c>
      <c r="H440" s="12">
        <v>5.2620929780483869E-2</v>
      </c>
      <c r="I440" s="13">
        <v>4169</v>
      </c>
      <c r="J440" s="13">
        <v>885433</v>
      </c>
      <c r="K440" s="12">
        <v>7.4555664891556864E-2</v>
      </c>
      <c r="L440" s="14">
        <v>188.19156249999969</v>
      </c>
      <c r="M440" s="15"/>
      <c r="N440" s="16">
        <f t="shared" si="102"/>
        <v>119081.5199351453</v>
      </c>
      <c r="O440" s="17">
        <f t="shared" si="103"/>
        <v>203251.44971490747</v>
      </c>
      <c r="P440" s="18">
        <f t="shared" si="104"/>
        <v>38250207.902238555</v>
      </c>
      <c r="Q440" s="19">
        <f t="shared" si="105"/>
        <v>0.1079223339573019</v>
      </c>
      <c r="R440" s="20">
        <f t="shared" si="106"/>
        <v>5.2620929780483869E-2</v>
      </c>
      <c r="S440" s="20">
        <f t="shared" si="107"/>
        <v>9.657613595414628E-3</v>
      </c>
      <c r="T440" s="20">
        <f t="shared" si="108"/>
        <v>5.2734221920143851E-3</v>
      </c>
      <c r="U440" s="20">
        <f t="shared" si="109"/>
        <v>8.9486700678985884E-2</v>
      </c>
      <c r="V440" s="21">
        <f t="shared" si="110"/>
        <v>390396976.87622267</v>
      </c>
      <c r="W440" s="21" t="str">
        <f t="shared" si="111"/>
        <v/>
      </c>
      <c r="X440" s="19" t="str">
        <f t="shared" si="112"/>
        <v/>
      </c>
      <c r="Y440" s="17">
        <f t="shared" si="113"/>
        <v>10967.685416718999</v>
      </c>
      <c r="Z440" s="17">
        <f t="shared" si="114"/>
        <v>158370.8515802793</v>
      </c>
      <c r="AA440" s="20">
        <f t="shared" si="115"/>
        <v>4.1760499999999992E-2</v>
      </c>
      <c r="AB440" s="17">
        <f t="shared" si="116"/>
        <v>158370.8515802793</v>
      </c>
      <c r="AC440" s="18">
        <f t="shared" si="117"/>
        <v>29804058.013348307</v>
      </c>
      <c r="AD440" s="19">
        <f t="shared" si="118"/>
        <v>6.4767805434113396E-2</v>
      </c>
    </row>
    <row r="441" spans="1:30" x14ac:dyDescent="0.25">
      <c r="A441" s="8">
        <v>590</v>
      </c>
      <c r="B441" s="9">
        <v>45369</v>
      </c>
      <c r="C441" s="10">
        <v>2.125</v>
      </c>
      <c r="D441" s="11">
        <v>169231.5171271514</v>
      </c>
      <c r="E441" s="11">
        <v>25742.655895067001</v>
      </c>
      <c r="F441" s="11">
        <v>15482.626514197411</v>
      </c>
      <c r="G441" s="11">
        <v>50859.430808832003</v>
      </c>
      <c r="H441" s="12">
        <v>5.1886761590946281E-2</v>
      </c>
      <c r="I441" s="13">
        <v>4168</v>
      </c>
      <c r="J441" s="13">
        <v>890255</v>
      </c>
      <c r="K441" s="12">
        <v>7.4649041200315097E-2</v>
      </c>
      <c r="L441" s="14">
        <v>202.37055555555591</v>
      </c>
      <c r="M441" s="15"/>
      <c r="N441" s="16">
        <f t="shared" si="102"/>
        <v>118372.0863183194</v>
      </c>
      <c r="O441" s="17">
        <f t="shared" si="103"/>
        <v>210456.79953641581</v>
      </c>
      <c r="P441" s="18">
        <f t="shared" si="104"/>
        <v>42590259.442628726</v>
      </c>
      <c r="Q441" s="19">
        <f t="shared" si="105"/>
        <v>0.12231800517622474</v>
      </c>
      <c r="R441" s="20">
        <f t="shared" si="106"/>
        <v>5.1886761590946281E-2</v>
      </c>
      <c r="S441" s="20">
        <f t="shared" si="107"/>
        <v>1.135524051984097E-2</v>
      </c>
      <c r="T441" s="20">
        <f t="shared" si="108"/>
        <v>6.8294797811156872E-3</v>
      </c>
      <c r="U441" s="20">
        <f t="shared" si="109"/>
        <v>9.2833761501271747E-2</v>
      </c>
      <c r="V441" s="21">
        <f t="shared" si="110"/>
        <v>389662223.22353154</v>
      </c>
      <c r="W441" s="21" t="str">
        <f t="shared" si="111"/>
        <v/>
      </c>
      <c r="X441" s="19" t="str">
        <f t="shared" si="112"/>
        <v/>
      </c>
      <c r="Y441" s="17">
        <f t="shared" si="113"/>
        <v>12871.3279475335</v>
      </c>
      <c r="Z441" s="17">
        <f t="shared" si="114"/>
        <v>156360.18917961791</v>
      </c>
      <c r="AA441" s="20">
        <f t="shared" si="115"/>
        <v>4.1723353646462472E-2</v>
      </c>
      <c r="AB441" s="17">
        <f t="shared" si="116"/>
        <v>156360.18917961791</v>
      </c>
      <c r="AC441" s="18">
        <f t="shared" si="117"/>
        <v>31642698.3510511</v>
      </c>
      <c r="AD441" s="19">
        <f t="shared" si="118"/>
        <v>7.6057510835069106E-2</v>
      </c>
    </row>
    <row r="442" spans="1:30" x14ac:dyDescent="0.25">
      <c r="A442" s="8">
        <v>591</v>
      </c>
      <c r="B442" s="9">
        <v>45371</v>
      </c>
      <c r="C442" s="10">
        <v>2.083333333333333</v>
      </c>
      <c r="D442" s="11">
        <v>169123.3967226308</v>
      </c>
      <c r="E442" s="11">
        <v>21292.763792551999</v>
      </c>
      <c r="F442" s="11">
        <v>14073.14346328132</v>
      </c>
      <c r="G442" s="11">
        <v>50946.471569185996</v>
      </c>
      <c r="H442" s="12">
        <v>5.1846390855015911E-2</v>
      </c>
      <c r="I442" s="13">
        <v>4182</v>
      </c>
      <c r="J442" s="13">
        <v>971685</v>
      </c>
      <c r="K442" s="12">
        <v>7.6177096243517026E-2</v>
      </c>
      <c r="L442" s="14">
        <v>175.3269097222223</v>
      </c>
      <c r="M442" s="15"/>
      <c r="N442" s="16">
        <f t="shared" si="102"/>
        <v>118176.92515344481</v>
      </c>
      <c r="O442" s="17">
        <f t="shared" si="103"/>
        <v>204489.30397846413</v>
      </c>
      <c r="P442" s="18">
        <f t="shared" si="104"/>
        <v>35852477.737792253</v>
      </c>
      <c r="Q442" s="19">
        <f t="shared" si="105"/>
        <v>0.10412654050010584</v>
      </c>
      <c r="R442" s="20">
        <f t="shared" si="106"/>
        <v>5.1846390855015911E-2</v>
      </c>
      <c r="S442" s="20">
        <f t="shared" si="107"/>
        <v>9.5907541366135642E-3</v>
      </c>
      <c r="T442" s="20">
        <f t="shared" si="108"/>
        <v>6.3388698715022311E-3</v>
      </c>
      <c r="U442" s="20">
        <f t="shared" si="109"/>
        <v>9.2106720251632815E-2</v>
      </c>
      <c r="V442" s="21">
        <f t="shared" si="110"/>
        <v>389233974.19385135</v>
      </c>
      <c r="W442" s="21" t="str">
        <f t="shared" si="111"/>
        <v/>
      </c>
      <c r="X442" s="19" t="str">
        <f t="shared" si="112"/>
        <v/>
      </c>
      <c r="Y442" s="17">
        <f t="shared" si="113"/>
        <v>10646.381896276</v>
      </c>
      <c r="Z442" s="17">
        <f t="shared" si="114"/>
        <v>158477.0148263548</v>
      </c>
      <c r="AA442" s="20">
        <f t="shared" si="115"/>
        <v>4.1686240334952246E-2</v>
      </c>
      <c r="AB442" s="17">
        <f t="shared" si="116"/>
        <v>158477.0148263548</v>
      </c>
      <c r="AC442" s="18">
        <f t="shared" si="117"/>
        <v>27785285.271507595</v>
      </c>
      <c r="AD442" s="19">
        <f t="shared" si="118"/>
        <v>6.2950378851108907E-2</v>
      </c>
    </row>
    <row r="443" spans="1:30" x14ac:dyDescent="0.25">
      <c r="A443" s="8">
        <v>592</v>
      </c>
      <c r="B443" s="9">
        <v>45373</v>
      </c>
      <c r="C443" s="10">
        <v>2.083333333333333</v>
      </c>
      <c r="D443" s="11">
        <v>169016.61718428449</v>
      </c>
      <c r="E443" s="11">
        <v>13609.372066074</v>
      </c>
      <c r="F443" s="11">
        <v>11018.372726208039</v>
      </c>
      <c r="G443" s="11">
        <v>51507.578095632001</v>
      </c>
      <c r="H443" s="12">
        <v>5.1836823330656291E-2</v>
      </c>
      <c r="I443" s="13">
        <v>4210</v>
      </c>
      <c r="J443" s="13">
        <v>1014046</v>
      </c>
      <c r="K443" s="12">
        <v>7.6256379606052277E-2</v>
      </c>
      <c r="L443" s="14">
        <v>174.7007986111114</v>
      </c>
      <c r="M443" s="15"/>
      <c r="N443" s="16">
        <f t="shared" si="102"/>
        <v>117509.0390886525</v>
      </c>
      <c r="O443" s="17">
        <f t="shared" si="103"/>
        <v>193644.36197656652</v>
      </c>
      <c r="P443" s="18">
        <f t="shared" si="104"/>
        <v>33829824.683845304</v>
      </c>
      <c r="Q443" s="19">
        <f t="shared" si="105"/>
        <v>7.0280239130953423E-2</v>
      </c>
      <c r="R443" s="20">
        <f t="shared" si="106"/>
        <v>5.1836823330656291E-2</v>
      </c>
      <c r="S443" s="20">
        <f t="shared" si="107"/>
        <v>6.1402331898466125E-3</v>
      </c>
      <c r="T443" s="20">
        <f t="shared" si="108"/>
        <v>4.9712343510849707E-3</v>
      </c>
      <c r="U443" s="20">
        <f t="shared" si="109"/>
        <v>8.7367847146983854E-2</v>
      </c>
      <c r="V443" s="21">
        <f t="shared" si="110"/>
        <v>388583794.27177715</v>
      </c>
      <c r="W443" s="21" t="str">
        <f t="shared" si="111"/>
        <v/>
      </c>
      <c r="X443" s="19" t="str">
        <f t="shared" si="112"/>
        <v/>
      </c>
      <c r="Y443" s="17">
        <f t="shared" si="113"/>
        <v>6804.686033037</v>
      </c>
      <c r="Z443" s="17">
        <f t="shared" si="114"/>
        <v>162211.9311512475</v>
      </c>
      <c r="AA443" s="20">
        <f t="shared" si="115"/>
        <v>4.1649160036078138E-2</v>
      </c>
      <c r="AB443" s="17">
        <f t="shared" si="116"/>
        <v>162211.9311512475</v>
      </c>
      <c r="AC443" s="18">
        <f t="shared" si="117"/>
        <v>28338553.916373555</v>
      </c>
      <c r="AD443" s="19">
        <f t="shared" si="118"/>
        <v>4.0260455725590713E-2</v>
      </c>
    </row>
    <row r="444" spans="1:30" x14ac:dyDescent="0.25">
      <c r="A444" s="8">
        <v>593</v>
      </c>
      <c r="B444" s="9">
        <v>45375</v>
      </c>
      <c r="C444" s="10">
        <v>2.125</v>
      </c>
      <c r="D444" s="11">
        <v>168912.12934096801</v>
      </c>
      <c r="E444" s="11">
        <v>15563.397646201</v>
      </c>
      <c r="F444" s="11">
        <v>12474.004373536691</v>
      </c>
      <c r="G444" s="11">
        <v>50638.838478791004</v>
      </c>
      <c r="H444" s="12">
        <v>5.1570702700125377E-2</v>
      </c>
      <c r="I444" s="13">
        <v>4215</v>
      </c>
      <c r="J444" s="13">
        <v>1039519</v>
      </c>
      <c r="K444" s="12">
        <v>7.4670656608134114E-2</v>
      </c>
      <c r="L444" s="14">
        <v>176.08343750000009</v>
      </c>
      <c r="M444" s="15"/>
      <c r="N444" s="16">
        <f t="shared" si="102"/>
        <v>118273.290862177</v>
      </c>
      <c r="O444" s="17">
        <f t="shared" si="103"/>
        <v>196949.53136070567</v>
      </c>
      <c r="P444" s="18">
        <f t="shared" si="104"/>
        <v>34679550.496007122</v>
      </c>
      <c r="Q444" s="19">
        <f t="shared" si="105"/>
        <v>7.902226290499377E-2</v>
      </c>
      <c r="R444" s="20">
        <f t="shared" si="106"/>
        <v>5.1570702700125377E-2</v>
      </c>
      <c r="S444" s="20">
        <f t="shared" si="107"/>
        <v>6.8800809381156409E-3</v>
      </c>
      <c r="T444" s="20">
        <f t="shared" si="108"/>
        <v>5.5143588606624064E-3</v>
      </c>
      <c r="U444" s="20">
        <f t="shared" si="109"/>
        <v>8.7065096406912151E-2</v>
      </c>
      <c r="V444" s="21">
        <f t="shared" si="110"/>
        <v>388814235.07219106</v>
      </c>
      <c r="W444" s="21" t="str">
        <f t="shared" si="111"/>
        <v/>
      </c>
      <c r="X444" s="19" t="str">
        <f t="shared" si="112"/>
        <v/>
      </c>
      <c r="Y444" s="17">
        <f t="shared" si="113"/>
        <v>7781.6988231004998</v>
      </c>
      <c r="Z444" s="17">
        <f t="shared" si="114"/>
        <v>161130.4305178675</v>
      </c>
      <c r="AA444" s="20">
        <f t="shared" si="115"/>
        <v>4.1612112720475089E-2</v>
      </c>
      <c r="AB444" s="17">
        <f t="shared" si="116"/>
        <v>161130.4305178675</v>
      </c>
      <c r="AC444" s="18">
        <f t="shared" si="117"/>
        <v>28372400.091441028</v>
      </c>
      <c r="AD444" s="19">
        <f t="shared" si="118"/>
        <v>4.6069508764478788E-2</v>
      </c>
    </row>
    <row r="445" spans="1:30" x14ac:dyDescent="0.25">
      <c r="A445" s="8">
        <v>594</v>
      </c>
      <c r="B445" s="9">
        <v>45377</v>
      </c>
      <c r="C445" s="10">
        <v>2.125</v>
      </c>
      <c r="D445" s="11">
        <v>168807.0869011179</v>
      </c>
      <c r="E445" s="11">
        <v>15111.033857378001</v>
      </c>
      <c r="F445" s="11">
        <v>12374.739333067469</v>
      </c>
      <c r="G445" s="11">
        <v>50692.004873632002</v>
      </c>
      <c r="H445" s="12">
        <v>5.1496082527815623E-2</v>
      </c>
      <c r="I445" s="13">
        <v>4235</v>
      </c>
      <c r="J445" s="13">
        <v>1064085</v>
      </c>
      <c r="K445" s="12">
        <v>7.4759942053576209E-2</v>
      </c>
      <c r="L445" s="14">
        <v>192.02243055555559</v>
      </c>
      <c r="M445" s="15"/>
      <c r="N445" s="16">
        <f t="shared" si="102"/>
        <v>118115.0820274859</v>
      </c>
      <c r="O445" s="17">
        <f t="shared" si="103"/>
        <v>196292.86009156337</v>
      </c>
      <c r="P445" s="18">
        <f t="shared" si="104"/>
        <v>37692632.095483616</v>
      </c>
      <c r="Q445" s="19">
        <f t="shared" si="105"/>
        <v>7.6982086105063935E-2</v>
      </c>
      <c r="R445" s="20">
        <f t="shared" si="106"/>
        <v>5.1496082527815623E-2</v>
      </c>
      <c r="S445" s="20">
        <f t="shared" si="107"/>
        <v>6.6922546694319282E-3</v>
      </c>
      <c r="T445" s="20">
        <f t="shared" si="108"/>
        <v>5.4804262809780629E-3</v>
      </c>
      <c r="U445" s="20">
        <f t="shared" si="109"/>
        <v>8.6932623003986187E-2</v>
      </c>
      <c r="V445" s="21">
        <f t="shared" si="110"/>
        <v>388108370.50831872</v>
      </c>
      <c r="W445" s="21" t="str">
        <f t="shared" si="111"/>
        <v/>
      </c>
      <c r="X445" s="19" t="str">
        <f t="shared" si="112"/>
        <v/>
      </c>
      <c r="Y445" s="17">
        <f t="shared" si="113"/>
        <v>7555.5169286890005</v>
      </c>
      <c r="Z445" s="17">
        <f t="shared" si="114"/>
        <v>161251.5699724289</v>
      </c>
      <c r="AA445" s="20">
        <f t="shared" si="115"/>
        <v>4.1575098358804179E-2</v>
      </c>
      <c r="AB445" s="17">
        <f t="shared" si="116"/>
        <v>161251.5699724289</v>
      </c>
      <c r="AC445" s="18">
        <f t="shared" si="117"/>
        <v>30963918.39700504</v>
      </c>
      <c r="AD445" s="19">
        <f t="shared" si="118"/>
        <v>4.4758292245839146E-2</v>
      </c>
    </row>
    <row r="446" spans="1:30" x14ac:dyDescent="0.25">
      <c r="A446" s="8">
        <v>595</v>
      </c>
      <c r="B446" s="9">
        <v>45379</v>
      </c>
      <c r="C446" s="10">
        <v>2.125</v>
      </c>
      <c r="D446" s="11">
        <v>168702.1999577058</v>
      </c>
      <c r="E446" s="11">
        <v>17719.703468020009</v>
      </c>
      <c r="F446" s="11">
        <v>15411.900826461841</v>
      </c>
      <c r="G446" s="11">
        <v>50565.322227997</v>
      </c>
      <c r="H446" s="12">
        <v>5.1381023901552567E-2</v>
      </c>
      <c r="I446" s="13">
        <v>4278</v>
      </c>
      <c r="J446" s="13">
        <v>1088076</v>
      </c>
      <c r="K446" s="12">
        <v>7.4706799009771216E-2</v>
      </c>
      <c r="L446" s="14">
        <v>186.0680902777776</v>
      </c>
      <c r="M446" s="15"/>
      <c r="N446" s="16">
        <f t="shared" si="102"/>
        <v>118136.87772970879</v>
      </c>
      <c r="O446" s="17">
        <f t="shared" si="103"/>
        <v>201833.80425218766</v>
      </c>
      <c r="P446" s="18">
        <f t="shared" si="104"/>
        <v>37554830.510703348</v>
      </c>
      <c r="Q446" s="19">
        <f t="shared" si="105"/>
        <v>8.7793536537019143E-2</v>
      </c>
      <c r="R446" s="20">
        <f t="shared" si="106"/>
        <v>5.1381023901552567E-2</v>
      </c>
      <c r="S446" s="20">
        <f t="shared" si="107"/>
        <v>7.8468587003014383E-3</v>
      </c>
      <c r="T446" s="20">
        <f t="shared" si="108"/>
        <v>6.8248889326260409E-3</v>
      </c>
      <c r="U446" s="20">
        <f t="shared" si="109"/>
        <v>8.9378546642698703E-2</v>
      </c>
      <c r="V446" s="21">
        <f t="shared" si="110"/>
        <v>388143133.68306255</v>
      </c>
      <c r="W446" s="21" t="str">
        <f t="shared" si="111"/>
        <v/>
      </c>
      <c r="X446" s="19" t="str">
        <f t="shared" si="112"/>
        <v/>
      </c>
      <c r="Y446" s="17">
        <f t="shared" si="113"/>
        <v>8859.8517340100043</v>
      </c>
      <c r="Z446" s="17">
        <f t="shared" si="114"/>
        <v>159842.34822369579</v>
      </c>
      <c r="AA446" s="20">
        <f t="shared" si="115"/>
        <v>4.153811692175257E-2</v>
      </c>
      <c r="AB446" s="17">
        <f t="shared" si="116"/>
        <v>159842.34822369579</v>
      </c>
      <c r="AC446" s="18">
        <f t="shared" si="117"/>
        <v>29741560.479498591</v>
      </c>
      <c r="AD446" s="19">
        <f t="shared" si="118"/>
        <v>5.2517701228740339E-2</v>
      </c>
    </row>
    <row r="447" spans="1:30" x14ac:dyDescent="0.25">
      <c r="A447" s="8">
        <v>596</v>
      </c>
      <c r="B447" s="9">
        <v>45382</v>
      </c>
      <c r="C447" s="10">
        <v>2.208333333333333</v>
      </c>
      <c r="D447" s="11">
        <v>168596.56754262929</v>
      </c>
      <c r="E447" s="11">
        <v>16298.023910866999</v>
      </c>
      <c r="F447" s="11">
        <v>18683.92965452126</v>
      </c>
      <c r="G447" s="11">
        <v>50586.951526185003</v>
      </c>
      <c r="H447" s="12">
        <v>5.1102146205930683E-2</v>
      </c>
      <c r="I447" s="13">
        <v>4283</v>
      </c>
      <c r="J447" s="13">
        <v>1094419</v>
      </c>
      <c r="K447" s="12">
        <v>7.1688341649964182E-2</v>
      </c>
      <c r="L447" s="14">
        <v>197.2468402777773</v>
      </c>
      <c r="M447" s="15"/>
      <c r="N447" s="16">
        <f t="shared" si="102"/>
        <v>118009.61601644428</v>
      </c>
      <c r="O447" s="17">
        <f t="shared" si="103"/>
        <v>203578.52110801754</v>
      </c>
      <c r="P447" s="18">
        <f t="shared" si="104"/>
        <v>40155220.036979251</v>
      </c>
      <c r="Q447" s="19">
        <f t="shared" si="105"/>
        <v>8.0057679082064681E-2</v>
      </c>
      <c r="R447" s="20">
        <f t="shared" si="106"/>
        <v>5.1102146205930683E-2</v>
      </c>
      <c r="S447" s="20">
        <f t="shared" si="107"/>
        <v>6.9300242784960421E-3</v>
      </c>
      <c r="T447" s="20">
        <f t="shared" si="108"/>
        <v>7.9445267003941094E-3</v>
      </c>
      <c r="U447" s="20">
        <f t="shared" si="109"/>
        <v>8.6562892628854332E-2</v>
      </c>
      <c r="V447" s="21">
        <f t="shared" si="110"/>
        <v>388978673.74649185</v>
      </c>
      <c r="W447" s="21" t="str">
        <f t="shared" si="111"/>
        <v/>
      </c>
      <c r="X447" s="19" t="str">
        <f t="shared" si="112"/>
        <v/>
      </c>
      <c r="Y447" s="17">
        <f t="shared" si="113"/>
        <v>8149.0119554334997</v>
      </c>
      <c r="Z447" s="17">
        <f t="shared" si="114"/>
        <v>160447.55558719579</v>
      </c>
      <c r="AA447" s="20">
        <f t="shared" si="115"/>
        <v>4.1482706435778706E-2</v>
      </c>
      <c r="AB447" s="17">
        <f t="shared" si="116"/>
        <v>160447.55558719579</v>
      </c>
      <c r="AC447" s="18">
        <f t="shared" si="117"/>
        <v>31647773.369867403</v>
      </c>
      <c r="AD447" s="19">
        <f t="shared" si="118"/>
        <v>4.8334388263112413E-2</v>
      </c>
    </row>
    <row r="448" spans="1:30" x14ac:dyDescent="0.25">
      <c r="A448" s="8">
        <v>597</v>
      </c>
      <c r="B448" s="9">
        <v>45384</v>
      </c>
      <c r="C448" s="10">
        <v>2.208333333333333</v>
      </c>
      <c r="D448" s="11">
        <v>168491.37645146181</v>
      </c>
      <c r="E448" s="11">
        <v>16945.533874773999</v>
      </c>
      <c r="F448" s="11">
        <v>20984.226044489369</v>
      </c>
      <c r="G448" s="11">
        <v>51553.498926084998</v>
      </c>
      <c r="H448" s="12">
        <v>4.9799464239642627E-2</v>
      </c>
      <c r="I448" s="13">
        <v>4321</v>
      </c>
      <c r="J448" s="13">
        <v>1114238</v>
      </c>
      <c r="K448" s="12">
        <v>7.1570729089870916E-2</v>
      </c>
      <c r="L448" s="14">
        <v>183.5243055555558</v>
      </c>
      <c r="M448" s="15"/>
      <c r="N448" s="16">
        <f t="shared" si="102"/>
        <v>116937.87752537681</v>
      </c>
      <c r="O448" s="17">
        <f t="shared" si="103"/>
        <v>206421.13637072517</v>
      </c>
      <c r="P448" s="18">
        <f t="shared" si="104"/>
        <v>37883295.70442602</v>
      </c>
      <c r="Q448" s="19">
        <f t="shared" si="105"/>
        <v>8.2092048191908074E-2</v>
      </c>
      <c r="R448" s="20">
        <f t="shared" si="106"/>
        <v>4.9799464239642627E-2</v>
      </c>
      <c r="S448" s="20">
        <f t="shared" si="107"/>
        <v>7.1980195056692373E-3</v>
      </c>
      <c r="T448" s="20">
        <f t="shared" si="108"/>
        <v>8.9135502897586556E-3</v>
      </c>
      <c r="U448" s="20">
        <f t="shared" si="109"/>
        <v>8.7682298885298812E-2</v>
      </c>
      <c r="V448" s="21">
        <f t="shared" si="110"/>
        <v>389374793.33993381</v>
      </c>
      <c r="W448" s="21" t="str">
        <f t="shared" si="111"/>
        <v/>
      </c>
      <c r="X448" s="19" t="str">
        <f t="shared" si="112"/>
        <v/>
      </c>
      <c r="Y448" s="17">
        <f t="shared" si="113"/>
        <v>8472.7669373869994</v>
      </c>
      <c r="Z448" s="17">
        <f t="shared" si="114"/>
        <v>160018.60951407481</v>
      </c>
      <c r="AA448" s="20">
        <f t="shared" si="115"/>
        <v>4.1445807182202796E-2</v>
      </c>
      <c r="AB448" s="17">
        <f t="shared" si="116"/>
        <v>160018.60951407481</v>
      </c>
      <c r="AC448" s="18">
        <f t="shared" si="117"/>
        <v>29367304.187036235</v>
      </c>
      <c r="AD448" s="19">
        <f t="shared" si="118"/>
        <v>5.0286056864327376E-2</v>
      </c>
    </row>
    <row r="449" spans="1:30" x14ac:dyDescent="0.25">
      <c r="A449" s="8">
        <v>598</v>
      </c>
      <c r="B449" s="9">
        <v>45386</v>
      </c>
      <c r="C449" s="10">
        <v>2.291666666666667</v>
      </c>
      <c r="D449" s="11">
        <v>168386.0177272202</v>
      </c>
      <c r="E449" s="11">
        <v>16834.555707242998</v>
      </c>
      <c r="F449" s="11">
        <v>20051.484627743921</v>
      </c>
      <c r="G449" s="11">
        <v>50325.905489224999</v>
      </c>
      <c r="H449" s="12">
        <v>5.0138168731693737E-2</v>
      </c>
      <c r="I449" s="13">
        <v>4435</v>
      </c>
      <c r="J449" s="13">
        <v>1135446</v>
      </c>
      <c r="K449" s="12">
        <v>6.9299404261590231E-2</v>
      </c>
      <c r="L449" s="14">
        <v>185.2892013888889</v>
      </c>
      <c r="M449" s="15"/>
      <c r="N449" s="16">
        <f t="shared" si="102"/>
        <v>118060.1122379952</v>
      </c>
      <c r="O449" s="17">
        <f t="shared" si="103"/>
        <v>205272.05806220713</v>
      </c>
      <c r="P449" s="18">
        <f t="shared" si="104"/>
        <v>38034695.705799989</v>
      </c>
      <c r="Q449" s="19">
        <f t="shared" si="105"/>
        <v>8.2010946186067524E-2</v>
      </c>
      <c r="R449" s="20">
        <f t="shared" si="106"/>
        <v>5.0138168731693737E-2</v>
      </c>
      <c r="S449" s="20">
        <f t="shared" si="107"/>
        <v>6.9282752645791956E-3</v>
      </c>
      <c r="T449" s="20">
        <f t="shared" si="108"/>
        <v>8.2522050109535994E-3</v>
      </c>
      <c r="U449" s="20">
        <f t="shared" si="109"/>
        <v>8.4479884537123018E-2</v>
      </c>
      <c r="V449" s="21">
        <f t="shared" si="110"/>
        <v>387271289.6701656</v>
      </c>
      <c r="W449" s="21" t="str">
        <f t="shared" si="111"/>
        <v/>
      </c>
      <c r="X449" s="19" t="str">
        <f t="shared" si="112"/>
        <v/>
      </c>
      <c r="Y449" s="17">
        <f t="shared" si="113"/>
        <v>8417.2778536214992</v>
      </c>
      <c r="Z449" s="17">
        <f t="shared" si="114"/>
        <v>159968.73987359871</v>
      </c>
      <c r="AA449" s="20">
        <f t="shared" si="115"/>
        <v>4.1408940750856466E-2</v>
      </c>
      <c r="AB449" s="17">
        <f t="shared" si="116"/>
        <v>159968.73987359871</v>
      </c>
      <c r="AC449" s="18">
        <f t="shared" si="117"/>
        <v>29640480.058366012</v>
      </c>
      <c r="AD449" s="19">
        <f t="shared" si="118"/>
        <v>4.9987985743906671E-2</v>
      </c>
    </row>
    <row r="450" spans="1:30" x14ac:dyDescent="0.25">
      <c r="A450" s="8">
        <v>599</v>
      </c>
      <c r="B450" s="9">
        <v>45389</v>
      </c>
      <c r="C450" s="10">
        <v>2.416666666666667</v>
      </c>
      <c r="D450" s="11">
        <v>168280.7150299529</v>
      </c>
      <c r="E450" s="11">
        <v>17676.45135520399</v>
      </c>
      <c r="F450" s="11">
        <v>22389.681436233819</v>
      </c>
      <c r="G450" s="11">
        <v>50333.574743311001</v>
      </c>
      <c r="H450" s="12">
        <v>5.0037889332375053E-2</v>
      </c>
      <c r="I450" s="13">
        <v>4542</v>
      </c>
      <c r="J450" s="13">
        <v>1135877</v>
      </c>
      <c r="K450" s="12">
        <v>6.5503077883392602E-2</v>
      </c>
      <c r="L450" s="14">
        <v>180.26989583333341</v>
      </c>
      <c r="M450" s="15"/>
      <c r="N450" s="16">
        <f t="shared" ref="N450:N513" si="119">D450-G450</f>
        <v>117947.14028664189</v>
      </c>
      <c r="O450" s="17">
        <f t="shared" ref="O450:O513" si="120">D450+E450+F450</f>
        <v>208346.84782139072</v>
      </c>
      <c r="P450" s="18">
        <f t="shared" ref="P450:P513" si="121">O450*L450</f>
        <v>37558664.553965472</v>
      </c>
      <c r="Q450" s="19">
        <f t="shared" ref="Q450:Q513" si="122">IF(O450&gt;0,E450/O450,"")</f>
        <v>8.4841462878082335E-2</v>
      </c>
      <c r="R450" s="20">
        <f t="shared" ref="R450:R513" si="123">IF(H450&lt;&gt;"",H450,IF(D450&gt;0,G450/D450,""))</f>
        <v>5.0037889332375053E-2</v>
      </c>
      <c r="S450" s="20">
        <f t="shared" ref="S450:S513" si="124">IF(AND(K450&lt;&gt;"",D450&gt;0),E450*K450/D450,"")</f>
        <v>6.8805386857064138E-3</v>
      </c>
      <c r="T450" s="20">
        <f t="shared" ref="T450:T513" si="125">IF(AND(K450&lt;&gt;"",D450&gt;0),F450*K450/D450,"")</f>
        <v>8.7151581608203247E-3</v>
      </c>
      <c r="U450" s="20">
        <f t="shared" ref="U450:U513" si="126">IF(K450&lt;&gt;"",K450+S450+T450,"")</f>
        <v>8.1098774729919346E-2</v>
      </c>
      <c r="V450" s="21">
        <f t="shared" ref="V450:V513" si="127">IF(AND(K450&lt;&gt;"",K450&gt;0,C450&gt;0),D450*(365.25/C450)/K450,"")</f>
        <v>388280977.39020598</v>
      </c>
      <c r="W450" s="21" t="str">
        <f t="shared" ref="W450:W513" si="128">IF(AND(M450&lt;&gt;"",L450&gt;0),M450/L450,"")</f>
        <v/>
      </c>
      <c r="X450" s="19" t="str">
        <f t="shared" ref="X450:X513" si="129">IF(AND(V450&lt;&gt;"",W450&lt;&gt;"",W450&gt;0),V450/W450,"")</f>
        <v/>
      </c>
      <c r="Y450" s="17">
        <f t="shared" ref="Y450:Y513" si="130">IF(A450&lt;620,E450*0.5,"")</f>
        <v>8838.2256776019949</v>
      </c>
      <c r="Z450" s="17">
        <f t="shared" ref="Z450:Z513" si="131">IF(Y450&lt;&gt;"",D450-Y450,"")</f>
        <v>159442.48935235091</v>
      </c>
      <c r="AA450" s="20">
        <f t="shared" ref="AA450:AA513" si="132">IF(B450&lt;&gt;"",MAX(0.08*0.85^((B450-DATE(2020,3,16))/365.25),0.015),"")</f>
        <v>4.1353702581659012E-2</v>
      </c>
      <c r="AB450" s="17">
        <f t="shared" ref="AB450:AB513" si="133">IF(Z450&lt;&gt;"",Z450,"")</f>
        <v>159442.48935235091</v>
      </c>
      <c r="AC450" s="18">
        <f t="shared" ref="AC450:AC513" si="134">IF(AB450&lt;&gt;"",AB450*L450,"")</f>
        <v>28742680.94695567</v>
      </c>
      <c r="AD450" s="19">
        <f t="shared" ref="AD450:AD513" si="135">IF(AND(Y450&lt;&gt;"",D450&gt;0),Y450/D450,"")</f>
        <v>5.2520728094296761E-2</v>
      </c>
    </row>
    <row r="451" spans="1:30" x14ac:dyDescent="0.25">
      <c r="A451" s="8">
        <v>600</v>
      </c>
      <c r="B451" s="9">
        <v>45391</v>
      </c>
      <c r="C451" s="10">
        <v>2.458333333333333</v>
      </c>
      <c r="D451" s="11">
        <v>168175.18871606849</v>
      </c>
      <c r="E451" s="11">
        <v>15746.062323566</v>
      </c>
      <c r="F451" s="11">
        <v>20663.756891689009</v>
      </c>
      <c r="G451" s="11">
        <v>49177.52267572</v>
      </c>
      <c r="H451" s="12">
        <v>4.9976372901713237E-2</v>
      </c>
      <c r="I451" s="13">
        <v>4548</v>
      </c>
      <c r="J451" s="13">
        <v>1147274</v>
      </c>
      <c r="K451" s="12">
        <v>6.438961601190954E-2</v>
      </c>
      <c r="L451" s="14">
        <v>175.9631597222224</v>
      </c>
      <c r="M451" s="15"/>
      <c r="N451" s="16">
        <f t="shared" si="119"/>
        <v>118997.66604034849</v>
      </c>
      <c r="O451" s="17">
        <f t="shared" si="120"/>
        <v>204585.00793132349</v>
      </c>
      <c r="P451" s="18">
        <f t="shared" si="121"/>
        <v>35999424.427391611</v>
      </c>
      <c r="Q451" s="19">
        <f t="shared" si="122"/>
        <v>7.6965866085611456E-2</v>
      </c>
      <c r="R451" s="20">
        <f t="shared" si="123"/>
        <v>4.9976372901713237E-2</v>
      </c>
      <c r="S451" s="20">
        <f t="shared" si="124"/>
        <v>6.02873060202571E-3</v>
      </c>
      <c r="T451" s="20">
        <f t="shared" si="125"/>
        <v>7.911579477194175E-3</v>
      </c>
      <c r="U451" s="20">
        <f t="shared" si="126"/>
        <v>7.8329926091129431E-2</v>
      </c>
      <c r="V451" s="21">
        <f t="shared" si="127"/>
        <v>388057019.02132565</v>
      </c>
      <c r="W451" s="21" t="str">
        <f t="shared" si="128"/>
        <v/>
      </c>
      <c r="X451" s="19" t="str">
        <f t="shared" si="129"/>
        <v/>
      </c>
      <c r="Y451" s="17">
        <f t="shared" si="130"/>
        <v>7873.0311617830002</v>
      </c>
      <c r="Z451" s="17">
        <f t="shared" si="131"/>
        <v>160302.15755428548</v>
      </c>
      <c r="AA451" s="20">
        <f t="shared" si="132"/>
        <v>4.1316918078212354E-2</v>
      </c>
      <c r="AB451" s="17">
        <f t="shared" si="133"/>
        <v>160302.15755428548</v>
      </c>
      <c r="AC451" s="18">
        <f t="shared" si="134"/>
        <v>28207274.153541598</v>
      </c>
      <c r="AD451" s="19">
        <f t="shared" si="135"/>
        <v>4.6814463072047459E-2</v>
      </c>
    </row>
    <row r="452" spans="1:30" x14ac:dyDescent="0.25">
      <c r="A452" s="8">
        <v>601</v>
      </c>
      <c r="B452" s="9">
        <v>45394</v>
      </c>
      <c r="C452" s="10">
        <v>2.458333333333333</v>
      </c>
      <c r="D452" s="11">
        <v>168070.2516052266</v>
      </c>
      <c r="E452" s="11">
        <v>10925.32615644301</v>
      </c>
      <c r="F452" s="11">
        <v>19308.524922391502</v>
      </c>
      <c r="G452" s="11">
        <v>48839.073878925999</v>
      </c>
      <c r="H452" s="12">
        <v>5.010207802852179E-2</v>
      </c>
      <c r="I452" s="13">
        <v>4572</v>
      </c>
      <c r="J452" s="13">
        <v>1141899</v>
      </c>
      <c r="K452" s="12">
        <v>6.4323481157122053E-2</v>
      </c>
      <c r="L452" s="14">
        <v>167.1136111111112</v>
      </c>
      <c r="M452" s="15"/>
      <c r="N452" s="16">
        <f t="shared" si="119"/>
        <v>119231.17772630061</v>
      </c>
      <c r="O452" s="17">
        <f t="shared" si="120"/>
        <v>198304.1026840611</v>
      </c>
      <c r="P452" s="18">
        <f t="shared" si="121"/>
        <v>33139314.697682049</v>
      </c>
      <c r="Q452" s="19">
        <f t="shared" si="122"/>
        <v>5.5093797902150743E-2</v>
      </c>
      <c r="R452" s="20">
        <f t="shared" si="123"/>
        <v>5.010207802852179E-2</v>
      </c>
      <c r="S452" s="20">
        <f t="shared" si="124"/>
        <v>4.1813170650214018E-3</v>
      </c>
      <c r="T452" s="20">
        <f t="shared" si="125"/>
        <v>7.3897166640443605E-3</v>
      </c>
      <c r="U452" s="20">
        <f t="shared" si="126"/>
        <v>7.5894514886187814E-2</v>
      </c>
      <c r="V452" s="21">
        <f t="shared" si="127"/>
        <v>388213617.04405499</v>
      </c>
      <c r="W452" s="21" t="str">
        <f t="shared" si="128"/>
        <v/>
      </c>
      <c r="X452" s="19" t="str">
        <f t="shared" si="129"/>
        <v/>
      </c>
      <c r="Y452" s="17">
        <f t="shared" si="130"/>
        <v>5462.6630782215052</v>
      </c>
      <c r="Z452" s="17">
        <f t="shared" si="131"/>
        <v>162607.58852700511</v>
      </c>
      <c r="AA452" s="20">
        <f t="shared" si="132"/>
        <v>4.1261802664242862E-2</v>
      </c>
      <c r="AB452" s="17">
        <f t="shared" si="133"/>
        <v>162607.58852700511</v>
      </c>
      <c r="AC452" s="18">
        <f t="shared" si="134"/>
        <v>27173941.312817518</v>
      </c>
      <c r="AD452" s="19">
        <f t="shared" si="135"/>
        <v>3.2502260370577254E-2</v>
      </c>
    </row>
    <row r="453" spans="1:30" x14ac:dyDescent="0.25">
      <c r="A453" s="8">
        <v>602</v>
      </c>
      <c r="B453" s="9">
        <v>45396</v>
      </c>
      <c r="C453" s="10">
        <v>2.375</v>
      </c>
      <c r="D453" s="11">
        <v>167966.74858842671</v>
      </c>
      <c r="E453" s="11">
        <v>10930.284418564999</v>
      </c>
      <c r="F453" s="11">
        <v>15372.81337969328</v>
      </c>
      <c r="G453" s="11">
        <v>49466.433066286998</v>
      </c>
      <c r="H453" s="12">
        <v>4.994252813489769E-2</v>
      </c>
      <c r="I453" s="13">
        <v>4655</v>
      </c>
      <c r="J453" s="13">
        <v>1154155</v>
      </c>
      <c r="K453" s="12">
        <v>6.6564107452435656E-2</v>
      </c>
      <c r="L453" s="14">
        <v>141.16590277777769</v>
      </c>
      <c r="M453" s="15"/>
      <c r="N453" s="16">
        <f t="shared" si="119"/>
        <v>118500.31552213972</v>
      </c>
      <c r="O453" s="17">
        <f t="shared" si="120"/>
        <v>194269.84638668498</v>
      </c>
      <c r="P453" s="18">
        <f t="shared" si="121"/>
        <v>27424278.247676577</v>
      </c>
      <c r="Q453" s="19">
        <f t="shared" si="122"/>
        <v>5.6263412062460702E-2</v>
      </c>
      <c r="R453" s="20">
        <f t="shared" si="123"/>
        <v>4.994252813489769E-2</v>
      </c>
      <c r="S453" s="20">
        <f t="shared" si="124"/>
        <v>4.3315991566033963E-3</v>
      </c>
      <c r="T453" s="20">
        <f t="shared" si="125"/>
        <v>6.0921438930720013E-3</v>
      </c>
      <c r="U453" s="20">
        <f t="shared" si="126"/>
        <v>7.6987850502111058E-2</v>
      </c>
      <c r="V453" s="21">
        <f t="shared" si="127"/>
        <v>388069769.88793153</v>
      </c>
      <c r="W453" s="21" t="str">
        <f t="shared" si="128"/>
        <v/>
      </c>
      <c r="X453" s="19" t="str">
        <f t="shared" si="129"/>
        <v/>
      </c>
      <c r="Y453" s="17">
        <f t="shared" si="130"/>
        <v>5465.1422092824996</v>
      </c>
      <c r="Z453" s="17">
        <f t="shared" si="131"/>
        <v>162501.60637914421</v>
      </c>
      <c r="AA453" s="20">
        <f t="shared" si="132"/>
        <v>4.1225099906628329E-2</v>
      </c>
      <c r="AB453" s="17">
        <f t="shared" si="133"/>
        <v>162501.60637914421</v>
      </c>
      <c r="AC453" s="18">
        <f t="shared" si="134"/>
        <v>22939685.967350971</v>
      </c>
      <c r="AD453" s="19">
        <f t="shared" si="135"/>
        <v>3.2537048286109767E-2</v>
      </c>
    </row>
    <row r="454" spans="1:30" x14ac:dyDescent="0.25">
      <c r="A454" s="8">
        <v>603</v>
      </c>
      <c r="B454" s="9">
        <v>45398</v>
      </c>
      <c r="C454" s="10">
        <v>2.25</v>
      </c>
      <c r="D454" s="11">
        <v>167863.26495006331</v>
      </c>
      <c r="E454" s="11">
        <v>8608.406189411</v>
      </c>
      <c r="F454" s="11">
        <v>13186.128809922529</v>
      </c>
      <c r="G454" s="11">
        <v>48884.138108501</v>
      </c>
      <c r="H454" s="12">
        <v>4.9486326379082943E-2</v>
      </c>
      <c r="I454" s="13">
        <v>4657</v>
      </c>
      <c r="J454" s="13">
        <v>1156122</v>
      </c>
      <c r="K454" s="12">
        <v>7.0215806003297937E-2</v>
      </c>
      <c r="L454" s="14">
        <v>134.82930555555541</v>
      </c>
      <c r="M454" s="15"/>
      <c r="N454" s="16">
        <f t="shared" si="119"/>
        <v>118979.12684156231</v>
      </c>
      <c r="O454" s="17">
        <f t="shared" si="120"/>
        <v>189657.79994939684</v>
      </c>
      <c r="P454" s="18">
        <f t="shared" si="121"/>
        <v>25571429.460371628</v>
      </c>
      <c r="Q454" s="19">
        <f t="shared" si="122"/>
        <v>4.5389149255700714E-2</v>
      </c>
      <c r="R454" s="20">
        <f t="shared" si="123"/>
        <v>4.9486326379082943E-2</v>
      </c>
      <c r="S454" s="20">
        <f t="shared" si="124"/>
        <v>3.6008246305294089E-3</v>
      </c>
      <c r="T454" s="20">
        <f t="shared" si="125"/>
        <v>5.5156478859591553E-3</v>
      </c>
      <c r="U454" s="20">
        <f t="shared" si="126"/>
        <v>7.9332278519786498E-2</v>
      </c>
      <c r="V454" s="21">
        <f t="shared" si="127"/>
        <v>388086456.52063572</v>
      </c>
      <c r="W454" s="21" t="str">
        <f t="shared" si="128"/>
        <v/>
      </c>
      <c r="X454" s="19" t="str">
        <f t="shared" si="129"/>
        <v/>
      </c>
      <c r="Y454" s="17">
        <f t="shared" si="130"/>
        <v>4304.2030947055</v>
      </c>
      <c r="Z454" s="17">
        <f t="shared" si="131"/>
        <v>163559.06185535781</v>
      </c>
      <c r="AA454" s="20">
        <f t="shared" si="132"/>
        <v>4.1188429796458398E-2</v>
      </c>
      <c r="AB454" s="17">
        <f t="shared" si="133"/>
        <v>163559.06185535781</v>
      </c>
      <c r="AC454" s="18">
        <f t="shared" si="134"/>
        <v>22052554.727276023</v>
      </c>
      <c r="AD454" s="19">
        <f t="shared" si="135"/>
        <v>2.5641125805493731E-2</v>
      </c>
    </row>
    <row r="455" spans="1:30" x14ac:dyDescent="0.25">
      <c r="A455" s="8">
        <v>604</v>
      </c>
      <c r="B455" s="9">
        <v>45400</v>
      </c>
      <c r="C455" s="10">
        <v>2.166666666666667</v>
      </c>
      <c r="D455" s="11">
        <v>167760.48079886049</v>
      </c>
      <c r="E455" s="11">
        <v>8390.3216215209977</v>
      </c>
      <c r="F455" s="11">
        <v>12834.191467496539</v>
      </c>
      <c r="G455" s="11">
        <v>49548.988686088</v>
      </c>
      <c r="H455" s="12">
        <v>4.9429359022294263E-2</v>
      </c>
      <c r="I455" s="13">
        <v>4660</v>
      </c>
      <c r="J455" s="13">
        <v>1140787</v>
      </c>
      <c r="K455" s="12">
        <v>7.3004499694827515E-2</v>
      </c>
      <c r="L455" s="14">
        <v>135.88395833333351</v>
      </c>
      <c r="M455" s="15"/>
      <c r="N455" s="16">
        <f t="shared" si="119"/>
        <v>118211.49211277248</v>
      </c>
      <c r="O455" s="17">
        <f t="shared" si="120"/>
        <v>188984.99388787802</v>
      </c>
      <c r="P455" s="18">
        <f t="shared" si="121"/>
        <v>25680029.035085704</v>
      </c>
      <c r="Q455" s="19">
        <f t="shared" si="122"/>
        <v>4.4396761080929263E-2</v>
      </c>
      <c r="R455" s="20">
        <f t="shared" si="123"/>
        <v>4.9429359022294263E-2</v>
      </c>
      <c r="S455" s="20">
        <f t="shared" si="124"/>
        <v>3.6512248256622489E-3</v>
      </c>
      <c r="T455" s="20">
        <f t="shared" si="125"/>
        <v>5.5850682032533442E-3</v>
      </c>
      <c r="U455" s="20">
        <f t="shared" si="126"/>
        <v>8.2240792723743114E-2</v>
      </c>
      <c r="V455" s="21">
        <f t="shared" si="127"/>
        <v>387380857.14161611</v>
      </c>
      <c r="W455" s="21" t="str">
        <f t="shared" si="128"/>
        <v/>
      </c>
      <c r="X455" s="19" t="str">
        <f t="shared" si="129"/>
        <v/>
      </c>
      <c r="Y455" s="17">
        <f t="shared" si="130"/>
        <v>4195.1608107604989</v>
      </c>
      <c r="Z455" s="17">
        <f t="shared" si="131"/>
        <v>163565.31998809997</v>
      </c>
      <c r="AA455" s="20">
        <f t="shared" si="132"/>
        <v>4.1151792304692861E-2</v>
      </c>
      <c r="AB455" s="17">
        <f t="shared" si="133"/>
        <v>163565.31998809997</v>
      </c>
      <c r="AC455" s="18">
        <f t="shared" si="134"/>
        <v>22225903.126041338</v>
      </c>
      <c r="AD455" s="19">
        <f t="shared" si="135"/>
        <v>2.5006847803389191E-2</v>
      </c>
    </row>
    <row r="456" spans="1:30" x14ac:dyDescent="0.25">
      <c r="A456" s="8">
        <v>605</v>
      </c>
      <c r="B456" s="9">
        <v>45403</v>
      </c>
      <c r="C456" s="10">
        <v>2.25</v>
      </c>
      <c r="D456" s="11">
        <v>167657.78028722599</v>
      </c>
      <c r="E456" s="11">
        <v>9295.2885071689998</v>
      </c>
      <c r="F456" s="11">
        <v>12719.906850172019</v>
      </c>
      <c r="G456" s="11">
        <v>49375.128924067001</v>
      </c>
      <c r="H456" s="12">
        <v>4.9218542597588982E-2</v>
      </c>
      <c r="I456" s="13">
        <v>4662</v>
      </c>
      <c r="J456" s="13">
        <v>1135848</v>
      </c>
      <c r="K456" s="12">
        <v>7.0060045127095252E-2</v>
      </c>
      <c r="L456" s="14">
        <v>150.2180208333333</v>
      </c>
      <c r="M456" s="15"/>
      <c r="N456" s="16">
        <f t="shared" si="119"/>
        <v>118282.65136315899</v>
      </c>
      <c r="O456" s="17">
        <f t="shared" si="120"/>
        <v>189672.97564456702</v>
      </c>
      <c r="P456" s="18">
        <f t="shared" si="121"/>
        <v>28492299.006895889</v>
      </c>
      <c r="Q456" s="19">
        <f t="shared" si="122"/>
        <v>4.9006920862504293E-2</v>
      </c>
      <c r="R456" s="20">
        <f t="shared" si="123"/>
        <v>4.9218542597588982E-2</v>
      </c>
      <c r="S456" s="20">
        <f t="shared" si="124"/>
        <v>3.8842714675451757E-3</v>
      </c>
      <c r="T456" s="20">
        <f t="shared" si="125"/>
        <v>5.315334882811865E-3</v>
      </c>
      <c r="U456" s="20">
        <f t="shared" si="126"/>
        <v>7.92596514774523E-2</v>
      </c>
      <c r="V456" s="21">
        <f t="shared" si="127"/>
        <v>388473148.7671743</v>
      </c>
      <c r="W456" s="21" t="str">
        <f t="shared" si="128"/>
        <v/>
      </c>
      <c r="X456" s="19" t="str">
        <f t="shared" si="129"/>
        <v/>
      </c>
      <c r="Y456" s="17">
        <f t="shared" si="130"/>
        <v>4647.6442535844999</v>
      </c>
      <c r="Z456" s="17">
        <f t="shared" si="131"/>
        <v>163010.13603364149</v>
      </c>
      <c r="AA456" s="20">
        <f t="shared" si="132"/>
        <v>4.1096897163090895E-2</v>
      </c>
      <c r="AB456" s="17">
        <f t="shared" si="133"/>
        <v>163010.13603364149</v>
      </c>
      <c r="AC456" s="18">
        <f t="shared" si="134"/>
        <v>24487060.010746054</v>
      </c>
      <c r="AD456" s="19">
        <f t="shared" si="135"/>
        <v>2.7721017453662473E-2</v>
      </c>
    </row>
    <row r="457" spans="1:30" x14ac:dyDescent="0.25">
      <c r="A457" s="8">
        <v>606</v>
      </c>
      <c r="B457" s="9">
        <v>45405</v>
      </c>
      <c r="C457" s="10">
        <v>2.291666666666667</v>
      </c>
      <c r="D457" s="11">
        <v>167554.8358686002</v>
      </c>
      <c r="E457" s="11">
        <v>12088.342691866999</v>
      </c>
      <c r="F457" s="11">
        <v>17258.91499434135</v>
      </c>
      <c r="G457" s="11">
        <v>49446.205953523997</v>
      </c>
      <c r="H457" s="12">
        <v>4.8956602727619869E-2</v>
      </c>
      <c r="I457" s="13">
        <v>4670</v>
      </c>
      <c r="J457" s="13">
        <v>1146928</v>
      </c>
      <c r="K457" s="12">
        <v>6.8805923314524842E-2</v>
      </c>
      <c r="L457" s="14">
        <v>156.44211805555551</v>
      </c>
      <c r="M457" s="15"/>
      <c r="N457" s="16">
        <f t="shared" si="119"/>
        <v>118108.62991507621</v>
      </c>
      <c r="O457" s="17">
        <f t="shared" si="120"/>
        <v>196902.09355480855</v>
      </c>
      <c r="P457" s="18">
        <f t="shared" si="121"/>
        <v>30803780.565287396</v>
      </c>
      <c r="Q457" s="19">
        <f t="shared" si="122"/>
        <v>6.1392656998348047E-2</v>
      </c>
      <c r="R457" s="20">
        <f t="shared" si="123"/>
        <v>4.8956602727619869E-2</v>
      </c>
      <c r="S457" s="20">
        <f t="shared" si="124"/>
        <v>4.9640440154682967E-3</v>
      </c>
      <c r="T457" s="20">
        <f t="shared" si="125"/>
        <v>7.087325026678591E-3</v>
      </c>
      <c r="U457" s="20">
        <f t="shared" si="126"/>
        <v>8.0857292356671731E-2</v>
      </c>
      <c r="V457" s="21">
        <f t="shared" si="127"/>
        <v>388123479.77395993</v>
      </c>
      <c r="W457" s="21" t="str">
        <f t="shared" si="128"/>
        <v/>
      </c>
      <c r="X457" s="19" t="str">
        <f t="shared" si="129"/>
        <v/>
      </c>
      <c r="Y457" s="17">
        <f t="shared" si="130"/>
        <v>6044.1713459334997</v>
      </c>
      <c r="Z457" s="17">
        <f t="shared" si="131"/>
        <v>161510.66452266672</v>
      </c>
      <c r="AA457" s="20">
        <f t="shared" si="132"/>
        <v>4.1060341090454901E-2</v>
      </c>
      <c r="AB457" s="17">
        <f t="shared" si="133"/>
        <v>161510.66452266672</v>
      </c>
      <c r="AC457" s="18">
        <f t="shared" si="134"/>
        <v>25267070.44648625</v>
      </c>
      <c r="AD457" s="19">
        <f t="shared" si="135"/>
        <v>3.6072795599128259E-2</v>
      </c>
    </row>
    <row r="458" spans="1:30" x14ac:dyDescent="0.25">
      <c r="A458" s="8">
        <v>607</v>
      </c>
      <c r="B458" s="9">
        <v>45407</v>
      </c>
      <c r="C458" s="10">
        <v>2.291666666666667</v>
      </c>
      <c r="D458" s="11">
        <v>167451.09789979181</v>
      </c>
      <c r="E458" s="11">
        <v>9500.3922473579914</v>
      </c>
      <c r="F458" s="11">
        <v>15314.805650532109</v>
      </c>
      <c r="G458" s="11">
        <v>49746.225022778002</v>
      </c>
      <c r="H458" s="12">
        <v>4.8656599578977347E-2</v>
      </c>
      <c r="I458" s="13">
        <v>4663</v>
      </c>
      <c r="J458" s="13">
        <v>1155531</v>
      </c>
      <c r="K458" s="12">
        <v>6.8831263863934136E-2</v>
      </c>
      <c r="L458" s="14">
        <v>146.6823263888889</v>
      </c>
      <c r="M458" s="15"/>
      <c r="N458" s="16">
        <f t="shared" si="119"/>
        <v>117704.87287701381</v>
      </c>
      <c r="O458" s="17">
        <f t="shared" si="120"/>
        <v>192266.2957976819</v>
      </c>
      <c r="P458" s="18">
        <f t="shared" si="121"/>
        <v>28202067.553778235</v>
      </c>
      <c r="Q458" s="19">
        <f t="shared" si="122"/>
        <v>4.9412676350487711E-2</v>
      </c>
      <c r="R458" s="20">
        <f t="shared" si="123"/>
        <v>4.8656599578977347E-2</v>
      </c>
      <c r="S458" s="20">
        <f t="shared" si="124"/>
        <v>3.90516403768282E-3</v>
      </c>
      <c r="T458" s="20">
        <f t="shared" si="125"/>
        <v>6.2951956838615368E-3</v>
      </c>
      <c r="U458" s="20">
        <f t="shared" si="126"/>
        <v>7.9031623585478494E-2</v>
      </c>
      <c r="V458" s="21">
        <f t="shared" si="127"/>
        <v>387740380.48420382</v>
      </c>
      <c r="W458" s="21" t="str">
        <f t="shared" si="128"/>
        <v/>
      </c>
      <c r="X458" s="19" t="str">
        <f t="shared" si="129"/>
        <v/>
      </c>
      <c r="Y458" s="17">
        <f t="shared" si="130"/>
        <v>4750.1961236789957</v>
      </c>
      <c r="Z458" s="17">
        <f t="shared" si="131"/>
        <v>162700.90177611282</v>
      </c>
      <c r="AA458" s="20">
        <f t="shared" si="132"/>
        <v>4.1023817534785845E-2</v>
      </c>
      <c r="AB458" s="17">
        <f t="shared" si="133"/>
        <v>162700.90177611282</v>
      </c>
      <c r="AC458" s="18">
        <f t="shared" si="134"/>
        <v>23865346.778090335</v>
      </c>
      <c r="AD458" s="19">
        <f t="shared" si="135"/>
        <v>2.8367661862221217E-2</v>
      </c>
    </row>
    <row r="459" spans="1:30" x14ac:dyDescent="0.25">
      <c r="A459" s="8">
        <v>608</v>
      </c>
      <c r="B459" s="9">
        <v>45410</v>
      </c>
      <c r="C459" s="10">
        <v>2.333333333333333</v>
      </c>
      <c r="D459" s="11">
        <v>167348.13529471951</v>
      </c>
      <c r="E459" s="11">
        <v>8367.4422418530048</v>
      </c>
      <c r="F459" s="11">
        <v>15233.681233473661</v>
      </c>
      <c r="G459" s="11">
        <v>49472.410829572</v>
      </c>
      <c r="H459" s="12">
        <v>4.8640414452705727E-2</v>
      </c>
      <c r="I459" s="13">
        <v>4671</v>
      </c>
      <c r="J459" s="13">
        <v>1158326</v>
      </c>
      <c r="K459" s="12">
        <v>6.7740027083046758E-2</v>
      </c>
      <c r="L459" s="14">
        <v>142.45920138888891</v>
      </c>
      <c r="M459" s="15"/>
      <c r="N459" s="16">
        <f t="shared" si="119"/>
        <v>117875.7244651475</v>
      </c>
      <c r="O459" s="17">
        <f t="shared" si="120"/>
        <v>190949.25877004617</v>
      </c>
      <c r="P459" s="18">
        <f t="shared" si="121"/>
        <v>27202478.910181072</v>
      </c>
      <c r="Q459" s="19">
        <f t="shared" si="122"/>
        <v>4.3820239448688493E-2</v>
      </c>
      <c r="R459" s="20">
        <f t="shared" si="123"/>
        <v>4.8640414452705727E-2</v>
      </c>
      <c r="S459" s="20">
        <f t="shared" si="124"/>
        <v>3.3870157147597277E-3</v>
      </c>
      <c r="T459" s="20">
        <f t="shared" si="125"/>
        <v>6.1663667629917622E-3</v>
      </c>
      <c r="U459" s="20">
        <f t="shared" si="126"/>
        <v>7.7293409560798249E-2</v>
      </c>
      <c r="V459" s="21">
        <f t="shared" si="127"/>
        <v>386713159.42383665</v>
      </c>
      <c r="W459" s="21" t="str">
        <f t="shared" si="128"/>
        <v/>
      </c>
      <c r="X459" s="19" t="str">
        <f t="shared" si="129"/>
        <v/>
      </c>
      <c r="Y459" s="17">
        <f t="shared" si="130"/>
        <v>4183.7211209265024</v>
      </c>
      <c r="Z459" s="17">
        <f t="shared" si="131"/>
        <v>163164.41417379302</v>
      </c>
      <c r="AA459" s="20">
        <f t="shared" si="132"/>
        <v>4.096909310733076E-2</v>
      </c>
      <c r="AB459" s="17">
        <f t="shared" si="133"/>
        <v>163164.41417379302</v>
      </c>
      <c r="AC459" s="18">
        <f t="shared" si="134"/>
        <v>23244272.13828446</v>
      </c>
      <c r="AD459" s="19">
        <f t="shared" si="135"/>
        <v>2.500010599794544E-2</v>
      </c>
    </row>
    <row r="460" spans="1:30" x14ac:dyDescent="0.25">
      <c r="A460" s="8">
        <v>609</v>
      </c>
      <c r="B460" s="9">
        <v>45412</v>
      </c>
      <c r="C460" s="10">
        <v>2.333333333333333</v>
      </c>
      <c r="D460" s="11">
        <v>167245.52293603629</v>
      </c>
      <c r="E460" s="11">
        <v>7744.1252952710038</v>
      </c>
      <c r="F460" s="11">
        <v>15287.5128184199</v>
      </c>
      <c r="G460" s="11">
        <v>49280.388616573997</v>
      </c>
      <c r="H460" s="12">
        <v>4.8504944342321873E-2</v>
      </c>
      <c r="I460" s="13">
        <v>4671</v>
      </c>
      <c r="J460" s="13">
        <v>1176441</v>
      </c>
      <c r="K460" s="12">
        <v>6.7452995064691754E-2</v>
      </c>
      <c r="L460" s="14">
        <v>130.64559027777781</v>
      </c>
      <c r="M460" s="15"/>
      <c r="N460" s="16">
        <f t="shared" si="119"/>
        <v>117965.13431946229</v>
      </c>
      <c r="O460" s="17">
        <f t="shared" si="120"/>
        <v>190277.16104972718</v>
      </c>
      <c r="P460" s="18">
        <f t="shared" si="121"/>
        <v>24858872.0217214</v>
      </c>
      <c r="Q460" s="19">
        <f t="shared" si="122"/>
        <v>4.0699184560816254E-2</v>
      </c>
      <c r="R460" s="20">
        <f t="shared" si="123"/>
        <v>4.8504944342321873E-2</v>
      </c>
      <c r="S460" s="20">
        <f t="shared" si="124"/>
        <v>3.1233388861599E-3</v>
      </c>
      <c r="T460" s="20">
        <f t="shared" si="125"/>
        <v>6.1657167772836089E-3</v>
      </c>
      <c r="U460" s="20">
        <f t="shared" si="126"/>
        <v>7.6742050728135267E-2</v>
      </c>
      <c r="V460" s="21">
        <f t="shared" si="127"/>
        <v>388120607.08011633</v>
      </c>
      <c r="W460" s="21" t="str">
        <f t="shared" si="128"/>
        <v/>
      </c>
      <c r="X460" s="19" t="str">
        <f t="shared" si="129"/>
        <v/>
      </c>
      <c r="Y460" s="17">
        <f t="shared" si="130"/>
        <v>3872.0626476355019</v>
      </c>
      <c r="Z460" s="17">
        <f t="shared" si="131"/>
        <v>163373.46028840079</v>
      </c>
      <c r="AA460" s="20">
        <f t="shared" si="132"/>
        <v>4.0932650717592209E-2</v>
      </c>
      <c r="AB460" s="17">
        <f t="shared" si="133"/>
        <v>163373.46028840079</v>
      </c>
      <c r="AC460" s="18">
        <f t="shared" si="134"/>
        <v>21344022.155101214</v>
      </c>
      <c r="AD460" s="19">
        <f t="shared" si="135"/>
        <v>2.3151965922079645E-2</v>
      </c>
    </row>
    <row r="461" spans="1:30" x14ac:dyDescent="0.25">
      <c r="A461" s="8">
        <v>610</v>
      </c>
      <c r="B461" s="9">
        <v>45414</v>
      </c>
      <c r="C461" s="10">
        <v>2.291666666666667</v>
      </c>
      <c r="D461" s="11">
        <v>167143.11211762921</v>
      </c>
      <c r="E461" s="11">
        <v>9979.7802478329995</v>
      </c>
      <c r="F461" s="11">
        <v>20602.386122935601</v>
      </c>
      <c r="G461" s="11">
        <v>48121.501606869999</v>
      </c>
      <c r="H461" s="12">
        <v>4.8174064656206869E-2</v>
      </c>
      <c r="I461" s="13">
        <v>4681</v>
      </c>
      <c r="J461" s="13">
        <v>1175973</v>
      </c>
      <c r="K461" s="12">
        <v>6.8810176560099814E-2</v>
      </c>
      <c r="L461" s="14">
        <v>134.98625000000021</v>
      </c>
      <c r="M461" s="15"/>
      <c r="N461" s="16">
        <f t="shared" si="119"/>
        <v>119021.6105107592</v>
      </c>
      <c r="O461" s="17">
        <f t="shared" si="120"/>
        <v>197725.2784883978</v>
      </c>
      <c r="P461" s="18">
        <f t="shared" si="121"/>
        <v>26690193.873354528</v>
      </c>
      <c r="Q461" s="19">
        <f t="shared" si="122"/>
        <v>5.0472960888602807E-2</v>
      </c>
      <c r="R461" s="20">
        <f t="shared" si="123"/>
        <v>4.8174064656206869E-2</v>
      </c>
      <c r="S461" s="20">
        <f t="shared" si="124"/>
        <v>4.1085177377881039E-3</v>
      </c>
      <c r="T461" s="20">
        <f t="shared" si="125"/>
        <v>8.481676622611024E-3</v>
      </c>
      <c r="U461" s="20">
        <f t="shared" si="126"/>
        <v>8.1400370920498941E-2</v>
      </c>
      <c r="V461" s="21">
        <f t="shared" si="127"/>
        <v>387145832.7476871</v>
      </c>
      <c r="W461" s="21" t="str">
        <f t="shared" si="128"/>
        <v/>
      </c>
      <c r="X461" s="19" t="str">
        <f t="shared" si="129"/>
        <v/>
      </c>
      <c r="Y461" s="17">
        <f t="shared" si="130"/>
        <v>4989.8901239164998</v>
      </c>
      <c r="Z461" s="17">
        <f t="shared" si="131"/>
        <v>162153.22199371271</v>
      </c>
      <c r="AA461" s="20">
        <f t="shared" si="132"/>
        <v>4.089624074369861E-2</v>
      </c>
      <c r="AB461" s="17">
        <f t="shared" si="133"/>
        <v>162153.22199371271</v>
      </c>
      <c r="AC461" s="18">
        <f t="shared" si="134"/>
        <v>21888455.362348836</v>
      </c>
      <c r="AD461" s="19">
        <f t="shared" si="135"/>
        <v>2.9853997934445528E-2</v>
      </c>
    </row>
    <row r="462" spans="1:30" x14ac:dyDescent="0.25">
      <c r="A462" s="8">
        <v>611</v>
      </c>
      <c r="B462" s="9">
        <v>45417</v>
      </c>
      <c r="C462" s="10">
        <v>2.291666666666667</v>
      </c>
      <c r="D462" s="11">
        <v>167040.072183671</v>
      </c>
      <c r="E462" s="11">
        <v>9911.982122990994</v>
      </c>
      <c r="F462" s="11">
        <v>19790.14525770265</v>
      </c>
      <c r="G462" s="11">
        <v>48515.992128407997</v>
      </c>
      <c r="H462" s="12">
        <v>4.7906115716551637E-2</v>
      </c>
      <c r="I462" s="13">
        <v>4683</v>
      </c>
      <c r="J462" s="13">
        <v>1161446</v>
      </c>
      <c r="K462" s="12">
        <v>6.8586359065745006E-2</v>
      </c>
      <c r="L462" s="14">
        <v>145.89302083333271</v>
      </c>
      <c r="M462" s="15"/>
      <c r="N462" s="16">
        <f t="shared" si="119"/>
        <v>118524.08005526301</v>
      </c>
      <c r="O462" s="17">
        <f t="shared" si="120"/>
        <v>196742.19956436465</v>
      </c>
      <c r="P462" s="18">
        <f t="shared" si="121"/>
        <v>28703313.819839556</v>
      </c>
      <c r="Q462" s="19">
        <f t="shared" si="122"/>
        <v>5.0380559661010939E-2</v>
      </c>
      <c r="R462" s="20">
        <f t="shared" si="123"/>
        <v>4.7906115716551637E-2</v>
      </c>
      <c r="S462" s="20">
        <f t="shared" si="124"/>
        <v>4.0698423800559292E-3</v>
      </c>
      <c r="T462" s="20">
        <f t="shared" si="125"/>
        <v>8.1257987431636834E-3</v>
      </c>
      <c r="U462" s="20">
        <f t="shared" si="126"/>
        <v>8.0782000188964628E-2</v>
      </c>
      <c r="V462" s="21">
        <f t="shared" si="127"/>
        <v>388169758.19252056</v>
      </c>
      <c r="W462" s="21" t="str">
        <f t="shared" si="128"/>
        <v/>
      </c>
      <c r="X462" s="19" t="str">
        <f t="shared" si="129"/>
        <v/>
      </c>
      <c r="Y462" s="17">
        <f t="shared" si="130"/>
        <v>4955.991061495497</v>
      </c>
      <c r="Z462" s="17">
        <f t="shared" si="131"/>
        <v>162084.0811221755</v>
      </c>
      <c r="AA462" s="20">
        <f t="shared" si="132"/>
        <v>4.0841686499499701E-2</v>
      </c>
      <c r="AB462" s="17">
        <f t="shared" si="133"/>
        <v>162084.0811221755</v>
      </c>
      <c r="AC462" s="18">
        <f t="shared" si="134"/>
        <v>23646936.22390914</v>
      </c>
      <c r="AD462" s="19">
        <f t="shared" si="135"/>
        <v>2.9669473897533251E-2</v>
      </c>
    </row>
    <row r="463" spans="1:30" x14ac:dyDescent="0.25">
      <c r="A463" s="8">
        <v>612</v>
      </c>
      <c r="B463" s="9">
        <v>45419</v>
      </c>
      <c r="C463" s="10">
        <v>2.291666666666667</v>
      </c>
      <c r="D463" s="11">
        <v>166937.07308576681</v>
      </c>
      <c r="E463" s="11">
        <v>11625.081109815999</v>
      </c>
      <c r="F463" s="11">
        <v>18975.990938221221</v>
      </c>
      <c r="G463" s="11">
        <v>49215.592287767999</v>
      </c>
      <c r="H463" s="12">
        <v>4.7683591980159729E-2</v>
      </c>
      <c r="I463" s="13">
        <v>4693</v>
      </c>
      <c r="J463" s="13">
        <v>1180566</v>
      </c>
      <c r="K463" s="12">
        <v>6.8423342745990767E-2</v>
      </c>
      <c r="L463" s="14">
        <v>154.3163194444447</v>
      </c>
      <c r="M463" s="15"/>
      <c r="N463" s="16">
        <f t="shared" si="119"/>
        <v>117721.48079799881</v>
      </c>
      <c r="O463" s="17">
        <f t="shared" si="120"/>
        <v>197538.14513380404</v>
      </c>
      <c r="P463" s="18">
        <f t="shared" si="121"/>
        <v>30483359.506931182</v>
      </c>
      <c r="Q463" s="19">
        <f t="shared" si="122"/>
        <v>5.8849803929978475E-2</v>
      </c>
      <c r="R463" s="20">
        <f t="shared" si="123"/>
        <v>4.7683591980159729E-2</v>
      </c>
      <c r="S463" s="20">
        <f t="shared" si="124"/>
        <v>4.7648308103390461E-3</v>
      </c>
      <c r="T463" s="20">
        <f t="shared" si="125"/>
        <v>7.77778541285224E-3</v>
      </c>
      <c r="U463" s="20">
        <f t="shared" si="126"/>
        <v>8.0965958969182045E-2</v>
      </c>
      <c r="V463" s="21">
        <f t="shared" si="127"/>
        <v>388854638.82016468</v>
      </c>
      <c r="W463" s="21" t="str">
        <f t="shared" si="128"/>
        <v/>
      </c>
      <c r="X463" s="19" t="str">
        <f t="shared" si="129"/>
        <v/>
      </c>
      <c r="Y463" s="17">
        <f t="shared" si="130"/>
        <v>5812.5405549079996</v>
      </c>
      <c r="Z463" s="17">
        <f t="shared" si="131"/>
        <v>161124.53253085882</v>
      </c>
      <c r="AA463" s="20">
        <f t="shared" si="132"/>
        <v>4.0805357439124966E-2</v>
      </c>
      <c r="AB463" s="17">
        <f t="shared" si="133"/>
        <v>161124.53253085882</v>
      </c>
      <c r="AC463" s="18">
        <f t="shared" si="134"/>
        <v>24864144.832368832</v>
      </c>
      <c r="AD463" s="19">
        <f t="shared" si="135"/>
        <v>3.4818752045099689E-2</v>
      </c>
    </row>
    <row r="464" spans="1:30" x14ac:dyDescent="0.25">
      <c r="A464" s="8">
        <v>613</v>
      </c>
      <c r="B464" s="9">
        <v>45421</v>
      </c>
      <c r="C464" s="10">
        <v>2.25</v>
      </c>
      <c r="D464" s="11">
        <v>166833.5985541367</v>
      </c>
      <c r="E464" s="11">
        <v>10265.383051841</v>
      </c>
      <c r="F464" s="11">
        <v>15317.341523030591</v>
      </c>
      <c r="G464" s="11">
        <v>49060.500950294998</v>
      </c>
      <c r="H464" s="12">
        <v>4.6963430263853523E-2</v>
      </c>
      <c r="I464" s="13">
        <v>4699</v>
      </c>
      <c r="J464" s="13">
        <v>1175152</v>
      </c>
      <c r="K464" s="12">
        <v>6.9556251158222476E-2</v>
      </c>
      <c r="L464" s="14">
        <v>145.65444444444481</v>
      </c>
      <c r="M464" s="15"/>
      <c r="N464" s="16">
        <f t="shared" si="119"/>
        <v>117773.0976038417</v>
      </c>
      <c r="O464" s="17">
        <f t="shared" si="120"/>
        <v>192416.32312900829</v>
      </c>
      <c r="P464" s="18">
        <f t="shared" si="121"/>
        <v>28026292.647398479</v>
      </c>
      <c r="Q464" s="19">
        <f t="shared" si="122"/>
        <v>5.3349855588698814E-2</v>
      </c>
      <c r="R464" s="20">
        <f t="shared" si="123"/>
        <v>4.6963430263853523E-2</v>
      </c>
      <c r="S464" s="20">
        <f t="shared" si="124"/>
        <v>4.2798427173979369E-3</v>
      </c>
      <c r="T464" s="20">
        <f t="shared" si="125"/>
        <v>6.3861048570888618E-3</v>
      </c>
      <c r="U464" s="20">
        <f t="shared" si="126"/>
        <v>8.0222198732709277E-2</v>
      </c>
      <c r="V464" s="21">
        <f t="shared" si="127"/>
        <v>389363338.51118803</v>
      </c>
      <c r="W464" s="21" t="str">
        <f t="shared" si="128"/>
        <v/>
      </c>
      <c r="X464" s="19" t="str">
        <f t="shared" si="129"/>
        <v/>
      </c>
      <c r="Y464" s="17">
        <f t="shared" si="130"/>
        <v>5132.6915259204998</v>
      </c>
      <c r="Z464" s="17">
        <f t="shared" si="131"/>
        <v>161700.9070282162</v>
      </c>
      <c r="AA464" s="20">
        <f t="shared" si="132"/>
        <v>4.0769060693787655E-2</v>
      </c>
      <c r="AB464" s="17">
        <f t="shared" si="133"/>
        <v>161700.9070282162</v>
      </c>
      <c r="AC464" s="18">
        <f t="shared" si="134"/>
        <v>23552455.779357649</v>
      </c>
      <c r="AD464" s="19">
        <f t="shared" si="135"/>
        <v>3.0765334863019012E-2</v>
      </c>
    </row>
    <row r="465" spans="1:30" x14ac:dyDescent="0.25">
      <c r="A465" s="8">
        <v>614</v>
      </c>
      <c r="B465" s="9">
        <v>45424</v>
      </c>
      <c r="C465" s="10">
        <v>2.208333333333333</v>
      </c>
      <c r="D465" s="11">
        <v>166730.53993986169</v>
      </c>
      <c r="E465" s="11">
        <v>11599.29974734701</v>
      </c>
      <c r="F465" s="11">
        <v>19819.970424255051</v>
      </c>
      <c r="G465" s="11">
        <v>48966.162381064998</v>
      </c>
      <c r="H465" s="12">
        <v>4.6750002039722592E-2</v>
      </c>
      <c r="I465" s="13">
        <v>4704</v>
      </c>
      <c r="J465" s="13">
        <v>1168231</v>
      </c>
      <c r="K465" s="12">
        <v>7.0743402223069685E-2</v>
      </c>
      <c r="L465" s="14">
        <v>145.4513888888886</v>
      </c>
      <c r="M465" s="15"/>
      <c r="N465" s="16">
        <f t="shared" si="119"/>
        <v>117764.3775587967</v>
      </c>
      <c r="O465" s="17">
        <f t="shared" si="120"/>
        <v>198149.81011146377</v>
      </c>
      <c r="P465" s="18">
        <f t="shared" si="121"/>
        <v>28821165.088781949</v>
      </c>
      <c r="Q465" s="19">
        <f t="shared" si="122"/>
        <v>5.8538031102942464E-2</v>
      </c>
      <c r="R465" s="20">
        <f t="shared" si="123"/>
        <v>4.6750002039722592E-2</v>
      </c>
      <c r="S465" s="20">
        <f t="shared" si="124"/>
        <v>4.92155742930176E-3</v>
      </c>
      <c r="T465" s="20">
        <f t="shared" si="125"/>
        <v>8.4095699580782109E-3</v>
      </c>
      <c r="U465" s="20">
        <f t="shared" si="126"/>
        <v>8.4074529610449644E-2</v>
      </c>
      <c r="V465" s="21">
        <f t="shared" si="127"/>
        <v>389811646.98934239</v>
      </c>
      <c r="W465" s="21" t="str">
        <f t="shared" si="128"/>
        <v/>
      </c>
      <c r="X465" s="19" t="str">
        <f t="shared" si="129"/>
        <v/>
      </c>
      <c r="Y465" s="17">
        <f t="shared" si="130"/>
        <v>5799.6498736735048</v>
      </c>
      <c r="Z465" s="17">
        <f t="shared" si="131"/>
        <v>160930.89006618818</v>
      </c>
      <c r="AA465" s="20">
        <f t="shared" si="132"/>
        <v>4.0714676103605185E-2</v>
      </c>
      <c r="AB465" s="17">
        <f t="shared" si="133"/>
        <v>160930.89006618818</v>
      </c>
      <c r="AC465" s="18">
        <f t="shared" si="134"/>
        <v>23407621.475252118</v>
      </c>
      <c r="AD465" s="19">
        <f t="shared" si="135"/>
        <v>3.4784568416592367E-2</v>
      </c>
    </row>
    <row r="466" spans="1:30" x14ac:dyDescent="0.25">
      <c r="A466" s="8">
        <v>615</v>
      </c>
      <c r="B466" s="9">
        <v>45426</v>
      </c>
      <c r="C466" s="10">
        <v>2.208333333333333</v>
      </c>
      <c r="D466" s="11">
        <v>166627.11674196541</v>
      </c>
      <c r="E466" s="11">
        <v>12223.948525395999</v>
      </c>
      <c r="F466" s="11">
        <v>21836.205311668269</v>
      </c>
      <c r="G466" s="11">
        <v>48558.945029716</v>
      </c>
      <c r="H466" s="12">
        <v>4.6888996628767173E-2</v>
      </c>
      <c r="I466" s="13">
        <v>4713</v>
      </c>
      <c r="J466" s="13">
        <v>1160799</v>
      </c>
      <c r="K466" s="12">
        <v>7.0481603004987972E-2</v>
      </c>
      <c r="L466" s="14">
        <v>145.31836805555531</v>
      </c>
      <c r="M466" s="15"/>
      <c r="N466" s="16">
        <f t="shared" si="119"/>
        <v>118068.1717122494</v>
      </c>
      <c r="O466" s="17">
        <f t="shared" si="120"/>
        <v>200687.27057902969</v>
      </c>
      <c r="P466" s="18">
        <f t="shared" si="121"/>
        <v>29163546.650068253</v>
      </c>
      <c r="Q466" s="19">
        <f t="shared" si="122"/>
        <v>6.0910432884592282E-2</v>
      </c>
      <c r="R466" s="20">
        <f t="shared" si="123"/>
        <v>4.6888996628767173E-2</v>
      </c>
      <c r="S466" s="20">
        <f t="shared" si="124"/>
        <v>5.1706079056421808E-3</v>
      </c>
      <c r="T466" s="20">
        <f t="shared" si="125"/>
        <v>9.2364963398829502E-3</v>
      </c>
      <c r="U466" s="20">
        <f t="shared" si="126"/>
        <v>8.4888707250513104E-2</v>
      </c>
      <c r="V466" s="21">
        <f t="shared" si="127"/>
        <v>391016877.49068487</v>
      </c>
      <c r="W466" s="21" t="str">
        <f t="shared" si="128"/>
        <v/>
      </c>
      <c r="X466" s="19" t="str">
        <f t="shared" si="129"/>
        <v/>
      </c>
      <c r="Y466" s="17">
        <f t="shared" si="130"/>
        <v>6111.9742626979996</v>
      </c>
      <c r="Z466" s="17">
        <f t="shared" si="131"/>
        <v>160515.14247926741</v>
      </c>
      <c r="AA466" s="20">
        <f t="shared" si="132"/>
        <v>4.0678460020160061E-2</v>
      </c>
      <c r="AB466" s="17">
        <f t="shared" si="133"/>
        <v>160515.14247926741</v>
      </c>
      <c r="AC466" s="18">
        <f t="shared" si="134"/>
        <v>23325798.553292081</v>
      </c>
      <c r="AD466" s="19">
        <f t="shared" si="135"/>
        <v>3.6680549854096377E-2</v>
      </c>
    </row>
    <row r="467" spans="1:30" x14ac:dyDescent="0.25">
      <c r="A467" s="8">
        <v>616</v>
      </c>
      <c r="B467" s="9">
        <v>45428</v>
      </c>
      <c r="C467" s="10">
        <v>2.166666666666667</v>
      </c>
      <c r="D467" s="11">
        <v>166523.53523128579</v>
      </c>
      <c r="E467" s="11">
        <v>9970.7491026829975</v>
      </c>
      <c r="F467" s="11">
        <v>16705.015519232071</v>
      </c>
      <c r="G467" s="11">
        <v>47383.275181208999</v>
      </c>
      <c r="H467" s="12">
        <v>4.6631044901822218E-2</v>
      </c>
      <c r="I467" s="13">
        <v>4707</v>
      </c>
      <c r="J467" s="13">
        <v>1171623</v>
      </c>
      <c r="K467" s="12">
        <v>7.1686168559927113E-2</v>
      </c>
      <c r="L467" s="14">
        <v>161.0522222222223</v>
      </c>
      <c r="M467" s="15"/>
      <c r="N467" s="16">
        <f t="shared" si="119"/>
        <v>119140.26005007679</v>
      </c>
      <c r="O467" s="17">
        <f t="shared" si="120"/>
        <v>193199.29985320088</v>
      </c>
      <c r="P467" s="18">
        <f t="shared" si="121"/>
        <v>31115176.573135469</v>
      </c>
      <c r="Q467" s="19">
        <f t="shared" si="122"/>
        <v>5.160861923546875E-2</v>
      </c>
      <c r="R467" s="20">
        <f t="shared" si="123"/>
        <v>4.6631044901822218E-2</v>
      </c>
      <c r="S467" s="20">
        <f t="shared" si="124"/>
        <v>4.2922749619201464E-3</v>
      </c>
      <c r="T467" s="20">
        <f t="shared" si="125"/>
        <v>7.1912871453553157E-3</v>
      </c>
      <c r="U467" s="20">
        <f t="shared" si="126"/>
        <v>8.3169730667202582E-2</v>
      </c>
      <c r="V467" s="21">
        <f t="shared" si="127"/>
        <v>391596116.14218897</v>
      </c>
      <c r="W467" s="21" t="str">
        <f t="shared" si="128"/>
        <v/>
      </c>
      <c r="X467" s="19" t="str">
        <f t="shared" si="129"/>
        <v/>
      </c>
      <c r="Y467" s="17">
        <f t="shared" si="130"/>
        <v>4985.3745513414988</v>
      </c>
      <c r="Z467" s="17">
        <f t="shared" si="131"/>
        <v>161538.1606799443</v>
      </c>
      <c r="AA467" s="20">
        <f t="shared" si="132"/>
        <v>4.064227615125833E-2</v>
      </c>
      <c r="AB467" s="17">
        <f t="shared" si="133"/>
        <v>161538.1606799443</v>
      </c>
      <c r="AC467" s="18">
        <f t="shared" si="134"/>
        <v>26016079.751195442</v>
      </c>
      <c r="AD467" s="19">
        <f t="shared" si="135"/>
        <v>2.9937957685184109E-2</v>
      </c>
    </row>
    <row r="468" spans="1:30" x14ac:dyDescent="0.25">
      <c r="A468" s="8">
        <v>617</v>
      </c>
      <c r="B468" s="9">
        <v>45430</v>
      </c>
      <c r="C468" s="10">
        <v>2.166666666666667</v>
      </c>
      <c r="D468" s="11">
        <v>166420.62698824739</v>
      </c>
      <c r="E468" s="11">
        <v>9578.4640483430012</v>
      </c>
      <c r="F468" s="11">
        <v>16703.633741458969</v>
      </c>
      <c r="G468" s="11">
        <v>47408.589593529003</v>
      </c>
      <c r="H468" s="12">
        <v>4.5666373249441262E-2</v>
      </c>
      <c r="I468" s="13">
        <v>4715</v>
      </c>
      <c r="J468" s="13">
        <v>1194800</v>
      </c>
      <c r="K468" s="12">
        <v>7.1577361957930269E-2</v>
      </c>
      <c r="L468" s="14">
        <v>172.83312499999991</v>
      </c>
      <c r="M468" s="15"/>
      <c r="N468" s="16">
        <f t="shared" si="119"/>
        <v>119012.03739471838</v>
      </c>
      <c r="O468" s="17">
        <f t="shared" si="120"/>
        <v>192702.72477804936</v>
      </c>
      <c r="P468" s="18">
        <f t="shared" si="121"/>
        <v>33305414.119405184</v>
      </c>
      <c r="Q468" s="19">
        <f t="shared" si="122"/>
        <v>4.97059087222314E-2</v>
      </c>
      <c r="R468" s="20">
        <f t="shared" si="123"/>
        <v>4.5666373249441262E-2</v>
      </c>
      <c r="S468" s="20">
        <f t="shared" si="124"/>
        <v>4.1196887705373577E-3</v>
      </c>
      <c r="T468" s="20">
        <f t="shared" si="125"/>
        <v>7.1842178458415441E-3</v>
      </c>
      <c r="U468" s="20">
        <f t="shared" si="126"/>
        <v>8.2881268574309164E-2</v>
      </c>
      <c r="V468" s="21">
        <f t="shared" si="127"/>
        <v>391949025.0381158</v>
      </c>
      <c r="W468" s="21" t="str">
        <f t="shared" si="128"/>
        <v/>
      </c>
      <c r="X468" s="19" t="str">
        <f t="shared" si="129"/>
        <v/>
      </c>
      <c r="Y468" s="17">
        <f t="shared" si="130"/>
        <v>4789.2320241715006</v>
      </c>
      <c r="Z468" s="17">
        <f t="shared" si="131"/>
        <v>161631.39496407588</v>
      </c>
      <c r="AA468" s="20">
        <f t="shared" si="132"/>
        <v>4.0606124468244846E-2</v>
      </c>
      <c r="AB468" s="17">
        <f t="shared" si="133"/>
        <v>161631.39496407588</v>
      </c>
      <c r="AC468" s="18">
        <f t="shared" si="134"/>
        <v>27935259.089750484</v>
      </c>
      <c r="AD468" s="19">
        <f t="shared" si="135"/>
        <v>2.8777875139899069E-2</v>
      </c>
    </row>
    <row r="469" spans="1:30" x14ac:dyDescent="0.25">
      <c r="A469" s="8">
        <v>618</v>
      </c>
      <c r="B469" s="9">
        <v>45432</v>
      </c>
      <c r="C469" s="10">
        <v>2.208333333333333</v>
      </c>
      <c r="D469" s="11">
        <v>166317.85362269491</v>
      </c>
      <c r="E469" s="11">
        <v>10196.546299228999</v>
      </c>
      <c r="F469" s="11">
        <v>17406.652002140108</v>
      </c>
      <c r="G469" s="11">
        <v>47369.806648659003</v>
      </c>
      <c r="H469" s="12">
        <v>4.5534059120816137E-2</v>
      </c>
      <c r="I469" s="13">
        <v>4721</v>
      </c>
      <c r="J469" s="13">
        <v>1210682</v>
      </c>
      <c r="K469" s="12">
        <v>7.0177014921042807E-2</v>
      </c>
      <c r="L469" s="14">
        <v>178.0903124999999</v>
      </c>
      <c r="M469" s="15"/>
      <c r="N469" s="16">
        <f t="shared" si="119"/>
        <v>118948.04697403591</v>
      </c>
      <c r="O469" s="17">
        <f t="shared" si="120"/>
        <v>193921.051924064</v>
      </c>
      <c r="P469" s="18">
        <f t="shared" si="121"/>
        <v>34535460.737485267</v>
      </c>
      <c r="Q469" s="19">
        <f t="shared" si="122"/>
        <v>5.258091474886277E-2</v>
      </c>
      <c r="R469" s="20">
        <f t="shared" si="123"/>
        <v>4.5534059120816137E-2</v>
      </c>
      <c r="S469" s="20">
        <f t="shared" si="124"/>
        <v>4.3023834555213089E-3</v>
      </c>
      <c r="T469" s="20">
        <f t="shared" si="125"/>
        <v>7.3446527277267592E-3</v>
      </c>
      <c r="U469" s="20">
        <f t="shared" si="126"/>
        <v>8.1824051104290876E-2</v>
      </c>
      <c r="V469" s="21">
        <f t="shared" si="127"/>
        <v>391985116.57416338</v>
      </c>
      <c r="W469" s="21" t="str">
        <f t="shared" si="128"/>
        <v/>
      </c>
      <c r="X469" s="19" t="str">
        <f t="shared" si="129"/>
        <v/>
      </c>
      <c r="Y469" s="17">
        <f t="shared" si="130"/>
        <v>5098.2731496144997</v>
      </c>
      <c r="Z469" s="17">
        <f t="shared" si="131"/>
        <v>161219.58047308039</v>
      </c>
      <c r="AA469" s="20">
        <f t="shared" si="132"/>
        <v>4.0570004942489975E-2</v>
      </c>
      <c r="AB469" s="17">
        <f t="shared" si="133"/>
        <v>161219.58047308039</v>
      </c>
      <c r="AC469" s="18">
        <f t="shared" si="134"/>
        <v>28711645.467569768</v>
      </c>
      <c r="AD469" s="19">
        <f t="shared" si="135"/>
        <v>3.0653793555924142E-2</v>
      </c>
    </row>
    <row r="470" spans="1:30" x14ac:dyDescent="0.25">
      <c r="A470" s="8">
        <v>619</v>
      </c>
      <c r="B470" s="9">
        <v>45435</v>
      </c>
      <c r="C470" s="10">
        <v>2.208333333333333</v>
      </c>
      <c r="D470" s="11">
        <v>166214.92357335481</v>
      </c>
      <c r="E470" s="11">
        <v>10557.679794992</v>
      </c>
      <c r="F470" s="11">
        <v>16575.076601116849</v>
      </c>
      <c r="G470" s="11">
        <v>47409.231970392</v>
      </c>
      <c r="H470" s="12">
        <v>4.5558797702840888E-2</v>
      </c>
      <c r="I470" s="13">
        <v>4726</v>
      </c>
      <c r="J470" s="13">
        <v>1175523</v>
      </c>
      <c r="K470" s="12">
        <v>7.04695532364083E-2</v>
      </c>
      <c r="L470" s="14">
        <v>175.41694444444479</v>
      </c>
      <c r="M470" s="15"/>
      <c r="N470" s="16">
        <f t="shared" si="119"/>
        <v>118805.69160296282</v>
      </c>
      <c r="O470" s="17">
        <f t="shared" si="120"/>
        <v>193347.67996946367</v>
      </c>
      <c r="P470" s="18">
        <f t="shared" si="121"/>
        <v>33916459.235665701</v>
      </c>
      <c r="Q470" s="19">
        <f t="shared" si="122"/>
        <v>5.4604636562794164E-2</v>
      </c>
      <c r="R470" s="20">
        <f t="shared" si="123"/>
        <v>4.5558797702840888E-2</v>
      </c>
      <c r="S470" s="20">
        <f t="shared" si="124"/>
        <v>4.4761021596102192E-3</v>
      </c>
      <c r="T470" s="20">
        <f t="shared" si="125"/>
        <v>7.0272765996518037E-3</v>
      </c>
      <c r="U470" s="20">
        <f t="shared" si="126"/>
        <v>8.1972931995670323E-2</v>
      </c>
      <c r="V470" s="21">
        <f t="shared" si="127"/>
        <v>390116296.61790913</v>
      </c>
      <c r="W470" s="21" t="str">
        <f t="shared" si="128"/>
        <v/>
      </c>
      <c r="X470" s="19" t="str">
        <f t="shared" si="129"/>
        <v/>
      </c>
      <c r="Y470" s="17">
        <f t="shared" si="130"/>
        <v>5278.839897496</v>
      </c>
      <c r="Z470" s="17">
        <f t="shared" si="131"/>
        <v>160936.0836758588</v>
      </c>
      <c r="AA470" s="20">
        <f t="shared" si="132"/>
        <v>4.0515885886152882E-2</v>
      </c>
      <c r="AB470" s="17">
        <f t="shared" si="133"/>
        <v>160936.0836758588</v>
      </c>
      <c r="AC470" s="18">
        <f t="shared" si="134"/>
        <v>28230916.049274642</v>
      </c>
      <c r="AD470" s="19">
        <f t="shared" si="135"/>
        <v>3.1759121166796529E-2</v>
      </c>
    </row>
    <row r="471" spans="1:30" x14ac:dyDescent="0.25">
      <c r="A471" s="8">
        <v>620</v>
      </c>
      <c r="B471" s="9">
        <v>45437</v>
      </c>
      <c r="C471" s="10">
        <v>2.25</v>
      </c>
      <c r="D471" s="11">
        <v>166111.91135093651</v>
      </c>
      <c r="E471" s="11">
        <v>9812.4856742030006</v>
      </c>
      <c r="F471" s="11">
        <v>17064.801296055641</v>
      </c>
      <c r="G471" s="11">
        <v>47938.125846834002</v>
      </c>
      <c r="H471" s="12">
        <v>4.5768884783465323E-2</v>
      </c>
      <c r="I471" s="13">
        <v>4727</v>
      </c>
      <c r="J471" s="13">
        <v>1211245</v>
      </c>
      <c r="K471" s="12">
        <v>6.9300204684940081E-2</v>
      </c>
      <c r="L471" s="14">
        <v>168.34218749999991</v>
      </c>
      <c r="M471" s="15"/>
      <c r="N471" s="16">
        <f t="shared" si="119"/>
        <v>118173.7855041025</v>
      </c>
      <c r="O471" s="17">
        <f t="shared" si="120"/>
        <v>192989.19832119514</v>
      </c>
      <c r="P471" s="18">
        <f t="shared" si="121"/>
        <v>32488223.8092613</v>
      </c>
      <c r="Q471" s="19">
        <f t="shared" si="122"/>
        <v>5.0844740325165332E-2</v>
      </c>
      <c r="R471" s="20">
        <f t="shared" si="123"/>
        <v>4.5768884783465323E-2</v>
      </c>
      <c r="S471" s="20">
        <f t="shared" si="124"/>
        <v>4.093669503649814E-3</v>
      </c>
      <c r="T471" s="20">
        <f t="shared" si="125"/>
        <v>7.1192620270684719E-3</v>
      </c>
      <c r="U471" s="20">
        <f t="shared" si="126"/>
        <v>8.0513136215658365E-2</v>
      </c>
      <c r="V471" s="21">
        <f t="shared" si="127"/>
        <v>389111408.81274605</v>
      </c>
      <c r="W471" s="21" t="str">
        <f t="shared" si="128"/>
        <v/>
      </c>
      <c r="X471" s="19" t="str">
        <f t="shared" si="129"/>
        <v/>
      </c>
      <c r="Y471" s="17" t="str">
        <f t="shared" si="130"/>
        <v/>
      </c>
      <c r="Z471" s="17" t="str">
        <f t="shared" si="131"/>
        <v/>
      </c>
      <c r="AA471" s="20">
        <f t="shared" si="132"/>
        <v>4.0479846628456898E-2</v>
      </c>
      <c r="AB471" s="17" t="str">
        <f t="shared" si="133"/>
        <v/>
      </c>
      <c r="AC471" s="18" t="str">
        <f t="shared" si="134"/>
        <v/>
      </c>
      <c r="AD471" s="19" t="str">
        <f t="shared" si="135"/>
        <v/>
      </c>
    </row>
    <row r="472" spans="1:30" x14ac:dyDescent="0.25">
      <c r="A472" s="8">
        <v>621</v>
      </c>
      <c r="B472" s="9">
        <v>45439</v>
      </c>
      <c r="C472" s="10">
        <v>2.25</v>
      </c>
      <c r="D472" s="11">
        <v>166009.13568214441</v>
      </c>
      <c r="E472" s="11">
        <v>14066.036482795989</v>
      </c>
      <c r="F472" s="11">
        <v>26985.127042689419</v>
      </c>
      <c r="G472" s="11">
        <v>47839.847267819001</v>
      </c>
      <c r="H472" s="12">
        <v>4.575877182640322E-2</v>
      </c>
      <c r="I472" s="13">
        <v>4728</v>
      </c>
      <c r="J472" s="13">
        <v>1218373</v>
      </c>
      <c r="K472" s="12">
        <v>6.9149972879431712E-2</v>
      </c>
      <c r="L472" s="14">
        <v>167.6967708333336</v>
      </c>
      <c r="M472" s="15"/>
      <c r="N472" s="16">
        <f t="shared" si="119"/>
        <v>118169.28841432541</v>
      </c>
      <c r="O472" s="17">
        <f t="shared" si="120"/>
        <v>207060.29920762981</v>
      </c>
      <c r="P472" s="18">
        <f t="shared" si="121"/>
        <v>34723343.544903383</v>
      </c>
      <c r="Q472" s="19">
        <f t="shared" si="122"/>
        <v>6.7932078416883118E-2</v>
      </c>
      <c r="R472" s="20">
        <f t="shared" si="123"/>
        <v>4.575877182640322E-2</v>
      </c>
      <c r="S472" s="20">
        <f t="shared" si="124"/>
        <v>5.8591115320833368E-3</v>
      </c>
      <c r="T472" s="20">
        <f t="shared" si="125"/>
        <v>1.1240470564962395E-2</v>
      </c>
      <c r="U472" s="20">
        <f t="shared" si="126"/>
        <v>8.6249554976477447E-2</v>
      </c>
      <c r="V472" s="21">
        <f t="shared" si="127"/>
        <v>389715501.49492383</v>
      </c>
      <c r="W472" s="21" t="str">
        <f t="shared" si="128"/>
        <v/>
      </c>
      <c r="X472" s="19" t="str">
        <f t="shared" si="129"/>
        <v/>
      </c>
      <c r="Y472" s="17" t="str">
        <f t="shared" si="130"/>
        <v/>
      </c>
      <c r="Z472" s="17" t="str">
        <f t="shared" si="131"/>
        <v/>
      </c>
      <c r="AA472" s="20">
        <f t="shared" si="132"/>
        <v>4.0443839428016153E-2</v>
      </c>
      <c r="AB472" s="17" t="str">
        <f t="shared" si="133"/>
        <v/>
      </c>
      <c r="AC472" s="18" t="str">
        <f t="shared" si="134"/>
        <v/>
      </c>
      <c r="AD472" s="19" t="str">
        <f t="shared" si="135"/>
        <v/>
      </c>
    </row>
    <row r="473" spans="1:30" x14ac:dyDescent="0.25">
      <c r="A473" s="8">
        <v>622</v>
      </c>
      <c r="B473" s="9">
        <v>45441</v>
      </c>
      <c r="C473" s="10">
        <v>2.208333333333333</v>
      </c>
      <c r="D473" s="11">
        <v>165905.1587339105</v>
      </c>
      <c r="E473" s="11">
        <v>12387.463223793009</v>
      </c>
      <c r="F473" s="11">
        <v>22490.242543445111</v>
      </c>
      <c r="G473" s="11">
        <v>47784.718036206999</v>
      </c>
      <c r="H473" s="12">
        <v>4.5675562269595599E-2</v>
      </c>
      <c r="I473" s="13">
        <v>4731</v>
      </c>
      <c r="J473" s="13">
        <v>1234285</v>
      </c>
      <c r="K473" s="12">
        <v>7.0342577013879248E-2</v>
      </c>
      <c r="L473" s="14">
        <v>169.77982638888921</v>
      </c>
      <c r="M473" s="15"/>
      <c r="N473" s="16">
        <f t="shared" si="119"/>
        <v>118120.44069770351</v>
      </c>
      <c r="O473" s="17">
        <f t="shared" si="120"/>
        <v>200782.86450114864</v>
      </c>
      <c r="P473" s="18">
        <f t="shared" si="121"/>
        <v>34088879.876868881</v>
      </c>
      <c r="Q473" s="19">
        <f t="shared" si="122"/>
        <v>6.1695818786976928E-2</v>
      </c>
      <c r="R473" s="20">
        <f t="shared" si="123"/>
        <v>4.5675562269595599E-2</v>
      </c>
      <c r="S473" s="20">
        <f t="shared" si="124"/>
        <v>5.2521940395103099E-3</v>
      </c>
      <c r="T473" s="20">
        <f t="shared" si="125"/>
        <v>9.5356987705877208E-3</v>
      </c>
      <c r="U473" s="20">
        <f t="shared" si="126"/>
        <v>8.5130469823977289E-2</v>
      </c>
      <c r="V473" s="21">
        <f t="shared" si="127"/>
        <v>390092151.32922757</v>
      </c>
      <c r="W473" s="21" t="str">
        <f t="shared" si="128"/>
        <v/>
      </c>
      <c r="X473" s="19" t="str">
        <f t="shared" si="129"/>
        <v/>
      </c>
      <c r="Y473" s="17" t="str">
        <f t="shared" si="130"/>
        <v/>
      </c>
      <c r="Z473" s="17" t="str">
        <f t="shared" si="131"/>
        <v/>
      </c>
      <c r="AA473" s="20">
        <f t="shared" si="132"/>
        <v>4.0407864256315429E-2</v>
      </c>
      <c r="AB473" s="17" t="str">
        <f t="shared" si="133"/>
        <v/>
      </c>
      <c r="AC473" s="18" t="str">
        <f t="shared" si="134"/>
        <v/>
      </c>
      <c r="AD473" s="19" t="str">
        <f t="shared" si="135"/>
        <v/>
      </c>
    </row>
    <row r="474" spans="1:30" x14ac:dyDescent="0.25">
      <c r="A474" s="8">
        <v>623</v>
      </c>
      <c r="B474" s="9">
        <v>45444</v>
      </c>
      <c r="C474" s="10">
        <v>2.125</v>
      </c>
      <c r="D474" s="11">
        <v>165801.68777250149</v>
      </c>
      <c r="E474" s="11">
        <v>10003.86218968801</v>
      </c>
      <c r="F474" s="11">
        <v>18621.35110780154</v>
      </c>
      <c r="G474" s="11">
        <v>47573.105015351997</v>
      </c>
      <c r="H474" s="12">
        <v>4.5035975917442211E-2</v>
      </c>
      <c r="I474" s="13">
        <v>4736</v>
      </c>
      <c r="J474" s="13">
        <v>1236272</v>
      </c>
      <c r="K474" s="12">
        <v>7.280360584188468E-2</v>
      </c>
      <c r="L474" s="14">
        <v>167.07875000000001</v>
      </c>
      <c r="M474" s="15"/>
      <c r="N474" s="16">
        <f t="shared" si="119"/>
        <v>118228.5827571495</v>
      </c>
      <c r="O474" s="17">
        <f t="shared" si="120"/>
        <v>194426.90106999106</v>
      </c>
      <c r="P474" s="18">
        <f t="shared" si="121"/>
        <v>32484603.59714777</v>
      </c>
      <c r="Q474" s="19">
        <f t="shared" si="122"/>
        <v>5.1453076372835645E-2</v>
      </c>
      <c r="R474" s="20">
        <f t="shared" si="123"/>
        <v>4.5035975917442211E-2</v>
      </c>
      <c r="S474" s="20">
        <f t="shared" si="124"/>
        <v>4.3927010004500815E-3</v>
      </c>
      <c r="T474" s="20">
        <f t="shared" si="125"/>
        <v>8.1766447887786312E-3</v>
      </c>
      <c r="U474" s="20">
        <f t="shared" si="126"/>
        <v>8.53729516311134E-2</v>
      </c>
      <c r="V474" s="21">
        <f t="shared" si="127"/>
        <v>391441933.2175498</v>
      </c>
      <c r="W474" s="21" t="str">
        <f t="shared" si="128"/>
        <v/>
      </c>
      <c r="X474" s="19" t="str">
        <f t="shared" si="129"/>
        <v/>
      </c>
      <c r="Y474" s="17" t="str">
        <f t="shared" si="130"/>
        <v/>
      </c>
      <c r="Z474" s="17" t="str">
        <f t="shared" si="131"/>
        <v/>
      </c>
      <c r="AA474" s="20">
        <f t="shared" si="132"/>
        <v>4.0353961490337237E-2</v>
      </c>
      <c r="AB474" s="17" t="str">
        <f t="shared" si="133"/>
        <v/>
      </c>
      <c r="AC474" s="18" t="str">
        <f t="shared" si="134"/>
        <v/>
      </c>
      <c r="AD474" s="19" t="str">
        <f t="shared" si="135"/>
        <v/>
      </c>
    </row>
    <row r="475" spans="1:30" x14ac:dyDescent="0.25">
      <c r="A475" s="8">
        <v>624</v>
      </c>
      <c r="B475" s="9">
        <v>45446</v>
      </c>
      <c r="C475" s="10">
        <v>2.166666666666667</v>
      </c>
      <c r="D475" s="11">
        <v>165698.92418204041</v>
      </c>
      <c r="E475" s="11">
        <v>10254.272294061</v>
      </c>
      <c r="F475" s="11">
        <v>19342.036088381381</v>
      </c>
      <c r="G475" s="11">
        <v>47405.763720212999</v>
      </c>
      <c r="H475" s="12">
        <v>4.496567311515938E-2</v>
      </c>
      <c r="I475" s="13">
        <v>4735</v>
      </c>
      <c r="J475" s="13">
        <v>1241981</v>
      </c>
      <c r="K475" s="12">
        <v>7.1157934080634991E-2</v>
      </c>
      <c r="L475" s="14">
        <v>164.97854166666659</v>
      </c>
      <c r="M475" s="15"/>
      <c r="N475" s="16">
        <f t="shared" si="119"/>
        <v>118293.16046182741</v>
      </c>
      <c r="O475" s="17">
        <f t="shared" si="120"/>
        <v>195295.23256448278</v>
      </c>
      <c r="P475" s="18">
        <f t="shared" si="121"/>
        <v>32219522.662940864</v>
      </c>
      <c r="Q475" s="19">
        <f t="shared" si="122"/>
        <v>5.2506516208352574E-2</v>
      </c>
      <c r="R475" s="20">
        <f t="shared" si="123"/>
        <v>4.496567311515938E-2</v>
      </c>
      <c r="S475" s="20">
        <f t="shared" si="124"/>
        <v>4.4036063332797502E-3</v>
      </c>
      <c r="T475" s="20">
        <f t="shared" si="125"/>
        <v>8.3062659323619344E-3</v>
      </c>
      <c r="U475" s="20">
        <f t="shared" si="126"/>
        <v>8.3867806346276677E-2</v>
      </c>
      <c r="V475" s="21">
        <f t="shared" si="127"/>
        <v>392549547.09774888</v>
      </c>
      <c r="W475" s="21" t="str">
        <f t="shared" si="128"/>
        <v/>
      </c>
      <c r="X475" s="19" t="str">
        <f t="shared" si="129"/>
        <v/>
      </c>
      <c r="Y475" s="17" t="str">
        <f t="shared" si="130"/>
        <v/>
      </c>
      <c r="Z475" s="17" t="str">
        <f t="shared" si="131"/>
        <v/>
      </c>
      <c r="AA475" s="20">
        <f t="shared" si="132"/>
        <v>4.0318066265898844E-2</v>
      </c>
      <c r="AB475" s="17" t="str">
        <f t="shared" si="133"/>
        <v/>
      </c>
      <c r="AC475" s="18" t="str">
        <f t="shared" si="134"/>
        <v/>
      </c>
      <c r="AD475" s="19" t="str">
        <f t="shared" si="135"/>
        <v/>
      </c>
    </row>
    <row r="476" spans="1:30" x14ac:dyDescent="0.25">
      <c r="A476" s="8">
        <v>625</v>
      </c>
      <c r="B476" s="9">
        <v>45448</v>
      </c>
      <c r="C476" s="10">
        <v>2.166666666666667</v>
      </c>
      <c r="D476" s="11">
        <v>165596.1108772989</v>
      </c>
      <c r="E476" s="11">
        <v>14799.865021940001</v>
      </c>
      <c r="F476" s="11">
        <v>24631.035544804919</v>
      </c>
      <c r="G476" s="11">
        <v>47465.022429178003</v>
      </c>
      <c r="H476" s="12">
        <v>4.4899758661932472E-2</v>
      </c>
      <c r="I476" s="13">
        <v>4737</v>
      </c>
      <c r="J476" s="13">
        <v>1244645</v>
      </c>
      <c r="K476" s="12">
        <v>7.0908906769907548E-2</v>
      </c>
      <c r="L476" s="14">
        <v>173.35986111111109</v>
      </c>
      <c r="M476" s="15"/>
      <c r="N476" s="16">
        <f t="shared" si="119"/>
        <v>118131.08844812089</v>
      </c>
      <c r="O476" s="17">
        <f t="shared" si="120"/>
        <v>205027.0114440438</v>
      </c>
      <c r="P476" s="18">
        <f t="shared" si="121"/>
        <v>35543454.227965616</v>
      </c>
      <c r="Q476" s="19">
        <f t="shared" si="122"/>
        <v>7.2184952205574124E-2</v>
      </c>
      <c r="R476" s="20">
        <f t="shared" si="123"/>
        <v>4.4899758661932472E-2</v>
      </c>
      <c r="S476" s="20">
        <f t="shared" si="124"/>
        <v>6.3373604820076987E-3</v>
      </c>
      <c r="T476" s="20">
        <f t="shared" si="125"/>
        <v>1.0547106413549728E-2</v>
      </c>
      <c r="U476" s="20">
        <f t="shared" si="126"/>
        <v>8.7793373665464969E-2</v>
      </c>
      <c r="V476" s="21">
        <f t="shared" si="127"/>
        <v>393683729.12282646</v>
      </c>
      <c r="W476" s="21" t="str">
        <f t="shared" si="128"/>
        <v/>
      </c>
      <c r="X476" s="19" t="str">
        <f t="shared" si="129"/>
        <v/>
      </c>
      <c r="Y476" s="17" t="str">
        <f t="shared" si="130"/>
        <v/>
      </c>
      <c r="Z476" s="17" t="str">
        <f t="shared" si="131"/>
        <v/>
      </c>
      <c r="AA476" s="20">
        <f t="shared" si="132"/>
        <v>4.0282202970596766E-2</v>
      </c>
      <c r="AB476" s="17" t="str">
        <f t="shared" si="133"/>
        <v/>
      </c>
      <c r="AC476" s="18" t="str">
        <f t="shared" si="134"/>
        <v/>
      </c>
      <c r="AD476" s="19" t="str">
        <f t="shared" si="135"/>
        <v/>
      </c>
    </row>
    <row r="477" spans="1:30" x14ac:dyDescent="0.25">
      <c r="A477" s="8">
        <v>626</v>
      </c>
      <c r="B477" s="9">
        <v>45450</v>
      </c>
      <c r="C477" s="10">
        <v>2.166666666666667</v>
      </c>
      <c r="D477" s="11">
        <v>165492.01746433659</v>
      </c>
      <c r="E477" s="11">
        <v>15468.173757656001</v>
      </c>
      <c r="F477" s="11">
        <v>30496.763158477581</v>
      </c>
      <c r="G477" s="11">
        <v>47241.192286698002</v>
      </c>
      <c r="H477" s="12">
        <v>4.4713244606832347E-2</v>
      </c>
      <c r="I477" s="13">
        <v>4738</v>
      </c>
      <c r="J477" s="13">
        <v>1252133</v>
      </c>
      <c r="K477" s="12">
        <v>7.0880941295474689E-2</v>
      </c>
      <c r="L477" s="14">
        <v>168.8204166666668</v>
      </c>
      <c r="M477" s="15"/>
      <c r="N477" s="16">
        <f t="shared" si="119"/>
        <v>118250.82517763859</v>
      </c>
      <c r="O477" s="17">
        <f t="shared" si="120"/>
        <v>211456.95438047018</v>
      </c>
      <c r="P477" s="18">
        <f t="shared" si="121"/>
        <v>35698251.14557533</v>
      </c>
      <c r="Q477" s="19">
        <f t="shared" si="122"/>
        <v>7.3150461298257571E-2</v>
      </c>
      <c r="R477" s="20">
        <f t="shared" si="123"/>
        <v>4.4713244606832347E-2</v>
      </c>
      <c r="S477" s="20">
        <f t="shared" si="124"/>
        <v>6.6250852026798826E-3</v>
      </c>
      <c r="T477" s="20">
        <f t="shared" si="125"/>
        <v>1.3061894538834032E-2</v>
      </c>
      <c r="U477" s="20">
        <f t="shared" si="126"/>
        <v>9.0567921036988616E-2</v>
      </c>
      <c r="V477" s="21">
        <f t="shared" si="127"/>
        <v>393591487.1902442</v>
      </c>
      <c r="W477" s="21" t="str">
        <f t="shared" si="128"/>
        <v/>
      </c>
      <c r="X477" s="19" t="str">
        <f t="shared" si="129"/>
        <v/>
      </c>
      <c r="Y477" s="17" t="str">
        <f t="shared" si="130"/>
        <v/>
      </c>
      <c r="Z477" s="17" t="str">
        <f t="shared" si="131"/>
        <v/>
      </c>
      <c r="AA477" s="20">
        <f t="shared" si="132"/>
        <v>4.0246371576029734E-2</v>
      </c>
      <c r="AB477" s="17" t="str">
        <f t="shared" si="133"/>
        <v/>
      </c>
      <c r="AC477" s="18" t="str">
        <f t="shared" si="134"/>
        <v/>
      </c>
      <c r="AD477" s="19" t="str">
        <f t="shared" si="135"/>
        <v/>
      </c>
    </row>
    <row r="478" spans="1:30" x14ac:dyDescent="0.25">
      <c r="A478" s="8">
        <v>627</v>
      </c>
      <c r="B478" s="9">
        <v>45452</v>
      </c>
      <c r="C478" s="10">
        <v>2.166666666666667</v>
      </c>
      <c r="D478" s="11">
        <v>165387.7570510394</v>
      </c>
      <c r="E478" s="11">
        <v>14834.230595757999</v>
      </c>
      <c r="F478" s="11">
        <v>24571.964971404632</v>
      </c>
      <c r="G478" s="11">
        <v>46807.398927777002</v>
      </c>
      <c r="H478" s="12">
        <v>4.413373232817195E-2</v>
      </c>
      <c r="I478" s="13">
        <v>4742</v>
      </c>
      <c r="J478" s="13">
        <v>1254359</v>
      </c>
      <c r="K478" s="12">
        <v>7.0833247548343456E-2</v>
      </c>
      <c r="L478" s="14">
        <v>160.23368055555551</v>
      </c>
      <c r="M478" s="15"/>
      <c r="N478" s="16">
        <f t="shared" si="119"/>
        <v>118580.3581232624</v>
      </c>
      <c r="O478" s="17">
        <f t="shared" si="120"/>
        <v>204793.95261820205</v>
      </c>
      <c r="P478" s="18">
        <f t="shared" si="121"/>
        <v>32814888.783534557</v>
      </c>
      <c r="Q478" s="19">
        <f t="shared" si="122"/>
        <v>7.2434905455501894E-2</v>
      </c>
      <c r="R478" s="20">
        <f t="shared" si="123"/>
        <v>4.413373232817195E-2</v>
      </c>
      <c r="S478" s="20">
        <f t="shared" si="124"/>
        <v>6.3532920859085623E-3</v>
      </c>
      <c r="T478" s="20">
        <f t="shared" si="125"/>
        <v>1.0523826603631844E-2</v>
      </c>
      <c r="U478" s="20">
        <f t="shared" si="126"/>
        <v>8.7710366237883863E-2</v>
      </c>
      <c r="V478" s="21">
        <f t="shared" si="127"/>
        <v>393608371.25573719</v>
      </c>
      <c r="W478" s="21" t="str">
        <f t="shared" si="128"/>
        <v/>
      </c>
      <c r="X478" s="19" t="str">
        <f t="shared" si="129"/>
        <v/>
      </c>
      <c r="Y478" s="17" t="str">
        <f t="shared" si="130"/>
        <v/>
      </c>
      <c r="Z478" s="17" t="str">
        <f t="shared" si="131"/>
        <v/>
      </c>
      <c r="AA478" s="20">
        <f t="shared" si="132"/>
        <v>4.021057205382178E-2</v>
      </c>
      <c r="AB478" s="17" t="str">
        <f t="shared" si="133"/>
        <v/>
      </c>
      <c r="AC478" s="18" t="str">
        <f t="shared" si="134"/>
        <v/>
      </c>
      <c r="AD478" s="19" t="str">
        <f t="shared" si="135"/>
        <v/>
      </c>
    </row>
    <row r="479" spans="1:30" x14ac:dyDescent="0.25">
      <c r="A479" s="8">
        <v>628</v>
      </c>
      <c r="B479" s="9">
        <v>45454</v>
      </c>
      <c r="C479" s="10">
        <v>2.208333333333333</v>
      </c>
      <c r="D479" s="11">
        <v>165283.70272902699</v>
      </c>
      <c r="E479" s="11">
        <v>16666.575566842999</v>
      </c>
      <c r="F479" s="11">
        <v>24519.885075053469</v>
      </c>
      <c r="G479" s="11">
        <v>46955.322561608999</v>
      </c>
      <c r="H479" s="12">
        <v>4.4203129098609448E-2</v>
      </c>
      <c r="I479" s="13">
        <v>4741</v>
      </c>
      <c r="J479" s="13">
        <v>1262625</v>
      </c>
      <c r="K479" s="12">
        <v>6.9376746167774936E-2</v>
      </c>
      <c r="L479" s="14">
        <v>152.731875</v>
      </c>
      <c r="M479" s="15"/>
      <c r="N479" s="16">
        <f t="shared" si="119"/>
        <v>118328.38016741798</v>
      </c>
      <c r="O479" s="17">
        <f t="shared" si="120"/>
        <v>206470.16337092346</v>
      </c>
      <c r="P479" s="18">
        <f t="shared" si="121"/>
        <v>31534575.183197461</v>
      </c>
      <c r="Q479" s="19">
        <f t="shared" si="122"/>
        <v>8.0721472268617867E-2</v>
      </c>
      <c r="R479" s="20">
        <f t="shared" si="123"/>
        <v>4.4203129098609448E-2</v>
      </c>
      <c r="S479" s="20">
        <f t="shared" si="124"/>
        <v>6.995685379111747E-3</v>
      </c>
      <c r="T479" s="20">
        <f t="shared" si="125"/>
        <v>1.0292060347316083E-2</v>
      </c>
      <c r="U479" s="20">
        <f t="shared" si="126"/>
        <v>8.6664491894202764E-2</v>
      </c>
      <c r="V479" s="21">
        <f t="shared" si="127"/>
        <v>394041263.52632695</v>
      </c>
      <c r="W479" s="21" t="str">
        <f t="shared" si="128"/>
        <v/>
      </c>
      <c r="X479" s="19" t="str">
        <f t="shared" si="129"/>
        <v/>
      </c>
      <c r="Y479" s="17" t="str">
        <f t="shared" si="130"/>
        <v/>
      </c>
      <c r="Z479" s="17" t="str">
        <f t="shared" si="131"/>
        <v/>
      </c>
      <c r="AA479" s="20">
        <f t="shared" si="132"/>
        <v>4.0174804375622104E-2</v>
      </c>
      <c r="AB479" s="17" t="str">
        <f t="shared" si="133"/>
        <v/>
      </c>
      <c r="AC479" s="18" t="str">
        <f t="shared" si="134"/>
        <v/>
      </c>
      <c r="AD479" s="19" t="str">
        <f t="shared" si="135"/>
        <v/>
      </c>
    </row>
    <row r="480" spans="1:30" x14ac:dyDescent="0.25">
      <c r="A480" s="8">
        <v>629</v>
      </c>
      <c r="B480" s="9">
        <v>45457</v>
      </c>
      <c r="C480" s="10">
        <v>2.208333333333333</v>
      </c>
      <c r="D480" s="11">
        <v>165179.14923172409</v>
      </c>
      <c r="E480" s="11">
        <v>9828.9260271949988</v>
      </c>
      <c r="F480" s="11">
        <v>12903.48123971538</v>
      </c>
      <c r="G480" s="11">
        <v>46896.930648485002</v>
      </c>
      <c r="H480" s="12">
        <v>4.4169098386108538E-2</v>
      </c>
      <c r="I480" s="13">
        <v>4745</v>
      </c>
      <c r="J480" s="13">
        <v>1258787</v>
      </c>
      <c r="K480" s="12">
        <v>6.9644556010016678E-2</v>
      </c>
      <c r="L480" s="14">
        <v>145.79934027777779</v>
      </c>
      <c r="M480" s="15"/>
      <c r="N480" s="16">
        <f t="shared" si="119"/>
        <v>118282.2185832391</v>
      </c>
      <c r="O480" s="17">
        <f t="shared" si="120"/>
        <v>187911.55649863448</v>
      </c>
      <c r="P480" s="18">
        <f t="shared" si="121"/>
        <v>27397380.968071274</v>
      </c>
      <c r="Q480" s="19">
        <f t="shared" si="122"/>
        <v>5.2306128533752119E-2</v>
      </c>
      <c r="R480" s="20">
        <f t="shared" si="123"/>
        <v>4.4169098386108538E-2</v>
      </c>
      <c r="S480" s="20">
        <f t="shared" si="124"/>
        <v>4.1441743246842123E-3</v>
      </c>
      <c r="T480" s="20">
        <f t="shared" si="125"/>
        <v>5.4405003664406955E-3</v>
      </c>
      <c r="U480" s="20">
        <f t="shared" si="126"/>
        <v>7.9229230701141587E-2</v>
      </c>
      <c r="V480" s="21">
        <f t="shared" si="127"/>
        <v>392277724.64302272</v>
      </c>
      <c r="W480" s="21" t="str">
        <f t="shared" si="128"/>
        <v/>
      </c>
      <c r="X480" s="19" t="str">
        <f t="shared" si="129"/>
        <v/>
      </c>
      <c r="Y480" s="17" t="str">
        <f t="shared" si="130"/>
        <v/>
      </c>
      <c r="Z480" s="17" t="str">
        <f t="shared" si="131"/>
        <v/>
      </c>
      <c r="AA480" s="20">
        <f t="shared" si="132"/>
        <v>4.0121212503882918E-2</v>
      </c>
      <c r="AB480" s="17" t="str">
        <f t="shared" si="133"/>
        <v/>
      </c>
      <c r="AC480" s="18" t="str">
        <f t="shared" si="134"/>
        <v/>
      </c>
      <c r="AD480" s="19" t="str">
        <f t="shared" si="135"/>
        <v/>
      </c>
    </row>
    <row r="481" spans="1:30" x14ac:dyDescent="0.25">
      <c r="A481" s="8">
        <v>630</v>
      </c>
      <c r="B481" s="9">
        <v>45459</v>
      </c>
      <c r="C481" s="10">
        <v>2.166666666666667</v>
      </c>
      <c r="D481" s="11">
        <v>165076.573445466</v>
      </c>
      <c r="E481" s="11">
        <v>13617.86524834899</v>
      </c>
      <c r="F481" s="11">
        <v>19547.180338647358</v>
      </c>
      <c r="G481" s="11">
        <v>46391.591039979998</v>
      </c>
      <c r="H481" s="12">
        <v>4.3925506414079628E-2</v>
      </c>
      <c r="I481" s="13">
        <v>4758</v>
      </c>
      <c r="J481" s="13">
        <v>1265037</v>
      </c>
      <c r="K481" s="12">
        <v>7.0946829457994243E-2</v>
      </c>
      <c r="L481" s="14">
        <v>146.44968750000001</v>
      </c>
      <c r="M481" s="15"/>
      <c r="N481" s="16">
        <f t="shared" si="119"/>
        <v>118684.98240548599</v>
      </c>
      <c r="O481" s="17">
        <f t="shared" si="120"/>
        <v>198241.61903246236</v>
      </c>
      <c r="P481" s="18">
        <f t="shared" si="121"/>
        <v>29032423.156798165</v>
      </c>
      <c r="Q481" s="19">
        <f t="shared" si="122"/>
        <v>6.8693270942864135E-2</v>
      </c>
      <c r="R481" s="20">
        <f t="shared" si="123"/>
        <v>4.3925506414079628E-2</v>
      </c>
      <c r="S481" s="20">
        <f t="shared" si="124"/>
        <v>5.8527042522828572E-3</v>
      </c>
      <c r="T481" s="20">
        <f t="shared" si="125"/>
        <v>8.4010131839137858E-3</v>
      </c>
      <c r="U481" s="20">
        <f t="shared" si="126"/>
        <v>8.520054689419089E-2</v>
      </c>
      <c r="V481" s="21">
        <f t="shared" si="127"/>
        <v>392238822.17308456</v>
      </c>
      <c r="W481" s="21" t="str">
        <f t="shared" si="128"/>
        <v/>
      </c>
      <c r="X481" s="19" t="str">
        <f t="shared" si="129"/>
        <v/>
      </c>
      <c r="Y481" s="17" t="str">
        <f t="shared" si="130"/>
        <v/>
      </c>
      <c r="Z481" s="17" t="str">
        <f t="shared" si="131"/>
        <v/>
      </c>
      <c r="AA481" s="20">
        <f t="shared" si="132"/>
        <v>4.0085524311834847E-2</v>
      </c>
      <c r="AB481" s="17" t="str">
        <f t="shared" si="133"/>
        <v/>
      </c>
      <c r="AC481" s="18" t="str">
        <f t="shared" si="134"/>
        <v/>
      </c>
      <c r="AD481" s="19" t="str">
        <f t="shared" si="135"/>
        <v/>
      </c>
    </row>
    <row r="482" spans="1:30" x14ac:dyDescent="0.25">
      <c r="A482" s="8">
        <v>631</v>
      </c>
      <c r="B482" s="9">
        <v>45461</v>
      </c>
      <c r="C482" s="10">
        <v>2.208333333333333</v>
      </c>
      <c r="D482" s="11">
        <v>164972.93934771101</v>
      </c>
      <c r="E482" s="11">
        <v>15023.836478521989</v>
      </c>
      <c r="F482" s="11">
        <v>20176.217626626109</v>
      </c>
      <c r="G482" s="11">
        <v>46402.899834440002</v>
      </c>
      <c r="H482" s="12">
        <v>4.3867992230929867E-2</v>
      </c>
      <c r="I482" s="13">
        <v>4758</v>
      </c>
      <c r="J482" s="13">
        <v>1208599</v>
      </c>
      <c r="K482" s="12">
        <v>6.9554061532730124E-2</v>
      </c>
      <c r="L482" s="14">
        <v>136.30631944444451</v>
      </c>
      <c r="M482" s="15"/>
      <c r="N482" s="16">
        <f t="shared" si="119"/>
        <v>118570.03951327101</v>
      </c>
      <c r="O482" s="17">
        <f t="shared" si="120"/>
        <v>200172.99345285911</v>
      </c>
      <c r="P482" s="18">
        <f t="shared" si="121"/>
        <v>27284843.989736114</v>
      </c>
      <c r="Q482" s="19">
        <f t="shared" si="122"/>
        <v>7.5054262912145106E-2</v>
      </c>
      <c r="R482" s="20">
        <f t="shared" si="123"/>
        <v>4.3867992230929867E-2</v>
      </c>
      <c r="S482" s="20">
        <f t="shared" si="124"/>
        <v>6.3341833576858846E-3</v>
      </c>
      <c r="T482" s="20">
        <f t="shared" si="125"/>
        <v>8.5064731697742993E-3</v>
      </c>
      <c r="U482" s="20">
        <f t="shared" si="126"/>
        <v>8.4394718060190305E-2</v>
      </c>
      <c r="V482" s="21">
        <f t="shared" si="127"/>
        <v>392297746.92420638</v>
      </c>
      <c r="W482" s="21" t="str">
        <f t="shared" si="128"/>
        <v/>
      </c>
      <c r="X482" s="19" t="str">
        <f t="shared" si="129"/>
        <v/>
      </c>
      <c r="Y482" s="17" t="str">
        <f t="shared" si="130"/>
        <v/>
      </c>
      <c r="Z482" s="17" t="str">
        <f t="shared" si="131"/>
        <v/>
      </c>
      <c r="AA482" s="20">
        <f t="shared" si="132"/>
        <v>4.0049867864765852E-2</v>
      </c>
      <c r="AB482" s="17" t="str">
        <f t="shared" si="133"/>
        <v/>
      </c>
      <c r="AC482" s="18" t="str">
        <f t="shared" si="134"/>
        <v/>
      </c>
      <c r="AD482" s="19" t="str">
        <f t="shared" si="135"/>
        <v/>
      </c>
    </row>
    <row r="483" spans="1:30" x14ac:dyDescent="0.25">
      <c r="A483" s="8">
        <v>632</v>
      </c>
      <c r="B483" s="9">
        <v>45463</v>
      </c>
      <c r="C483" s="10">
        <v>2.208333333333333</v>
      </c>
      <c r="D483" s="11">
        <v>164868.92867048539</v>
      </c>
      <c r="E483" s="11">
        <v>12335.13819166999</v>
      </c>
      <c r="F483" s="11">
        <v>16231.030499535869</v>
      </c>
      <c r="G483" s="11">
        <v>46424.294675295001</v>
      </c>
      <c r="H483" s="12">
        <v>4.3628867051218143E-2</v>
      </c>
      <c r="I483" s="13">
        <v>4762</v>
      </c>
      <c r="J483" s="13">
        <v>1221668</v>
      </c>
      <c r="K483" s="12">
        <v>6.9431461548962098E-2</v>
      </c>
      <c r="L483" s="14">
        <v>135.4365972222223</v>
      </c>
      <c r="M483" s="15"/>
      <c r="N483" s="16">
        <f t="shared" si="119"/>
        <v>118444.63399519038</v>
      </c>
      <c r="O483" s="17">
        <f t="shared" si="120"/>
        <v>193435.09736169127</v>
      </c>
      <c r="P483" s="18">
        <f t="shared" si="121"/>
        <v>26198191.370016735</v>
      </c>
      <c r="Q483" s="19">
        <f t="shared" si="122"/>
        <v>6.3768873177163635E-2</v>
      </c>
      <c r="R483" s="20">
        <f t="shared" si="123"/>
        <v>4.3628867051218143E-2</v>
      </c>
      <c r="S483" s="20">
        <f t="shared" si="124"/>
        <v>5.1947124298223736E-3</v>
      </c>
      <c r="T483" s="20">
        <f t="shared" si="125"/>
        <v>6.8353945107565914E-3</v>
      </c>
      <c r="U483" s="20">
        <f t="shared" si="126"/>
        <v>8.1461568489541059E-2</v>
      </c>
      <c r="V483" s="21">
        <f t="shared" si="127"/>
        <v>392742685.33103162</v>
      </c>
      <c r="W483" s="21" t="str">
        <f t="shared" si="128"/>
        <v/>
      </c>
      <c r="X483" s="19" t="str">
        <f t="shared" si="129"/>
        <v/>
      </c>
      <c r="Y483" s="17" t="str">
        <f t="shared" si="130"/>
        <v/>
      </c>
      <c r="Z483" s="17" t="str">
        <f t="shared" si="131"/>
        <v/>
      </c>
      <c r="AA483" s="20">
        <f t="shared" si="132"/>
        <v>4.0014243134438486E-2</v>
      </c>
      <c r="AB483" s="17" t="str">
        <f t="shared" si="133"/>
        <v/>
      </c>
      <c r="AC483" s="18" t="str">
        <f t="shared" si="134"/>
        <v/>
      </c>
      <c r="AD483" s="19" t="str">
        <f t="shared" si="135"/>
        <v/>
      </c>
    </row>
    <row r="484" spans="1:30" x14ac:dyDescent="0.25">
      <c r="A484" s="8">
        <v>633</v>
      </c>
      <c r="B484" s="9">
        <v>45466</v>
      </c>
      <c r="C484" s="10">
        <v>2.25</v>
      </c>
      <c r="D484" s="11">
        <v>164765.70854093609</v>
      </c>
      <c r="E484" s="11">
        <v>10600.665435941</v>
      </c>
      <c r="F484" s="11">
        <v>14142.03788981963</v>
      </c>
      <c r="G484" s="11">
        <v>46053.178738805997</v>
      </c>
      <c r="H484" s="12">
        <v>4.3862991302755172E-2</v>
      </c>
      <c r="I484" s="13">
        <v>4766</v>
      </c>
      <c r="J484" s="13">
        <v>1219946</v>
      </c>
      <c r="K484" s="12">
        <v>6.807621521685063E-2</v>
      </c>
      <c r="L484" s="14">
        <v>133.24065972222209</v>
      </c>
      <c r="M484" s="15"/>
      <c r="N484" s="16">
        <f t="shared" si="119"/>
        <v>118712.5298021301</v>
      </c>
      <c r="O484" s="17">
        <f t="shared" si="120"/>
        <v>189508.4118666967</v>
      </c>
      <c r="P484" s="18">
        <f t="shared" si="121"/>
        <v>25250225.820029251</v>
      </c>
      <c r="Q484" s="19">
        <f t="shared" si="122"/>
        <v>5.5937703933679112E-2</v>
      </c>
      <c r="R484" s="20">
        <f t="shared" si="123"/>
        <v>4.3862991302755172E-2</v>
      </c>
      <c r="S484" s="20">
        <f t="shared" si="124"/>
        <v>4.3798748419769298E-3</v>
      </c>
      <c r="T484" s="20">
        <f t="shared" si="125"/>
        <v>5.8430629984698862E-3</v>
      </c>
      <c r="U484" s="20">
        <f t="shared" si="126"/>
        <v>7.8299153057297441E-2</v>
      </c>
      <c r="V484" s="21">
        <f t="shared" si="127"/>
        <v>392897381.28476417</v>
      </c>
      <c r="W484" s="21" t="str">
        <f t="shared" si="128"/>
        <v/>
      </c>
      <c r="X484" s="19" t="str">
        <f t="shared" si="129"/>
        <v/>
      </c>
      <c r="Y484" s="17" t="str">
        <f t="shared" si="130"/>
        <v/>
      </c>
      <c r="Z484" s="17" t="str">
        <f t="shared" si="131"/>
        <v/>
      </c>
      <c r="AA484" s="20">
        <f t="shared" si="132"/>
        <v>3.9960865446130381E-2</v>
      </c>
      <c r="AB484" s="17" t="str">
        <f t="shared" si="133"/>
        <v/>
      </c>
      <c r="AC484" s="18" t="str">
        <f t="shared" si="134"/>
        <v/>
      </c>
      <c r="AD484" s="19" t="str">
        <f t="shared" si="135"/>
        <v/>
      </c>
    </row>
    <row r="485" spans="1:30" x14ac:dyDescent="0.25">
      <c r="A485" s="8">
        <v>634</v>
      </c>
      <c r="B485" s="9">
        <v>45468</v>
      </c>
      <c r="C485" s="10">
        <v>2.25</v>
      </c>
      <c r="D485" s="11">
        <v>164663.00570907569</v>
      </c>
      <c r="E485" s="11">
        <v>12004.58649368799</v>
      </c>
      <c r="F485" s="11">
        <v>15758.654400555881</v>
      </c>
      <c r="G485" s="11">
        <v>45805.242614219002</v>
      </c>
      <c r="H485" s="12">
        <v>4.3818988178651902E-2</v>
      </c>
      <c r="I485" s="13">
        <v>4768</v>
      </c>
      <c r="J485" s="13">
        <v>1232460</v>
      </c>
      <c r="K485" s="12">
        <v>6.8074723643889515E-2</v>
      </c>
      <c r="L485" s="14">
        <v>136.5020833333335</v>
      </c>
      <c r="M485" s="15"/>
      <c r="N485" s="16">
        <f t="shared" si="119"/>
        <v>118857.76309485669</v>
      </c>
      <c r="O485" s="17">
        <f t="shared" si="120"/>
        <v>192426.24660331957</v>
      </c>
      <c r="P485" s="18">
        <f t="shared" si="121"/>
        <v>26266583.54936691</v>
      </c>
      <c r="Q485" s="19">
        <f t="shared" si="122"/>
        <v>6.2385390275969232E-2</v>
      </c>
      <c r="R485" s="20">
        <f t="shared" si="123"/>
        <v>4.3818988178651902E-2</v>
      </c>
      <c r="S485" s="20">
        <f t="shared" si="124"/>
        <v>4.9629174719475963E-3</v>
      </c>
      <c r="T485" s="20">
        <f t="shared" si="125"/>
        <v>6.5149183855707886E-3</v>
      </c>
      <c r="U485" s="20">
        <f t="shared" si="126"/>
        <v>7.9552559501407896E-2</v>
      </c>
      <c r="V485" s="21">
        <f t="shared" si="127"/>
        <v>392661081.274023</v>
      </c>
      <c r="W485" s="21" t="str">
        <f t="shared" si="128"/>
        <v/>
      </c>
      <c r="X485" s="19" t="str">
        <f t="shared" si="129"/>
        <v/>
      </c>
      <c r="Y485" s="17" t="str">
        <f t="shared" si="130"/>
        <v/>
      </c>
      <c r="Z485" s="17" t="str">
        <f t="shared" si="131"/>
        <v/>
      </c>
      <c r="AA485" s="20">
        <f t="shared" si="132"/>
        <v>3.9925319884282995E-2</v>
      </c>
      <c r="AB485" s="17" t="str">
        <f t="shared" si="133"/>
        <v/>
      </c>
      <c r="AC485" s="18" t="str">
        <f t="shared" si="134"/>
        <v/>
      </c>
      <c r="AD485" s="19" t="str">
        <f t="shared" si="135"/>
        <v/>
      </c>
    </row>
    <row r="486" spans="1:30" x14ac:dyDescent="0.25">
      <c r="A486" s="8">
        <v>635</v>
      </c>
      <c r="B486" s="9">
        <v>45470</v>
      </c>
      <c r="C486" s="10">
        <v>2.25</v>
      </c>
      <c r="D486" s="11">
        <v>164559.92691567709</v>
      </c>
      <c r="E486" s="11">
        <v>16909.229961294011</v>
      </c>
      <c r="F486" s="11">
        <v>16529.78620554135</v>
      </c>
      <c r="G486" s="11">
        <v>45665.229450637999</v>
      </c>
      <c r="H486" s="12">
        <v>4.3415241152349418E-2</v>
      </c>
      <c r="I486" s="13">
        <v>4771</v>
      </c>
      <c r="J486" s="13">
        <v>1228812</v>
      </c>
      <c r="K486" s="12">
        <v>6.7980423835228995E-2</v>
      </c>
      <c r="L486" s="14">
        <v>142.3593402777777</v>
      </c>
      <c r="M486" s="15"/>
      <c r="N486" s="16">
        <f t="shared" si="119"/>
        <v>118894.69746503909</v>
      </c>
      <c r="O486" s="17">
        <f t="shared" si="120"/>
        <v>197998.94308251244</v>
      </c>
      <c r="P486" s="18">
        <f t="shared" si="121"/>
        <v>28186998.912923727</v>
      </c>
      <c r="Q486" s="19">
        <f t="shared" si="122"/>
        <v>8.540060718529896E-2</v>
      </c>
      <c r="R486" s="20">
        <f t="shared" si="123"/>
        <v>4.3415241152349418E-2</v>
      </c>
      <c r="S486" s="20">
        <f t="shared" si="124"/>
        <v>6.9852766772626144E-3</v>
      </c>
      <c r="T486" s="20">
        <f t="shared" si="125"/>
        <v>6.8285268061295621E-3</v>
      </c>
      <c r="U486" s="20">
        <f t="shared" si="126"/>
        <v>8.1794227318621182E-2</v>
      </c>
      <c r="V486" s="21">
        <f t="shared" si="127"/>
        <v>392959619.28775167</v>
      </c>
      <c r="W486" s="21" t="str">
        <f t="shared" si="128"/>
        <v/>
      </c>
      <c r="X486" s="19" t="str">
        <f t="shared" si="129"/>
        <v/>
      </c>
      <c r="Y486" s="17" t="str">
        <f t="shared" si="130"/>
        <v/>
      </c>
      <c r="Z486" s="17" t="str">
        <f t="shared" si="131"/>
        <v/>
      </c>
      <c r="AA486" s="20">
        <f t="shared" si="132"/>
        <v>3.9889805940543803E-2</v>
      </c>
      <c r="AB486" s="17" t="str">
        <f t="shared" si="133"/>
        <v/>
      </c>
      <c r="AC486" s="18" t="str">
        <f t="shared" si="134"/>
        <v/>
      </c>
      <c r="AD486" s="19" t="str">
        <f t="shared" si="135"/>
        <v/>
      </c>
    </row>
    <row r="487" spans="1:30" x14ac:dyDescent="0.25">
      <c r="A487" s="8">
        <v>636</v>
      </c>
      <c r="B487" s="9">
        <v>45472</v>
      </c>
      <c r="C487" s="10">
        <v>2.25</v>
      </c>
      <c r="D487" s="11">
        <v>164455.47906956641</v>
      </c>
      <c r="E487" s="11">
        <v>12037.91242980399</v>
      </c>
      <c r="F487" s="11">
        <v>14571.37954377702</v>
      </c>
      <c r="G487" s="11">
        <v>45846.782849381001</v>
      </c>
      <c r="H487" s="12">
        <v>4.368772139642578E-2</v>
      </c>
      <c r="I487" s="13">
        <v>4778</v>
      </c>
      <c r="J487" s="13">
        <v>1237697</v>
      </c>
      <c r="K487" s="12">
        <v>6.790082996305917E-2</v>
      </c>
      <c r="L487" s="14">
        <v>141.6535069444443</v>
      </c>
      <c r="M487" s="15"/>
      <c r="N487" s="16">
        <f t="shared" si="119"/>
        <v>118608.6962201854</v>
      </c>
      <c r="O487" s="17">
        <f t="shared" si="120"/>
        <v>191064.77104314743</v>
      </c>
      <c r="P487" s="18">
        <f t="shared" si="121"/>
        <v>27064994.871799145</v>
      </c>
      <c r="Q487" s="19">
        <f t="shared" si="122"/>
        <v>6.300435378055913E-2</v>
      </c>
      <c r="R487" s="20">
        <f t="shared" si="123"/>
        <v>4.368772139642578E-2</v>
      </c>
      <c r="S487" s="20">
        <f t="shared" si="124"/>
        <v>4.9702463525739694E-3</v>
      </c>
      <c r="T487" s="20">
        <f t="shared" si="125"/>
        <v>6.0162712141118256E-3</v>
      </c>
      <c r="U487" s="20">
        <f t="shared" si="126"/>
        <v>7.8887347529744967E-2</v>
      </c>
      <c r="V487" s="21">
        <f t="shared" si="127"/>
        <v>393170541.75651449</v>
      </c>
      <c r="W487" s="21" t="str">
        <f t="shared" si="128"/>
        <v/>
      </c>
      <c r="X487" s="19" t="str">
        <f t="shared" si="129"/>
        <v/>
      </c>
      <c r="Y487" s="17" t="str">
        <f t="shared" si="130"/>
        <v/>
      </c>
      <c r="Z487" s="17" t="str">
        <f t="shared" si="131"/>
        <v/>
      </c>
      <c r="AA487" s="20">
        <f t="shared" si="132"/>
        <v>3.9854323586788212E-2</v>
      </c>
      <c r="AB487" s="17" t="str">
        <f t="shared" si="133"/>
        <v/>
      </c>
      <c r="AC487" s="18" t="str">
        <f t="shared" si="134"/>
        <v/>
      </c>
      <c r="AD487" s="19" t="str">
        <f t="shared" si="135"/>
        <v/>
      </c>
    </row>
    <row r="488" spans="1:30" x14ac:dyDescent="0.25">
      <c r="A488" s="8">
        <v>637</v>
      </c>
      <c r="B488" s="9">
        <v>45475</v>
      </c>
      <c r="C488" s="10">
        <v>2.25</v>
      </c>
      <c r="D488" s="11">
        <v>164352.43938482221</v>
      </c>
      <c r="E488" s="11">
        <v>12437.35007737301</v>
      </c>
      <c r="F488" s="11">
        <v>13558.27950474138</v>
      </c>
      <c r="G488" s="11">
        <v>45773.311689998001</v>
      </c>
      <c r="H488" s="12">
        <v>4.3645993224914949E-2</v>
      </c>
      <c r="I488" s="13">
        <v>4781</v>
      </c>
      <c r="J488" s="13">
        <v>1234702</v>
      </c>
      <c r="K488" s="12">
        <v>6.7624555399655784E-2</v>
      </c>
      <c r="L488" s="14">
        <v>149.68749999999989</v>
      </c>
      <c r="M488" s="15"/>
      <c r="N488" s="16">
        <f t="shared" si="119"/>
        <v>118579.12769482422</v>
      </c>
      <c r="O488" s="17">
        <f t="shared" si="120"/>
        <v>190348.06896693658</v>
      </c>
      <c r="P488" s="18">
        <f t="shared" si="121"/>
        <v>28492726.573488299</v>
      </c>
      <c r="Q488" s="19">
        <f t="shared" si="122"/>
        <v>6.5340038093758518E-2</v>
      </c>
      <c r="R488" s="20">
        <f t="shared" si="123"/>
        <v>4.3645993224914949E-2</v>
      </c>
      <c r="S488" s="20">
        <f t="shared" si="124"/>
        <v>5.1174796825674395E-3</v>
      </c>
      <c r="T488" s="20">
        <f t="shared" si="125"/>
        <v>5.5786979914888525E-3</v>
      </c>
      <c r="U488" s="20">
        <f t="shared" si="126"/>
        <v>7.8320733073712082E-2</v>
      </c>
      <c r="V488" s="21">
        <f t="shared" si="127"/>
        <v>394529460.03307271</v>
      </c>
      <c r="W488" s="21" t="str">
        <f t="shared" si="128"/>
        <v/>
      </c>
      <c r="X488" s="19" t="str">
        <f t="shared" si="129"/>
        <v/>
      </c>
      <c r="Y488" s="17" t="str">
        <f t="shared" si="130"/>
        <v/>
      </c>
      <c r="Z488" s="17" t="str">
        <f t="shared" si="131"/>
        <v/>
      </c>
      <c r="AA488" s="20">
        <f t="shared" si="132"/>
        <v>3.9801159225913034E-2</v>
      </c>
      <c r="AB488" s="17" t="str">
        <f t="shared" si="133"/>
        <v/>
      </c>
      <c r="AC488" s="18" t="str">
        <f t="shared" si="134"/>
        <v/>
      </c>
      <c r="AD488" s="19" t="str">
        <f t="shared" si="135"/>
        <v/>
      </c>
    </row>
    <row r="489" spans="1:30" x14ac:dyDescent="0.25">
      <c r="A489" s="8">
        <v>638</v>
      </c>
      <c r="B489" s="9">
        <v>45477</v>
      </c>
      <c r="C489" s="10">
        <v>2.25</v>
      </c>
      <c r="D489" s="11">
        <v>164249.3104617791</v>
      </c>
      <c r="E489" s="11">
        <v>10289.274777715011</v>
      </c>
      <c r="F489" s="11">
        <v>12643.84779608059</v>
      </c>
      <c r="G489" s="11">
        <v>45638.288680113998</v>
      </c>
      <c r="H489" s="12">
        <v>4.3522608652709023E-2</v>
      </c>
      <c r="I489" s="13">
        <v>4783</v>
      </c>
      <c r="J489" s="13">
        <v>1241238</v>
      </c>
      <c r="K489" s="12">
        <v>6.7538437002432616E-2</v>
      </c>
      <c r="L489" s="14">
        <v>134.98083333333329</v>
      </c>
      <c r="M489" s="15"/>
      <c r="N489" s="16">
        <f t="shared" si="119"/>
        <v>118611.0217816651</v>
      </c>
      <c r="O489" s="17">
        <f t="shared" si="120"/>
        <v>187182.43303557468</v>
      </c>
      <c r="P489" s="18">
        <f t="shared" si="121"/>
        <v>25266040.796502724</v>
      </c>
      <c r="Q489" s="19">
        <f t="shared" si="122"/>
        <v>5.4969233014294121E-2</v>
      </c>
      <c r="R489" s="20">
        <f t="shared" si="123"/>
        <v>4.3522608652709023E-2</v>
      </c>
      <c r="S489" s="20">
        <f t="shared" si="124"/>
        <v>4.2308946955191802E-3</v>
      </c>
      <c r="T489" s="20">
        <f t="shared" si="125"/>
        <v>5.1990825133031472E-3</v>
      </c>
      <c r="U489" s="20">
        <f t="shared" si="126"/>
        <v>7.6968414211254943E-2</v>
      </c>
      <c r="V489" s="21">
        <f t="shared" si="127"/>
        <v>394784647.79991549</v>
      </c>
      <c r="W489" s="21" t="str">
        <f t="shared" si="128"/>
        <v/>
      </c>
      <c r="X489" s="19" t="str">
        <f t="shared" si="129"/>
        <v/>
      </c>
      <c r="Y489" s="17" t="str">
        <f t="shared" si="130"/>
        <v/>
      </c>
      <c r="Z489" s="17" t="str">
        <f t="shared" si="131"/>
        <v/>
      </c>
      <c r="AA489" s="20">
        <f t="shared" si="132"/>
        <v>3.9765755724235394E-2</v>
      </c>
      <c r="AB489" s="17" t="str">
        <f t="shared" si="133"/>
        <v/>
      </c>
      <c r="AC489" s="18" t="str">
        <f t="shared" si="134"/>
        <v/>
      </c>
      <c r="AD489" s="19" t="str">
        <f t="shared" si="135"/>
        <v/>
      </c>
    </row>
    <row r="490" spans="1:30" x14ac:dyDescent="0.25">
      <c r="A490" s="8">
        <v>639</v>
      </c>
      <c r="B490" s="9">
        <v>45479</v>
      </c>
      <c r="C490" s="10">
        <v>2.25</v>
      </c>
      <c r="D490" s="11">
        <v>164146.81414119809</v>
      </c>
      <c r="E490" s="11">
        <v>12044.429020020991</v>
      </c>
      <c r="F490" s="11">
        <v>13125.49795197924</v>
      </c>
      <c r="G490" s="11">
        <v>45573.588298246003</v>
      </c>
      <c r="H490" s="12">
        <v>4.3535878080344259E-2</v>
      </c>
      <c r="I490" s="13">
        <v>4788</v>
      </c>
      <c r="J490" s="13">
        <v>1247231</v>
      </c>
      <c r="K490" s="12">
        <v>6.7466568205997224E-2</v>
      </c>
      <c r="L490" s="14">
        <v>139.02017361111109</v>
      </c>
      <c r="M490" s="15"/>
      <c r="N490" s="16">
        <f t="shared" si="119"/>
        <v>118573.22584295209</v>
      </c>
      <c r="O490" s="17">
        <f t="shared" si="120"/>
        <v>189316.74111319834</v>
      </c>
      <c r="P490" s="18">
        <f t="shared" si="121"/>
        <v>26318846.217046607</v>
      </c>
      <c r="Q490" s="19">
        <f t="shared" si="122"/>
        <v>6.3620517388999709E-2</v>
      </c>
      <c r="R490" s="20">
        <f t="shared" si="123"/>
        <v>4.3535878080344259E-2</v>
      </c>
      <c r="S490" s="20">
        <f t="shared" si="124"/>
        <v>4.9504237790600559E-3</v>
      </c>
      <c r="T490" s="20">
        <f t="shared" si="125"/>
        <v>5.3947577810017971E-3</v>
      </c>
      <c r="U490" s="20">
        <f t="shared" si="126"/>
        <v>7.7811749766059077E-2</v>
      </c>
      <c r="V490" s="21">
        <f t="shared" si="127"/>
        <v>394958572.8775689</v>
      </c>
      <c r="W490" s="21" t="str">
        <f t="shared" si="128"/>
        <v/>
      </c>
      <c r="X490" s="19" t="str">
        <f t="shared" si="129"/>
        <v/>
      </c>
      <c r="Y490" s="17" t="str">
        <f t="shared" si="130"/>
        <v/>
      </c>
      <c r="Z490" s="17" t="str">
        <f t="shared" si="131"/>
        <v/>
      </c>
      <c r="AA490" s="20">
        <f t="shared" si="132"/>
        <v>3.9730383714302098E-2</v>
      </c>
      <c r="AB490" s="17" t="str">
        <f t="shared" si="133"/>
        <v/>
      </c>
      <c r="AC490" s="18" t="str">
        <f t="shared" si="134"/>
        <v/>
      </c>
      <c r="AD490" s="19" t="str">
        <f t="shared" si="135"/>
        <v/>
      </c>
    </row>
    <row r="491" spans="1:30" x14ac:dyDescent="0.25">
      <c r="A491" s="8">
        <v>640</v>
      </c>
      <c r="B491" s="9">
        <v>45482</v>
      </c>
      <c r="C491" s="10">
        <v>2.291666666666667</v>
      </c>
      <c r="D491" s="11">
        <v>164043.84454413099</v>
      </c>
      <c r="E491" s="11">
        <v>10855.807927037</v>
      </c>
      <c r="F491" s="11">
        <v>10916.192856312629</v>
      </c>
      <c r="G491" s="11">
        <v>45541.113386425</v>
      </c>
      <c r="H491" s="12">
        <v>4.3581889506511248E-2</v>
      </c>
      <c r="I491" s="13">
        <v>4791</v>
      </c>
      <c r="J491" s="13">
        <v>1251668</v>
      </c>
      <c r="K491" s="12">
        <v>6.6106860357276032E-2</v>
      </c>
      <c r="L491" s="14">
        <v>141.31479166666671</v>
      </c>
      <c r="M491" s="15"/>
      <c r="N491" s="16">
        <f t="shared" si="119"/>
        <v>118502.73115770599</v>
      </c>
      <c r="O491" s="17">
        <f t="shared" si="120"/>
        <v>185815.84532748064</v>
      </c>
      <c r="P491" s="18">
        <f t="shared" si="121"/>
        <v>26258527.47081849</v>
      </c>
      <c r="Q491" s="19">
        <f t="shared" si="122"/>
        <v>5.842240153365174E-2</v>
      </c>
      <c r="R491" s="20">
        <f t="shared" si="123"/>
        <v>4.3581889506511248E-2</v>
      </c>
      <c r="S491" s="20">
        <f t="shared" si="124"/>
        <v>4.374704705881147E-3</v>
      </c>
      <c r="T491" s="20">
        <f t="shared" si="125"/>
        <v>4.3990387983818512E-3</v>
      </c>
      <c r="U491" s="20">
        <f t="shared" si="126"/>
        <v>7.4880603861539038E-2</v>
      </c>
      <c r="V491" s="21">
        <f t="shared" si="127"/>
        <v>395505187.56562632</v>
      </c>
      <c r="W491" s="21" t="str">
        <f t="shared" si="128"/>
        <v/>
      </c>
      <c r="X491" s="19" t="str">
        <f t="shared" si="129"/>
        <v/>
      </c>
      <c r="Y491" s="17" t="str">
        <f t="shared" si="130"/>
        <v/>
      </c>
      <c r="Z491" s="17" t="str">
        <f t="shared" si="131"/>
        <v/>
      </c>
      <c r="AA491" s="20">
        <f t="shared" si="132"/>
        <v>3.9677384685152937E-2</v>
      </c>
      <c r="AB491" s="17" t="str">
        <f t="shared" si="133"/>
        <v/>
      </c>
      <c r="AC491" s="18" t="str">
        <f t="shared" si="134"/>
        <v/>
      </c>
      <c r="AD491" s="19" t="str">
        <f t="shared" si="135"/>
        <v/>
      </c>
    </row>
    <row r="492" spans="1:30" x14ac:dyDescent="0.25">
      <c r="A492" s="8">
        <v>641</v>
      </c>
      <c r="B492" s="9">
        <v>45484</v>
      </c>
      <c r="C492" s="10">
        <v>2.291666666666667</v>
      </c>
      <c r="D492" s="11">
        <v>163941.23517430859</v>
      </c>
      <c r="E492" s="11">
        <v>11342.004462654</v>
      </c>
      <c r="F492" s="11">
        <v>11223.19649549237</v>
      </c>
      <c r="G492" s="11">
        <v>45579.631523691001</v>
      </c>
      <c r="H492" s="12">
        <v>4.3600088215982533E-2</v>
      </c>
      <c r="I492" s="13">
        <v>4796</v>
      </c>
      <c r="J492" s="13">
        <v>1250265</v>
      </c>
      <c r="K492" s="12">
        <v>6.6123752163921051E-2</v>
      </c>
      <c r="L492" s="14">
        <v>140.5116319444443</v>
      </c>
      <c r="M492" s="15"/>
      <c r="N492" s="16">
        <f t="shared" si="119"/>
        <v>118361.60365061759</v>
      </c>
      <c r="O492" s="17">
        <f t="shared" si="120"/>
        <v>186506.43613245495</v>
      </c>
      <c r="P492" s="18">
        <f t="shared" si="121"/>
        <v>26206323.70911352</v>
      </c>
      <c r="Q492" s="19">
        <f t="shared" si="122"/>
        <v>6.0812938673060188E-2</v>
      </c>
      <c r="R492" s="20">
        <f t="shared" si="123"/>
        <v>4.3600088215982533E-2</v>
      </c>
      <c r="S492" s="20">
        <f t="shared" si="124"/>
        <v>4.5746629353695953E-3</v>
      </c>
      <c r="T492" s="20">
        <f t="shared" si="125"/>
        <v>4.5267431513851568E-3</v>
      </c>
      <c r="U492" s="20">
        <f t="shared" si="126"/>
        <v>7.52251582506758E-2</v>
      </c>
      <c r="V492" s="21">
        <f t="shared" si="127"/>
        <v>395156827.6446234</v>
      </c>
      <c r="W492" s="21" t="str">
        <f t="shared" si="128"/>
        <v/>
      </c>
      <c r="X492" s="19" t="str">
        <f t="shared" si="129"/>
        <v/>
      </c>
      <c r="Y492" s="17" t="str">
        <f t="shared" si="130"/>
        <v/>
      </c>
      <c r="Z492" s="17" t="str">
        <f t="shared" si="131"/>
        <v/>
      </c>
      <c r="AA492" s="20">
        <f t="shared" si="132"/>
        <v>3.9642091282081633E-2</v>
      </c>
      <c r="AB492" s="17" t="str">
        <f t="shared" si="133"/>
        <v/>
      </c>
      <c r="AC492" s="18" t="str">
        <f t="shared" si="134"/>
        <v/>
      </c>
      <c r="AD492" s="19" t="str">
        <f t="shared" si="135"/>
        <v/>
      </c>
    </row>
    <row r="493" spans="1:30" x14ac:dyDescent="0.25">
      <c r="A493" s="8">
        <v>642</v>
      </c>
      <c r="B493" s="9">
        <v>45486</v>
      </c>
      <c r="C493" s="10">
        <v>2.291666666666667</v>
      </c>
      <c r="D493" s="11">
        <v>163838.51226309381</v>
      </c>
      <c r="E493" s="11">
        <v>16074.77454651</v>
      </c>
      <c r="F493" s="11">
        <v>17277.055770080238</v>
      </c>
      <c r="G493" s="11">
        <v>44626.981837448002</v>
      </c>
      <c r="H493" s="12">
        <v>4.3492866039024511E-2</v>
      </c>
      <c r="I493" s="13">
        <v>4797</v>
      </c>
      <c r="J493" s="13">
        <v>1263123</v>
      </c>
      <c r="K493" s="12">
        <v>6.6037497958719729E-2</v>
      </c>
      <c r="L493" s="14">
        <v>139.71045138888931</v>
      </c>
      <c r="M493" s="15"/>
      <c r="N493" s="16">
        <f t="shared" si="119"/>
        <v>119211.53042564582</v>
      </c>
      <c r="O493" s="17">
        <f t="shared" si="120"/>
        <v>197190.34257968405</v>
      </c>
      <c r="P493" s="18">
        <f t="shared" si="121"/>
        <v>27549551.771337379</v>
      </c>
      <c r="Q493" s="19">
        <f t="shared" si="122"/>
        <v>8.1519076118112779E-2</v>
      </c>
      <c r="R493" s="20">
        <f t="shared" si="123"/>
        <v>4.3492866039024511E-2</v>
      </c>
      <c r="S493" s="20">
        <f t="shared" si="124"/>
        <v>6.4791719397293106E-3</v>
      </c>
      <c r="T493" s="20">
        <f t="shared" si="125"/>
        <v>6.9637688928549119E-3</v>
      </c>
      <c r="U493" s="20">
        <f t="shared" si="126"/>
        <v>7.9480438791303953E-2</v>
      </c>
      <c r="V493" s="21">
        <f t="shared" si="127"/>
        <v>395425035.47029078</v>
      </c>
      <c r="W493" s="21" t="str">
        <f t="shared" si="128"/>
        <v/>
      </c>
      <c r="X493" s="19" t="str">
        <f t="shared" si="129"/>
        <v/>
      </c>
      <c r="Y493" s="17" t="str">
        <f t="shared" si="130"/>
        <v/>
      </c>
      <c r="Z493" s="17" t="str">
        <f t="shared" si="131"/>
        <v/>
      </c>
      <c r="AA493" s="20">
        <f t="shared" si="132"/>
        <v>3.9606829272820943E-2</v>
      </c>
      <c r="AB493" s="17" t="str">
        <f t="shared" si="133"/>
        <v/>
      </c>
      <c r="AC493" s="18" t="str">
        <f t="shared" si="134"/>
        <v/>
      </c>
      <c r="AD493" s="19" t="str">
        <f t="shared" si="135"/>
        <v/>
      </c>
    </row>
    <row r="494" spans="1:30" x14ac:dyDescent="0.25">
      <c r="A494" s="8">
        <v>643</v>
      </c>
      <c r="B494" s="9">
        <v>45488</v>
      </c>
      <c r="C494" s="10">
        <v>2.291666666666667</v>
      </c>
      <c r="D494" s="11">
        <v>163734.47758084771</v>
      </c>
      <c r="E494" s="11">
        <v>13514.934810203</v>
      </c>
      <c r="F494" s="11">
        <v>13664.31715449793</v>
      </c>
      <c r="G494" s="11">
        <v>44536.252306347</v>
      </c>
      <c r="H494" s="12">
        <v>4.3665886947362988E-2</v>
      </c>
      <c r="I494" s="13">
        <v>4800</v>
      </c>
      <c r="J494" s="13">
        <v>1266733</v>
      </c>
      <c r="K494" s="12">
        <v>6.6067795262752055E-2</v>
      </c>
      <c r="L494" s="14">
        <v>153.44381944444461</v>
      </c>
      <c r="M494" s="15"/>
      <c r="N494" s="16">
        <f t="shared" si="119"/>
        <v>119198.22527450071</v>
      </c>
      <c r="O494" s="17">
        <f t="shared" si="120"/>
        <v>190913.72954554865</v>
      </c>
      <c r="P494" s="18">
        <f t="shared" si="121"/>
        <v>29294531.845852699</v>
      </c>
      <c r="Q494" s="19">
        <f t="shared" si="122"/>
        <v>7.0790795624672845E-2</v>
      </c>
      <c r="R494" s="20">
        <f t="shared" si="123"/>
        <v>4.3665886947362988E-2</v>
      </c>
      <c r="S494" s="20">
        <f t="shared" si="124"/>
        <v>5.4533532535262245E-3</v>
      </c>
      <c r="T494" s="20">
        <f t="shared" si="125"/>
        <v>5.5136298811770757E-3</v>
      </c>
      <c r="U494" s="20">
        <f t="shared" si="126"/>
        <v>7.7034778397455358E-2</v>
      </c>
      <c r="V494" s="21">
        <f t="shared" si="127"/>
        <v>394992728.78867078</v>
      </c>
      <c r="W494" s="21" t="str">
        <f t="shared" si="128"/>
        <v/>
      </c>
      <c r="X494" s="19" t="str">
        <f t="shared" si="129"/>
        <v/>
      </c>
      <c r="Y494" s="17" t="str">
        <f t="shared" si="130"/>
        <v/>
      </c>
      <c r="Z494" s="17" t="str">
        <f t="shared" si="131"/>
        <v/>
      </c>
      <c r="AA494" s="20">
        <f t="shared" si="132"/>
        <v>3.9571598629445773E-2</v>
      </c>
      <c r="AB494" s="17" t="str">
        <f t="shared" si="133"/>
        <v/>
      </c>
      <c r="AC494" s="18" t="str">
        <f t="shared" si="134"/>
        <v/>
      </c>
      <c r="AD494" s="19" t="str">
        <f t="shared" si="135"/>
        <v/>
      </c>
    </row>
    <row r="495" spans="1:30" x14ac:dyDescent="0.25">
      <c r="A495" s="8">
        <v>644</v>
      </c>
      <c r="B495" s="9">
        <v>45491</v>
      </c>
      <c r="C495" s="10">
        <v>2.25</v>
      </c>
      <c r="D495" s="11">
        <v>163631.1908202272</v>
      </c>
      <c r="E495" s="11">
        <v>12321.970884216989</v>
      </c>
      <c r="F495" s="11">
        <v>11539.33318585397</v>
      </c>
      <c r="G495" s="11">
        <v>44273.922261170002</v>
      </c>
      <c r="H495" s="12">
        <v>4.2955007764018241E-2</v>
      </c>
      <c r="I495" s="13">
        <v>4802</v>
      </c>
      <c r="J495" s="13">
        <v>1327908</v>
      </c>
      <c r="K495" s="12">
        <v>6.7220226838621028E-2</v>
      </c>
      <c r="L495" s="14">
        <v>158.5710416666671</v>
      </c>
      <c r="M495" s="15"/>
      <c r="N495" s="16">
        <f t="shared" si="119"/>
        <v>119357.26855905721</v>
      </c>
      <c r="O495" s="17">
        <f t="shared" si="120"/>
        <v>187492.49489029814</v>
      </c>
      <c r="P495" s="18">
        <f t="shared" si="121"/>
        <v>29730880.219436835</v>
      </c>
      <c r="Q495" s="19">
        <f t="shared" si="122"/>
        <v>6.5719808632481932E-2</v>
      </c>
      <c r="R495" s="20">
        <f t="shared" si="123"/>
        <v>4.2955007764018241E-2</v>
      </c>
      <c r="S495" s="20">
        <f t="shared" si="124"/>
        <v>5.0619058248249421E-3</v>
      </c>
      <c r="T495" s="20">
        <f t="shared" si="125"/>
        <v>4.7403957059245841E-3</v>
      </c>
      <c r="U495" s="20">
        <f t="shared" si="126"/>
        <v>7.7022528369370541E-2</v>
      </c>
      <c r="V495" s="21">
        <f t="shared" si="127"/>
        <v>395160770.68470562</v>
      </c>
      <c r="W495" s="21" t="str">
        <f t="shared" si="128"/>
        <v/>
      </c>
      <c r="X495" s="19" t="str">
        <f t="shared" si="129"/>
        <v/>
      </c>
      <c r="Y495" s="17" t="str">
        <f t="shared" si="130"/>
        <v/>
      </c>
      <c r="Z495" s="17" t="str">
        <f t="shared" si="131"/>
        <v/>
      </c>
      <c r="AA495" s="20">
        <f t="shared" si="132"/>
        <v>3.9518811414393382E-2</v>
      </c>
      <c r="AB495" s="17" t="str">
        <f t="shared" si="133"/>
        <v/>
      </c>
      <c r="AC495" s="18" t="str">
        <f t="shared" si="134"/>
        <v/>
      </c>
      <c r="AD495" s="19" t="str">
        <f t="shared" si="135"/>
        <v/>
      </c>
    </row>
    <row r="496" spans="1:30" x14ac:dyDescent="0.25">
      <c r="A496" s="8">
        <v>645</v>
      </c>
      <c r="B496" s="9">
        <v>45493</v>
      </c>
      <c r="C496" s="10">
        <v>2.25</v>
      </c>
      <c r="D496" s="11">
        <v>163528.2652612931</v>
      </c>
      <c r="E496" s="11">
        <v>12255.004496326999</v>
      </c>
      <c r="F496" s="11">
        <v>11806.33179355523</v>
      </c>
      <c r="G496" s="11">
        <v>44218.037247243999</v>
      </c>
      <c r="H496" s="12">
        <v>4.3097859782133853E-2</v>
      </c>
      <c r="I496" s="13">
        <v>4310</v>
      </c>
      <c r="J496" s="13">
        <v>1357570</v>
      </c>
      <c r="K496" s="12">
        <v>6.7061499954528897E-2</v>
      </c>
      <c r="L496" s="14">
        <v>170.68208333333399</v>
      </c>
      <c r="M496" s="15"/>
      <c r="N496" s="16">
        <f t="shared" si="119"/>
        <v>119310.22801404909</v>
      </c>
      <c r="O496" s="17">
        <f t="shared" si="120"/>
        <v>187589.60155117532</v>
      </c>
      <c r="P496" s="18">
        <f t="shared" si="121"/>
        <v>32018184.004424624</v>
      </c>
      <c r="Q496" s="19">
        <f t="shared" si="122"/>
        <v>6.5328804981675787E-2</v>
      </c>
      <c r="R496" s="20">
        <f t="shared" si="123"/>
        <v>4.3097859782133853E-2</v>
      </c>
      <c r="S496" s="20">
        <f t="shared" si="124"/>
        <v>5.025669306526378E-3</v>
      </c>
      <c r="T496" s="20">
        <f t="shared" si="125"/>
        <v>4.8416725865192871E-3</v>
      </c>
      <c r="U496" s="20">
        <f t="shared" si="126"/>
        <v>7.6928841847574564E-2</v>
      </c>
      <c r="V496" s="21">
        <f t="shared" si="127"/>
        <v>395846922.78107172</v>
      </c>
      <c r="W496" s="21" t="str">
        <f t="shared" si="128"/>
        <v/>
      </c>
      <c r="X496" s="19" t="str">
        <f t="shared" si="129"/>
        <v/>
      </c>
      <c r="Y496" s="17" t="str">
        <f t="shared" si="130"/>
        <v/>
      </c>
      <c r="Z496" s="17" t="str">
        <f t="shared" si="131"/>
        <v/>
      </c>
      <c r="AA496" s="20">
        <f t="shared" si="132"/>
        <v>3.9483659063722726E-2</v>
      </c>
      <c r="AB496" s="17" t="str">
        <f t="shared" si="133"/>
        <v/>
      </c>
      <c r="AC496" s="18" t="str">
        <f t="shared" si="134"/>
        <v/>
      </c>
      <c r="AD496" s="19" t="str">
        <f t="shared" si="135"/>
        <v/>
      </c>
    </row>
    <row r="497" spans="1:30" x14ac:dyDescent="0.25">
      <c r="A497" s="8">
        <v>646</v>
      </c>
      <c r="B497" s="9">
        <v>45495</v>
      </c>
      <c r="C497" s="10">
        <v>2.25</v>
      </c>
      <c r="D497" s="11">
        <v>163425.38325774681</v>
      </c>
      <c r="E497" s="11">
        <v>12618.504735776</v>
      </c>
      <c r="F497" s="11">
        <v>14217.751433412979</v>
      </c>
      <c r="G497" s="11">
        <v>44299.396773027001</v>
      </c>
      <c r="H497" s="12">
        <v>4.3197531585304837E-2</v>
      </c>
      <c r="I497" s="13">
        <v>4315</v>
      </c>
      <c r="J497" s="13">
        <v>1371920</v>
      </c>
      <c r="K497" s="12">
        <v>6.7064837764445204E-2</v>
      </c>
      <c r="L497" s="14">
        <v>180.4834722222223</v>
      </c>
      <c r="M497" s="15"/>
      <c r="N497" s="16">
        <f t="shared" si="119"/>
        <v>119125.98648471982</v>
      </c>
      <c r="O497" s="17">
        <f t="shared" si="120"/>
        <v>190261.63942693578</v>
      </c>
      <c r="P497" s="18">
        <f t="shared" si="121"/>
        <v>34339081.314465843</v>
      </c>
      <c r="Q497" s="19">
        <f t="shared" si="122"/>
        <v>6.6321854335864447E-2</v>
      </c>
      <c r="R497" s="20">
        <f t="shared" si="123"/>
        <v>4.3197531585304837E-2</v>
      </c>
      <c r="S497" s="20">
        <f t="shared" si="124"/>
        <v>5.1782529498494287E-3</v>
      </c>
      <c r="T497" s="20">
        <f t="shared" si="125"/>
        <v>5.8345354574033141E-3</v>
      </c>
      <c r="U497" s="20">
        <f t="shared" si="126"/>
        <v>7.8077626171697945E-2</v>
      </c>
      <c r="V497" s="21">
        <f t="shared" si="127"/>
        <v>395578191.19294536</v>
      </c>
      <c r="W497" s="21" t="str">
        <f t="shared" si="128"/>
        <v/>
      </c>
      <c r="X497" s="19" t="str">
        <f t="shared" si="129"/>
        <v/>
      </c>
      <c r="Y497" s="17" t="str">
        <f t="shared" si="130"/>
        <v/>
      </c>
      <c r="Z497" s="17" t="str">
        <f t="shared" si="131"/>
        <v/>
      </c>
      <c r="AA497" s="20">
        <f t="shared" si="132"/>
        <v>3.9448537981395256E-2</v>
      </c>
      <c r="AB497" s="17" t="str">
        <f t="shared" si="133"/>
        <v/>
      </c>
      <c r="AC497" s="18" t="str">
        <f t="shared" si="134"/>
        <v/>
      </c>
      <c r="AD497" s="19" t="str">
        <f t="shared" si="135"/>
        <v/>
      </c>
    </row>
    <row r="498" spans="1:30" x14ac:dyDescent="0.25">
      <c r="A498" s="8">
        <v>647</v>
      </c>
      <c r="B498" s="9">
        <v>45498</v>
      </c>
      <c r="C498" s="10">
        <v>2.208333333333333</v>
      </c>
      <c r="D498" s="11">
        <v>163322.42369620741</v>
      </c>
      <c r="E498" s="11">
        <v>10761.296124778</v>
      </c>
      <c r="F498" s="11">
        <v>22909.537780203569</v>
      </c>
      <c r="G498" s="11">
        <v>44333.042062346998</v>
      </c>
      <c r="H498" s="12">
        <v>4.2830927516739253E-2</v>
      </c>
      <c r="I498" s="13">
        <v>4319</v>
      </c>
      <c r="J498" s="13">
        <v>1378473</v>
      </c>
      <c r="K498" s="12">
        <v>6.8309686377592993E-2</v>
      </c>
      <c r="L498" s="14">
        <v>170.78475694444461</v>
      </c>
      <c r="M498" s="15"/>
      <c r="N498" s="16">
        <f t="shared" si="119"/>
        <v>118989.38163386041</v>
      </c>
      <c r="O498" s="17">
        <f t="shared" si="120"/>
        <v>196993.25760118896</v>
      </c>
      <c r="P498" s="18">
        <f t="shared" si="121"/>
        <v>33643445.619113423</v>
      </c>
      <c r="Q498" s="19">
        <f t="shared" si="122"/>
        <v>5.4627738308506708E-2</v>
      </c>
      <c r="R498" s="20">
        <f t="shared" si="123"/>
        <v>4.2830927516739253E-2</v>
      </c>
      <c r="S498" s="20">
        <f t="shared" si="124"/>
        <v>4.5009175510849478E-3</v>
      </c>
      <c r="T498" s="20">
        <f t="shared" si="125"/>
        <v>9.5819257723742928E-3</v>
      </c>
      <c r="U498" s="20">
        <f t="shared" si="126"/>
        <v>8.2392529701052236E-2</v>
      </c>
      <c r="V498" s="21">
        <f t="shared" si="127"/>
        <v>395447761.52245218</v>
      </c>
      <c r="W498" s="21" t="str">
        <f t="shared" si="128"/>
        <v/>
      </c>
      <c r="X498" s="19" t="str">
        <f t="shared" si="129"/>
        <v/>
      </c>
      <c r="Y498" s="17" t="str">
        <f t="shared" si="130"/>
        <v/>
      </c>
      <c r="Z498" s="17" t="str">
        <f t="shared" si="131"/>
        <v/>
      </c>
      <c r="AA498" s="20">
        <f t="shared" si="132"/>
        <v>3.9395914925212314E-2</v>
      </c>
      <c r="AB498" s="17" t="str">
        <f t="shared" si="133"/>
        <v/>
      </c>
      <c r="AC498" s="18" t="str">
        <f t="shared" si="134"/>
        <v/>
      </c>
      <c r="AD498" s="19" t="str">
        <f t="shared" si="135"/>
        <v/>
      </c>
    </row>
    <row r="499" spans="1:30" x14ac:dyDescent="0.25">
      <c r="A499" s="8">
        <v>648</v>
      </c>
      <c r="B499" s="9">
        <v>45500</v>
      </c>
      <c r="C499" s="10">
        <v>2.291666666666667</v>
      </c>
      <c r="D499" s="11">
        <v>163220.01097630119</v>
      </c>
      <c r="E499" s="11">
        <v>13608.376300368</v>
      </c>
      <c r="F499" s="11">
        <v>31943.418279265701</v>
      </c>
      <c r="G499" s="11">
        <v>44200.287130441997</v>
      </c>
      <c r="H499" s="12">
        <v>4.3759910862435678E-2</v>
      </c>
      <c r="I499" s="13">
        <v>4324</v>
      </c>
      <c r="J499" s="13">
        <v>1388312</v>
      </c>
      <c r="K499" s="12">
        <v>6.5729547023153534E-2</v>
      </c>
      <c r="L499" s="14">
        <v>184.18038194444441</v>
      </c>
      <c r="M499" s="15"/>
      <c r="N499" s="16">
        <f t="shared" si="119"/>
        <v>119019.72384585919</v>
      </c>
      <c r="O499" s="17">
        <f t="shared" si="120"/>
        <v>208771.80555593487</v>
      </c>
      <c r="P499" s="18">
        <f t="shared" si="121"/>
        <v>38451670.886523366</v>
      </c>
      <c r="Q499" s="19">
        <f t="shared" si="122"/>
        <v>6.5183017717025948E-2</v>
      </c>
      <c r="R499" s="20">
        <f t="shared" si="123"/>
        <v>4.3759910862435678E-2</v>
      </c>
      <c r="S499" s="20">
        <f t="shared" si="124"/>
        <v>5.4801638879541544E-3</v>
      </c>
      <c r="T499" s="20">
        <f t="shared" si="125"/>
        <v>1.2863780619228812E-2</v>
      </c>
      <c r="U499" s="20">
        <f t="shared" si="126"/>
        <v>8.4073491530336497E-2</v>
      </c>
      <c r="V499" s="21">
        <f t="shared" si="127"/>
        <v>395777900.36945695</v>
      </c>
      <c r="W499" s="21" t="str">
        <f t="shared" si="128"/>
        <v/>
      </c>
      <c r="X499" s="19" t="str">
        <f t="shared" si="129"/>
        <v/>
      </c>
      <c r="Y499" s="17" t="str">
        <f t="shared" si="130"/>
        <v/>
      </c>
      <c r="Z499" s="17" t="str">
        <f t="shared" si="131"/>
        <v/>
      </c>
      <c r="AA499" s="20">
        <f t="shared" si="132"/>
        <v>3.9360871892112938E-2</v>
      </c>
      <c r="AB499" s="17" t="str">
        <f t="shared" si="133"/>
        <v/>
      </c>
      <c r="AC499" s="18" t="str">
        <f t="shared" si="134"/>
        <v/>
      </c>
      <c r="AD499" s="19" t="str">
        <f t="shared" si="135"/>
        <v/>
      </c>
    </row>
    <row r="500" spans="1:30" x14ac:dyDescent="0.25">
      <c r="A500" s="8">
        <v>649</v>
      </c>
      <c r="B500" s="9">
        <v>45502</v>
      </c>
      <c r="C500" s="10">
        <v>2.25</v>
      </c>
      <c r="D500" s="11">
        <v>163116.8231613074</v>
      </c>
      <c r="E500" s="11">
        <v>14319.811238605</v>
      </c>
      <c r="F500" s="11">
        <v>30695.386571132651</v>
      </c>
      <c r="G500" s="11">
        <v>44162.056133001999</v>
      </c>
      <c r="H500" s="12">
        <v>4.3651836607833852E-2</v>
      </c>
      <c r="I500" s="13">
        <v>4331</v>
      </c>
      <c r="J500" s="13">
        <v>1387251</v>
      </c>
      <c r="K500" s="12">
        <v>6.6950794615023082E-2</v>
      </c>
      <c r="L500" s="14">
        <v>189.0798958333331</v>
      </c>
      <c r="M500" s="15"/>
      <c r="N500" s="16">
        <f t="shared" si="119"/>
        <v>118954.7670283054</v>
      </c>
      <c r="O500" s="17">
        <f t="shared" si="120"/>
        <v>208132.02097104507</v>
      </c>
      <c r="P500" s="18">
        <f t="shared" si="121"/>
        <v>39353580.844786301</v>
      </c>
      <c r="Q500" s="19">
        <f t="shared" si="122"/>
        <v>6.8801576863548278E-2</v>
      </c>
      <c r="R500" s="20">
        <f t="shared" si="123"/>
        <v>4.3651836607833852E-2</v>
      </c>
      <c r="S500" s="20">
        <f t="shared" si="124"/>
        <v>5.8775221499603068E-3</v>
      </c>
      <c r="T500" s="20">
        <f t="shared" si="125"/>
        <v>1.2598826302056875E-2</v>
      </c>
      <c r="U500" s="20">
        <f t="shared" si="126"/>
        <v>8.5427143067040259E-2</v>
      </c>
      <c r="V500" s="21">
        <f t="shared" si="127"/>
        <v>395503858.89784819</v>
      </c>
      <c r="W500" s="21" t="str">
        <f t="shared" si="128"/>
        <v/>
      </c>
      <c r="X500" s="19" t="str">
        <f t="shared" si="129"/>
        <v/>
      </c>
      <c r="Y500" s="17" t="str">
        <f t="shared" si="130"/>
        <v/>
      </c>
      <c r="Z500" s="17" t="str">
        <f t="shared" si="131"/>
        <v/>
      </c>
      <c r="AA500" s="20">
        <f t="shared" si="132"/>
        <v>3.932586003011776E-2</v>
      </c>
      <c r="AB500" s="17" t="str">
        <f t="shared" si="133"/>
        <v/>
      </c>
      <c r="AC500" s="18" t="str">
        <f t="shared" si="134"/>
        <v/>
      </c>
      <c r="AD500" s="19" t="str">
        <f t="shared" si="135"/>
        <v/>
      </c>
    </row>
    <row r="501" spans="1:30" x14ac:dyDescent="0.25">
      <c r="A501" s="8">
        <v>650</v>
      </c>
      <c r="B501" s="9">
        <v>45504</v>
      </c>
      <c r="C501" s="10">
        <v>2.208333333333333</v>
      </c>
      <c r="D501" s="11">
        <v>163013.46139468861</v>
      </c>
      <c r="E501" s="11">
        <v>11009.186545977011</v>
      </c>
      <c r="F501" s="11">
        <v>24243.4237605544</v>
      </c>
      <c r="G501" s="11">
        <v>44230.934709966998</v>
      </c>
      <c r="H501" s="12">
        <v>4.352391365549288E-2</v>
      </c>
      <c r="I501" s="13">
        <v>4344</v>
      </c>
      <c r="J501" s="13">
        <v>1314570</v>
      </c>
      <c r="K501" s="12">
        <v>6.7960688605690725E-2</v>
      </c>
      <c r="L501" s="14">
        <v>180.16215277777749</v>
      </c>
      <c r="M501" s="15"/>
      <c r="N501" s="16">
        <f t="shared" si="119"/>
        <v>118782.52668472161</v>
      </c>
      <c r="O501" s="17">
        <f t="shared" si="120"/>
        <v>198266.07170122003</v>
      </c>
      <c r="P501" s="18">
        <f t="shared" si="121"/>
        <v>35720042.300484993</v>
      </c>
      <c r="Q501" s="19">
        <f t="shared" si="122"/>
        <v>5.5527334815850218E-2</v>
      </c>
      <c r="R501" s="20">
        <f t="shared" si="123"/>
        <v>4.352391365549288E-2</v>
      </c>
      <c r="S501" s="20">
        <f t="shared" si="124"/>
        <v>4.5897553015059244E-3</v>
      </c>
      <c r="T501" s="20">
        <f t="shared" si="125"/>
        <v>1.0107139366470286E-2</v>
      </c>
      <c r="U501" s="20">
        <f t="shared" si="126"/>
        <v>8.2657583273666929E-2</v>
      </c>
      <c r="V501" s="21">
        <f t="shared" si="127"/>
        <v>396726577.12427151</v>
      </c>
      <c r="W501" s="21" t="str">
        <f t="shared" si="128"/>
        <v/>
      </c>
      <c r="X501" s="19" t="str">
        <f t="shared" si="129"/>
        <v/>
      </c>
      <c r="Y501" s="17" t="str">
        <f t="shared" si="130"/>
        <v/>
      </c>
      <c r="Z501" s="17" t="str">
        <f t="shared" si="131"/>
        <v/>
      </c>
      <c r="AA501" s="20">
        <f t="shared" si="132"/>
        <v>3.9290879311499785E-2</v>
      </c>
      <c r="AB501" s="17" t="str">
        <f t="shared" si="133"/>
        <v/>
      </c>
      <c r="AC501" s="18" t="str">
        <f t="shared" si="134"/>
        <v/>
      </c>
      <c r="AD501" s="19" t="str">
        <f t="shared" si="135"/>
        <v/>
      </c>
    </row>
    <row r="502" spans="1:30" x14ac:dyDescent="0.25">
      <c r="A502" s="8">
        <v>651</v>
      </c>
      <c r="B502" s="9">
        <v>45507</v>
      </c>
      <c r="C502" s="10">
        <v>2.208333333333333</v>
      </c>
      <c r="D502" s="11">
        <v>162911.05317622091</v>
      </c>
      <c r="E502" s="11">
        <v>8280.1716526279997</v>
      </c>
      <c r="F502" s="11">
        <v>18827.033151004409</v>
      </c>
      <c r="G502" s="11">
        <v>44459.901358622003</v>
      </c>
      <c r="H502" s="12">
        <v>4.43677759749289E-2</v>
      </c>
      <c r="I502" s="13">
        <v>4350</v>
      </c>
      <c r="J502" s="13">
        <v>1265539</v>
      </c>
      <c r="K502" s="12">
        <v>6.8090208118494089E-2</v>
      </c>
      <c r="L502" s="14">
        <v>148.80024305555571</v>
      </c>
      <c r="M502" s="15"/>
      <c r="N502" s="16">
        <f t="shared" si="119"/>
        <v>118451.1518175989</v>
      </c>
      <c r="O502" s="17">
        <f t="shared" si="120"/>
        <v>190018.25797985331</v>
      </c>
      <c r="P502" s="18">
        <f t="shared" si="121"/>
        <v>28274762.972395461</v>
      </c>
      <c r="Q502" s="19">
        <f t="shared" si="122"/>
        <v>4.3575663416017131E-2</v>
      </c>
      <c r="R502" s="20">
        <f t="shared" si="123"/>
        <v>4.43677759749289E-2</v>
      </c>
      <c r="S502" s="20">
        <f t="shared" si="124"/>
        <v>3.4607756815274813E-3</v>
      </c>
      <c r="T502" s="20">
        <f t="shared" si="125"/>
        <v>7.8689357199048168E-3</v>
      </c>
      <c r="U502" s="20">
        <f t="shared" si="126"/>
        <v>7.9419919519926385E-2</v>
      </c>
      <c r="V502" s="21">
        <f t="shared" si="127"/>
        <v>395723176.37456554</v>
      </c>
      <c r="W502" s="21" t="str">
        <f t="shared" si="128"/>
        <v/>
      </c>
      <c r="X502" s="19" t="str">
        <f t="shared" si="129"/>
        <v/>
      </c>
      <c r="Y502" s="17" t="str">
        <f t="shared" si="130"/>
        <v/>
      </c>
      <c r="Z502" s="17" t="str">
        <f t="shared" si="131"/>
        <v/>
      </c>
      <c r="AA502" s="20">
        <f t="shared" si="132"/>
        <v>3.9238466566812978E-2</v>
      </c>
      <c r="AB502" s="17" t="str">
        <f t="shared" si="133"/>
        <v/>
      </c>
      <c r="AC502" s="18" t="str">
        <f t="shared" si="134"/>
        <v/>
      </c>
      <c r="AD502" s="19" t="str">
        <f t="shared" si="135"/>
        <v/>
      </c>
    </row>
    <row r="503" spans="1:30" x14ac:dyDescent="0.25">
      <c r="A503" s="8">
        <v>652</v>
      </c>
      <c r="B503" s="9">
        <v>45509</v>
      </c>
      <c r="C503" s="10">
        <v>2.208333333333333</v>
      </c>
      <c r="D503" s="11">
        <v>162809.4335426855</v>
      </c>
      <c r="E503" s="11">
        <v>11651.842775683001</v>
      </c>
      <c r="F503" s="11">
        <v>26917.365144206571</v>
      </c>
      <c r="G503" s="11">
        <v>44203.802493458999</v>
      </c>
      <c r="H503" s="12">
        <v>4.3762025752009291E-2</v>
      </c>
      <c r="I503" s="13">
        <v>4350</v>
      </c>
      <c r="J503" s="13">
        <v>1271888</v>
      </c>
      <c r="K503" s="12">
        <v>6.8270934509116116E-2</v>
      </c>
      <c r="L503" s="14">
        <v>126.1751041666667</v>
      </c>
      <c r="M503" s="15"/>
      <c r="N503" s="16">
        <f t="shared" si="119"/>
        <v>118605.6310492265</v>
      </c>
      <c r="O503" s="17">
        <f t="shared" si="120"/>
        <v>201378.64146257506</v>
      </c>
      <c r="P503" s="18">
        <f t="shared" si="121"/>
        <v>25408971.063482232</v>
      </c>
      <c r="Q503" s="19">
        <f t="shared" si="122"/>
        <v>5.7860370350390024E-2</v>
      </c>
      <c r="R503" s="20">
        <f t="shared" si="123"/>
        <v>4.3762025752009291E-2</v>
      </c>
      <c r="S503" s="20">
        <f t="shared" si="124"/>
        <v>4.8859711488438524E-3</v>
      </c>
      <c r="T503" s="20">
        <f t="shared" si="125"/>
        <v>1.128726777638649E-2</v>
      </c>
      <c r="U503" s="20">
        <f t="shared" si="126"/>
        <v>8.4444173434346459E-2</v>
      </c>
      <c r="V503" s="21">
        <f t="shared" si="127"/>
        <v>394429432.17869097</v>
      </c>
      <c r="W503" s="21" t="str">
        <f t="shared" si="128"/>
        <v/>
      </c>
      <c r="X503" s="19" t="str">
        <f t="shared" si="129"/>
        <v/>
      </c>
      <c r="Y503" s="17" t="str">
        <f t="shared" si="130"/>
        <v/>
      </c>
      <c r="Z503" s="17" t="str">
        <f t="shared" si="131"/>
        <v/>
      </c>
      <c r="AA503" s="20">
        <f t="shared" si="132"/>
        <v>3.9203563585494247E-2</v>
      </c>
      <c r="AB503" s="17" t="str">
        <f t="shared" si="133"/>
        <v/>
      </c>
      <c r="AC503" s="18" t="str">
        <f t="shared" si="134"/>
        <v/>
      </c>
      <c r="AD503" s="19" t="str">
        <f t="shared" si="135"/>
        <v/>
      </c>
    </row>
    <row r="504" spans="1:30" x14ac:dyDescent="0.25">
      <c r="A504" s="8">
        <v>653</v>
      </c>
      <c r="B504" s="9">
        <v>45511</v>
      </c>
      <c r="C504" s="10">
        <v>2.125</v>
      </c>
      <c r="D504" s="11">
        <v>162706.8941448697</v>
      </c>
      <c r="E504" s="11">
        <v>11630.888147899999</v>
      </c>
      <c r="F504" s="11">
        <v>25849.890359639809</v>
      </c>
      <c r="G504" s="11">
        <v>44219.716166345999</v>
      </c>
      <c r="H504" s="12">
        <v>4.3808442163856418E-2</v>
      </c>
      <c r="I504" s="13">
        <v>4354</v>
      </c>
      <c r="J504" s="13">
        <v>1275902</v>
      </c>
      <c r="K504" s="12">
        <v>7.088966108906801E-2</v>
      </c>
      <c r="L504" s="14">
        <v>149.2239583333332</v>
      </c>
      <c r="M504" s="15"/>
      <c r="N504" s="16">
        <f t="shared" si="119"/>
        <v>118487.1779785237</v>
      </c>
      <c r="O504" s="17">
        <f t="shared" si="120"/>
        <v>200187.6726524095</v>
      </c>
      <c r="P504" s="18">
        <f t="shared" si="121"/>
        <v>29872796.922730103</v>
      </c>
      <c r="Q504" s="19">
        <f t="shared" si="122"/>
        <v>5.8099921907254402E-2</v>
      </c>
      <c r="R504" s="20">
        <f t="shared" si="123"/>
        <v>4.3808442163856418E-2</v>
      </c>
      <c r="S504" s="20">
        <f t="shared" si="124"/>
        <v>5.0674541069868143E-3</v>
      </c>
      <c r="T504" s="20">
        <f t="shared" si="125"/>
        <v>1.1262521950378048E-2</v>
      </c>
      <c r="U504" s="20">
        <f t="shared" si="126"/>
        <v>8.7219637146432882E-2</v>
      </c>
      <c r="V504" s="21">
        <f t="shared" si="127"/>
        <v>394506665.36877936</v>
      </c>
      <c r="W504" s="21" t="str">
        <f t="shared" si="128"/>
        <v/>
      </c>
      <c r="X504" s="19" t="str">
        <f t="shared" si="129"/>
        <v/>
      </c>
      <c r="Y504" s="17" t="str">
        <f t="shared" si="130"/>
        <v/>
      </c>
      <c r="Z504" s="17" t="str">
        <f t="shared" si="131"/>
        <v/>
      </c>
      <c r="AA504" s="20">
        <f t="shared" si="132"/>
        <v>3.9168691650702331E-2</v>
      </c>
      <c r="AB504" s="17" t="str">
        <f t="shared" si="133"/>
        <v/>
      </c>
      <c r="AC504" s="18" t="str">
        <f t="shared" si="134"/>
        <v/>
      </c>
      <c r="AD504" s="19" t="str">
        <f t="shared" si="135"/>
        <v/>
      </c>
    </row>
    <row r="505" spans="1:30" x14ac:dyDescent="0.25">
      <c r="A505" s="8">
        <v>654</v>
      </c>
      <c r="B505" s="9">
        <v>45513</v>
      </c>
      <c r="C505" s="10">
        <v>2.083333333333333</v>
      </c>
      <c r="D505" s="11">
        <v>162604.3856059128</v>
      </c>
      <c r="E505" s="11">
        <v>8233.7106778060006</v>
      </c>
      <c r="F505" s="11">
        <v>16707.290507355079</v>
      </c>
      <c r="G505" s="11">
        <v>44082.464233109</v>
      </c>
      <c r="H505" s="12">
        <v>4.3717467090833663E-2</v>
      </c>
      <c r="I505" s="13">
        <v>4358</v>
      </c>
      <c r="J505" s="13">
        <v>1268830</v>
      </c>
      <c r="K505" s="12">
        <v>7.2255756832232565E-2</v>
      </c>
      <c r="L505" s="14">
        <v>156.22677083333321</v>
      </c>
      <c r="M505" s="15"/>
      <c r="N505" s="16">
        <f t="shared" si="119"/>
        <v>118521.9213728038</v>
      </c>
      <c r="O505" s="17">
        <f t="shared" si="120"/>
        <v>187545.38679107389</v>
      </c>
      <c r="P505" s="18">
        <f t="shared" si="121"/>
        <v>29299610.163057938</v>
      </c>
      <c r="Q505" s="19">
        <f t="shared" si="122"/>
        <v>4.3902496449984015E-2</v>
      </c>
      <c r="R505" s="20">
        <f t="shared" si="123"/>
        <v>4.3717467090833663E-2</v>
      </c>
      <c r="S505" s="20">
        <f t="shared" si="124"/>
        <v>3.6587758340318314E-3</v>
      </c>
      <c r="T505" s="20">
        <f t="shared" si="125"/>
        <v>7.4241412107461545E-3</v>
      </c>
      <c r="U505" s="20">
        <f t="shared" si="126"/>
        <v>8.333867387701055E-2</v>
      </c>
      <c r="V505" s="21">
        <f t="shared" si="127"/>
        <v>394540201.83636904</v>
      </c>
      <c r="W505" s="21" t="str">
        <f t="shared" si="128"/>
        <v/>
      </c>
      <c r="X505" s="19" t="str">
        <f t="shared" si="129"/>
        <v/>
      </c>
      <c r="Y505" s="17" t="str">
        <f t="shared" si="130"/>
        <v/>
      </c>
      <c r="Z505" s="17" t="str">
        <f t="shared" si="131"/>
        <v/>
      </c>
      <c r="AA505" s="20">
        <f t="shared" si="132"/>
        <v>3.9133850734821077E-2</v>
      </c>
      <c r="AB505" s="17" t="str">
        <f t="shared" si="133"/>
        <v/>
      </c>
      <c r="AC505" s="18" t="str">
        <f t="shared" si="134"/>
        <v/>
      </c>
      <c r="AD505" s="19" t="str">
        <f t="shared" si="135"/>
        <v/>
      </c>
    </row>
    <row r="506" spans="1:30" x14ac:dyDescent="0.25">
      <c r="A506" s="8">
        <v>655</v>
      </c>
      <c r="B506" s="9">
        <v>45515</v>
      </c>
      <c r="C506" s="10">
        <v>2.083333333333333</v>
      </c>
      <c r="D506" s="11">
        <v>162502.8506555428</v>
      </c>
      <c r="E506" s="11">
        <v>8878.0756238959966</v>
      </c>
      <c r="F506" s="11">
        <v>19666.589450457581</v>
      </c>
      <c r="G506" s="11">
        <v>44244.679743216002</v>
      </c>
      <c r="H506" s="12">
        <v>4.3890515744453601E-2</v>
      </c>
      <c r="I506" s="13">
        <v>4362</v>
      </c>
      <c r="J506" s="13">
        <v>1258828</v>
      </c>
      <c r="K506" s="12">
        <v>7.2236445294447615E-2</v>
      </c>
      <c r="L506" s="14">
        <v>151.57614583333361</v>
      </c>
      <c r="M506" s="15"/>
      <c r="N506" s="16">
        <f t="shared" si="119"/>
        <v>118258.17091232681</v>
      </c>
      <c r="O506" s="17">
        <f t="shared" si="120"/>
        <v>191047.51572989637</v>
      </c>
      <c r="P506" s="18">
        <f t="shared" si="121"/>
        <v>28958246.105370872</v>
      </c>
      <c r="Q506" s="19">
        <f t="shared" si="122"/>
        <v>4.6470510699798108E-2</v>
      </c>
      <c r="R506" s="20">
        <f t="shared" si="123"/>
        <v>4.3890515744453601E-2</v>
      </c>
      <c r="S506" s="20">
        <f t="shared" si="124"/>
        <v>3.9465192243608024E-3</v>
      </c>
      <c r="T506" s="20">
        <f t="shared" si="125"/>
        <v>8.7422744107897455E-3</v>
      </c>
      <c r="U506" s="20">
        <f t="shared" si="126"/>
        <v>8.4925238929598162E-2</v>
      </c>
      <c r="V506" s="21">
        <f t="shared" si="127"/>
        <v>394399249.0328095</v>
      </c>
      <c r="W506" s="21" t="str">
        <f t="shared" si="128"/>
        <v/>
      </c>
      <c r="X506" s="19" t="str">
        <f t="shared" si="129"/>
        <v/>
      </c>
      <c r="Y506" s="17" t="str">
        <f t="shared" si="130"/>
        <v/>
      </c>
      <c r="Z506" s="17" t="str">
        <f t="shared" si="131"/>
        <v/>
      </c>
      <c r="AA506" s="20">
        <f t="shared" si="132"/>
        <v>3.9099040810258855E-2</v>
      </c>
      <c r="AB506" s="17" t="str">
        <f t="shared" si="133"/>
        <v/>
      </c>
      <c r="AC506" s="18" t="str">
        <f t="shared" si="134"/>
        <v/>
      </c>
      <c r="AD506" s="19" t="str">
        <f t="shared" si="135"/>
        <v/>
      </c>
    </row>
    <row r="507" spans="1:30" x14ac:dyDescent="0.25">
      <c r="A507" s="8">
        <v>656</v>
      </c>
      <c r="B507" s="9">
        <v>45517</v>
      </c>
      <c r="C507" s="10">
        <v>2.083333333333333</v>
      </c>
      <c r="D507" s="11">
        <v>162401.15958138209</v>
      </c>
      <c r="E507" s="11">
        <v>8243.0973160440026</v>
      </c>
      <c r="F507" s="11">
        <v>17238.646106930799</v>
      </c>
      <c r="G507" s="11">
        <v>44245.277597038999</v>
      </c>
      <c r="H507" s="12">
        <v>4.3799549842194273E-2</v>
      </c>
      <c r="I507" s="13">
        <v>4377</v>
      </c>
      <c r="J507" s="13">
        <v>1269806</v>
      </c>
      <c r="K507" s="12">
        <v>7.2172762448565381E-2</v>
      </c>
      <c r="L507" s="14">
        <v>146.14625000000009</v>
      </c>
      <c r="M507" s="15"/>
      <c r="N507" s="16">
        <f t="shared" si="119"/>
        <v>118155.88198434308</v>
      </c>
      <c r="O507" s="17">
        <f t="shared" si="120"/>
        <v>187882.90300435689</v>
      </c>
      <c r="P507" s="18">
        <f t="shared" si="121"/>
        <v>27458381.71320051</v>
      </c>
      <c r="Q507" s="19">
        <f t="shared" si="122"/>
        <v>4.387358926348317E-2</v>
      </c>
      <c r="R507" s="20">
        <f t="shared" si="123"/>
        <v>4.3799549842194273E-2</v>
      </c>
      <c r="S507" s="20">
        <f t="shared" si="124"/>
        <v>3.66331808199388E-3</v>
      </c>
      <c r="T507" s="20">
        <f t="shared" si="125"/>
        <v>7.6610334163712181E-3</v>
      </c>
      <c r="U507" s="20">
        <f t="shared" si="126"/>
        <v>8.3497113946930476E-2</v>
      </c>
      <c r="V507" s="21">
        <f t="shared" si="127"/>
        <v>394500228.78227615</v>
      </c>
      <c r="W507" s="21" t="str">
        <f t="shared" si="128"/>
        <v/>
      </c>
      <c r="X507" s="19" t="str">
        <f t="shared" si="129"/>
        <v/>
      </c>
      <c r="Y507" s="17" t="str">
        <f t="shared" si="130"/>
        <v/>
      </c>
      <c r="Z507" s="17" t="str">
        <f t="shared" si="131"/>
        <v/>
      </c>
      <c r="AA507" s="20">
        <f t="shared" si="132"/>
        <v>3.9064261849448612E-2</v>
      </c>
      <c r="AB507" s="17" t="str">
        <f t="shared" si="133"/>
        <v/>
      </c>
      <c r="AC507" s="18" t="str">
        <f t="shared" si="134"/>
        <v/>
      </c>
      <c r="AD507" s="19" t="str">
        <f t="shared" si="135"/>
        <v/>
      </c>
    </row>
    <row r="508" spans="1:30" x14ac:dyDescent="0.25">
      <c r="A508" s="8">
        <v>657</v>
      </c>
      <c r="B508" s="9">
        <v>45519</v>
      </c>
      <c r="C508" s="10">
        <v>2.125</v>
      </c>
      <c r="D508" s="11">
        <v>162299.66947656719</v>
      </c>
      <c r="E508" s="11">
        <v>6353.5668491670021</v>
      </c>
      <c r="F508" s="11">
        <v>12214.43644436825</v>
      </c>
      <c r="G508" s="11">
        <v>44016.792617876999</v>
      </c>
      <c r="H508" s="12">
        <v>4.3530456715497393E-2</v>
      </c>
      <c r="I508" s="13">
        <v>4381</v>
      </c>
      <c r="J508" s="13">
        <v>1270576</v>
      </c>
      <c r="K508" s="12">
        <v>7.1070667553380817E-2</v>
      </c>
      <c r="L508" s="14">
        <v>143.30374999999921</v>
      </c>
      <c r="M508" s="15"/>
      <c r="N508" s="16">
        <f t="shared" si="119"/>
        <v>118282.87685869019</v>
      </c>
      <c r="O508" s="17">
        <f t="shared" si="120"/>
        <v>180867.67277010242</v>
      </c>
      <c r="P508" s="18">
        <f t="shared" si="121"/>
        <v>25919015.761728421</v>
      </c>
      <c r="Q508" s="19">
        <f t="shared" si="122"/>
        <v>3.5128261185971607E-2</v>
      </c>
      <c r="R508" s="20">
        <f t="shared" si="123"/>
        <v>4.3530456715497393E-2</v>
      </c>
      <c r="S508" s="20">
        <f t="shared" si="124"/>
        <v>2.7822129199130889E-3</v>
      </c>
      <c r="T508" s="20">
        <f t="shared" si="125"/>
        <v>5.3486747982252007E-3</v>
      </c>
      <c r="U508" s="20">
        <f t="shared" si="126"/>
        <v>7.9201555271519106E-2</v>
      </c>
      <c r="V508" s="21">
        <f t="shared" si="127"/>
        <v>392517054.24399912</v>
      </c>
      <c r="W508" s="21" t="str">
        <f t="shared" si="128"/>
        <v/>
      </c>
      <c r="X508" s="19" t="str">
        <f t="shared" si="129"/>
        <v/>
      </c>
      <c r="Y508" s="17" t="str">
        <f t="shared" si="130"/>
        <v/>
      </c>
      <c r="Z508" s="17" t="str">
        <f t="shared" si="131"/>
        <v/>
      </c>
      <c r="AA508" s="20">
        <f t="shared" si="132"/>
        <v>3.9029513824847803E-2</v>
      </c>
      <c r="AB508" s="17" t="str">
        <f t="shared" si="133"/>
        <v/>
      </c>
      <c r="AC508" s="18" t="str">
        <f t="shared" si="134"/>
        <v/>
      </c>
      <c r="AD508" s="19" t="str">
        <f t="shared" si="135"/>
        <v/>
      </c>
    </row>
    <row r="509" spans="1:30" x14ac:dyDescent="0.25">
      <c r="A509" s="8">
        <v>658</v>
      </c>
      <c r="B509" s="9">
        <v>45522</v>
      </c>
      <c r="C509" s="10">
        <v>2.125</v>
      </c>
      <c r="D509" s="11">
        <v>162198.72943419521</v>
      </c>
      <c r="E509" s="11">
        <v>6716.4896799270018</v>
      </c>
      <c r="F509" s="11">
        <v>13967.584036733149</v>
      </c>
      <c r="G509" s="11">
        <v>43884.119732578001</v>
      </c>
      <c r="H509" s="12">
        <v>4.3726033116766413E-2</v>
      </c>
      <c r="I509" s="13">
        <v>4378</v>
      </c>
      <c r="J509" s="13">
        <v>1245381</v>
      </c>
      <c r="K509" s="12">
        <v>7.0860396191623209E-2</v>
      </c>
      <c r="L509" s="14">
        <v>143.9526041666669</v>
      </c>
      <c r="M509" s="15"/>
      <c r="N509" s="16">
        <f t="shared" si="119"/>
        <v>118314.60970161721</v>
      </c>
      <c r="O509" s="17">
        <f t="shared" si="120"/>
        <v>182882.80315085535</v>
      </c>
      <c r="P509" s="18">
        <f t="shared" si="121"/>
        <v>26326455.770865545</v>
      </c>
      <c r="Q509" s="19">
        <f t="shared" si="122"/>
        <v>3.6725649236613797E-2</v>
      </c>
      <c r="R509" s="20">
        <f t="shared" si="123"/>
        <v>4.3726033116766413E-2</v>
      </c>
      <c r="S509" s="20">
        <f t="shared" si="124"/>
        <v>2.9342592349323195E-3</v>
      </c>
      <c r="T509" s="20">
        <f t="shared" si="125"/>
        <v>6.1020733154648326E-3</v>
      </c>
      <c r="U509" s="20">
        <f t="shared" si="126"/>
        <v>7.9896728742020362E-2</v>
      </c>
      <c r="V509" s="21">
        <f t="shared" si="127"/>
        <v>393436965.60525954</v>
      </c>
      <c r="W509" s="21" t="str">
        <f t="shared" si="128"/>
        <v/>
      </c>
      <c r="X509" s="19" t="str">
        <f t="shared" si="129"/>
        <v/>
      </c>
      <c r="Y509" s="17" t="str">
        <f t="shared" si="130"/>
        <v/>
      </c>
      <c r="Z509" s="17" t="str">
        <f t="shared" si="131"/>
        <v/>
      </c>
      <c r="AA509" s="20">
        <f t="shared" si="132"/>
        <v>3.8977449733150239E-2</v>
      </c>
      <c r="AB509" s="17" t="str">
        <f t="shared" si="133"/>
        <v/>
      </c>
      <c r="AC509" s="18" t="str">
        <f t="shared" si="134"/>
        <v/>
      </c>
      <c r="AD509" s="19" t="str">
        <f t="shared" si="135"/>
        <v/>
      </c>
    </row>
    <row r="510" spans="1:30" x14ac:dyDescent="0.25">
      <c r="A510" s="8">
        <v>659</v>
      </c>
      <c r="B510" s="9">
        <v>45524</v>
      </c>
      <c r="C510" s="10">
        <v>2.166666666666667</v>
      </c>
      <c r="D510" s="11">
        <v>162097.71137013161</v>
      </c>
      <c r="E510" s="11">
        <v>4979.5395022209996</v>
      </c>
      <c r="F510" s="11">
        <v>6974.1299984243778</v>
      </c>
      <c r="G510" s="11">
        <v>44115.075168021998</v>
      </c>
      <c r="H510" s="12">
        <v>4.3842874509812439E-2</v>
      </c>
      <c r="I510" s="13">
        <v>4384</v>
      </c>
      <c r="J510" s="13">
        <v>1274963</v>
      </c>
      <c r="K510" s="12">
        <v>6.911199524394844E-2</v>
      </c>
      <c r="L510" s="14">
        <v>145.08531250000021</v>
      </c>
      <c r="M510" s="15"/>
      <c r="N510" s="16">
        <f t="shared" si="119"/>
        <v>117982.63620210961</v>
      </c>
      <c r="O510" s="17">
        <f t="shared" si="120"/>
        <v>174051.38087077701</v>
      </c>
      <c r="P510" s="18">
        <f t="shared" si="121"/>
        <v>25252298.98469324</v>
      </c>
      <c r="Q510" s="19">
        <f t="shared" si="122"/>
        <v>2.8609594921387132E-2</v>
      </c>
      <c r="R510" s="20">
        <f t="shared" si="123"/>
        <v>4.3842874509812439E-2</v>
      </c>
      <c r="S510" s="20">
        <f t="shared" si="124"/>
        <v>2.1230769237002563E-3</v>
      </c>
      <c r="T510" s="20">
        <f t="shared" si="125"/>
        <v>2.9734907125320282E-3</v>
      </c>
      <c r="U510" s="20">
        <f t="shared" si="126"/>
        <v>7.4208562880180726E-2</v>
      </c>
      <c r="V510" s="21">
        <f t="shared" si="127"/>
        <v>395386261.44613671</v>
      </c>
      <c r="W510" s="21" t="str">
        <f t="shared" si="128"/>
        <v/>
      </c>
      <c r="X510" s="19" t="str">
        <f t="shared" si="129"/>
        <v/>
      </c>
      <c r="Y510" s="17" t="str">
        <f t="shared" si="130"/>
        <v/>
      </c>
      <c r="Z510" s="17" t="str">
        <f t="shared" si="131"/>
        <v/>
      </c>
      <c r="AA510" s="20">
        <f t="shared" si="132"/>
        <v>3.8942778928735093E-2</v>
      </c>
      <c r="AB510" s="17" t="str">
        <f t="shared" si="133"/>
        <v/>
      </c>
      <c r="AC510" s="18" t="str">
        <f t="shared" si="134"/>
        <v/>
      </c>
      <c r="AD510" s="19" t="str">
        <f t="shared" si="135"/>
        <v/>
      </c>
    </row>
    <row r="511" spans="1:30" x14ac:dyDescent="0.25">
      <c r="A511" s="8">
        <v>660</v>
      </c>
      <c r="B511" s="9">
        <v>45526</v>
      </c>
      <c r="C511" s="10">
        <v>2.166666666666667</v>
      </c>
      <c r="D511" s="11">
        <v>161997.19960698899</v>
      </c>
      <c r="E511" s="11">
        <v>5214.8688100909976</v>
      </c>
      <c r="F511" s="11">
        <v>7871.3145008405381</v>
      </c>
      <c r="G511" s="11">
        <v>43959.724182145001</v>
      </c>
      <c r="H511" s="12">
        <v>4.3611467053110933E-2</v>
      </c>
      <c r="I511" s="13">
        <v>4402</v>
      </c>
      <c r="J511" s="13">
        <v>1196843</v>
      </c>
      <c r="K511" s="12">
        <v>6.9078352966173234E-2</v>
      </c>
      <c r="L511" s="14">
        <v>143.04083333333361</v>
      </c>
      <c r="M511" s="15"/>
      <c r="N511" s="16">
        <f t="shared" si="119"/>
        <v>118037.47542484399</v>
      </c>
      <c r="O511" s="17">
        <f t="shared" si="120"/>
        <v>175083.38291792051</v>
      </c>
      <c r="P511" s="18">
        <f t="shared" si="121"/>
        <v>25044072.995398495</v>
      </c>
      <c r="Q511" s="19">
        <f t="shared" si="122"/>
        <v>2.9785058542852922E-2</v>
      </c>
      <c r="R511" s="20">
        <f t="shared" si="123"/>
        <v>4.3611467053110933E-2</v>
      </c>
      <c r="S511" s="20">
        <f t="shared" si="124"/>
        <v>2.2237084913177244E-3</v>
      </c>
      <c r="T511" s="20">
        <f t="shared" si="125"/>
        <v>3.3564619803055046E-3</v>
      </c>
      <c r="U511" s="20">
        <f t="shared" si="126"/>
        <v>7.465852343779647E-2</v>
      </c>
      <c r="V511" s="21">
        <f t="shared" si="127"/>
        <v>395333534.80788964</v>
      </c>
      <c r="W511" s="21" t="str">
        <f t="shared" si="128"/>
        <v/>
      </c>
      <c r="X511" s="19" t="str">
        <f t="shared" si="129"/>
        <v/>
      </c>
      <c r="Y511" s="17" t="str">
        <f t="shared" si="130"/>
        <v/>
      </c>
      <c r="Z511" s="17" t="str">
        <f t="shared" si="131"/>
        <v/>
      </c>
      <c r="AA511" s="20">
        <f t="shared" si="132"/>
        <v>3.8908138964323262E-2</v>
      </c>
      <c r="AB511" s="17" t="str">
        <f t="shared" si="133"/>
        <v/>
      </c>
      <c r="AC511" s="18" t="str">
        <f t="shared" si="134"/>
        <v/>
      </c>
      <c r="AD511" s="19" t="str">
        <f t="shared" si="135"/>
        <v/>
      </c>
    </row>
    <row r="512" spans="1:30" x14ac:dyDescent="0.25">
      <c r="A512" s="8">
        <v>661</v>
      </c>
      <c r="B512" s="9">
        <v>45528</v>
      </c>
      <c r="C512" s="10">
        <v>2.166666666666667</v>
      </c>
      <c r="D512" s="11">
        <v>161896.64506561539</v>
      </c>
      <c r="E512" s="11">
        <v>4869.5772470689972</v>
      </c>
      <c r="F512" s="11">
        <v>6516.4232634525752</v>
      </c>
      <c r="G512" s="11">
        <v>44638.065877087</v>
      </c>
      <c r="H512" s="12">
        <v>4.347706771735222E-2</v>
      </c>
      <c r="I512" s="13">
        <v>4413</v>
      </c>
      <c r="J512" s="13">
        <v>1139723</v>
      </c>
      <c r="K512" s="12">
        <v>6.9217536236499469E-2</v>
      </c>
      <c r="L512" s="14">
        <v>157.2641319444441</v>
      </c>
      <c r="M512" s="15"/>
      <c r="N512" s="16">
        <f t="shared" si="119"/>
        <v>117258.57918852838</v>
      </c>
      <c r="O512" s="17">
        <f t="shared" si="120"/>
        <v>173282.64557613694</v>
      </c>
      <c r="P512" s="18">
        <f t="shared" si="121"/>
        <v>27251144.837567944</v>
      </c>
      <c r="Q512" s="19">
        <f t="shared" si="122"/>
        <v>2.8101932717373025E-2</v>
      </c>
      <c r="R512" s="20">
        <f t="shared" si="123"/>
        <v>4.347706771735222E-2</v>
      </c>
      <c r="S512" s="20">
        <f t="shared" si="124"/>
        <v>2.081946413520947E-3</v>
      </c>
      <c r="T512" s="20">
        <f t="shared" si="125"/>
        <v>2.7860414475395063E-3</v>
      </c>
      <c r="U512" s="20">
        <f t="shared" si="126"/>
        <v>7.4085524097559918E-2</v>
      </c>
      <c r="V512" s="21">
        <f t="shared" si="127"/>
        <v>394293697.31375456</v>
      </c>
      <c r="W512" s="21" t="str">
        <f t="shared" si="128"/>
        <v/>
      </c>
      <c r="X512" s="19" t="str">
        <f t="shared" si="129"/>
        <v/>
      </c>
      <c r="Y512" s="17" t="str">
        <f t="shared" si="130"/>
        <v/>
      </c>
      <c r="Z512" s="17" t="str">
        <f t="shared" si="131"/>
        <v/>
      </c>
      <c r="AA512" s="20">
        <f t="shared" si="132"/>
        <v>3.8873529812482259E-2</v>
      </c>
      <c r="AB512" s="17" t="str">
        <f t="shared" si="133"/>
        <v/>
      </c>
      <c r="AC512" s="18" t="str">
        <f t="shared" si="134"/>
        <v/>
      </c>
      <c r="AD512" s="19" t="str">
        <f t="shared" si="135"/>
        <v/>
      </c>
    </row>
    <row r="513" spans="1:30" x14ac:dyDescent="0.25">
      <c r="A513" s="8">
        <v>662</v>
      </c>
      <c r="B513" s="9">
        <v>45530</v>
      </c>
      <c r="C513" s="10">
        <v>2.125</v>
      </c>
      <c r="D513" s="11">
        <v>161796.20913308911</v>
      </c>
      <c r="E513" s="11">
        <v>5514.6200833020021</v>
      </c>
      <c r="F513" s="11">
        <v>8185.645619439847</v>
      </c>
      <c r="G513" s="11">
        <v>44350.888234612998</v>
      </c>
      <c r="H513" s="12">
        <v>4.1331938761244427E-2</v>
      </c>
      <c r="I513" s="13">
        <v>4405</v>
      </c>
      <c r="J513" s="13">
        <v>1131457</v>
      </c>
      <c r="K513" s="12">
        <v>7.0201200999558386E-2</v>
      </c>
      <c r="L513" s="14">
        <v>159.07694444444431</v>
      </c>
      <c r="M513" s="15"/>
      <c r="N513" s="16">
        <f t="shared" si="119"/>
        <v>117445.32089847611</v>
      </c>
      <c r="O513" s="17">
        <f t="shared" si="120"/>
        <v>175496.47483583094</v>
      </c>
      <c r="P513" s="18">
        <f t="shared" si="121"/>
        <v>27917442.977655299</v>
      </c>
      <c r="Q513" s="19">
        <f t="shared" si="122"/>
        <v>3.1422967831466024E-2</v>
      </c>
      <c r="R513" s="20">
        <f t="shared" si="123"/>
        <v>4.1331938761244427E-2</v>
      </c>
      <c r="S513" s="20">
        <f t="shared" si="124"/>
        <v>2.3927195512080282E-3</v>
      </c>
      <c r="T513" s="20">
        <f t="shared" si="125"/>
        <v>3.5516416393215153E-3</v>
      </c>
      <c r="U513" s="20">
        <f t="shared" si="126"/>
        <v>7.6145562190087931E-2</v>
      </c>
      <c r="V513" s="21">
        <f t="shared" si="127"/>
        <v>396145831.22207505</v>
      </c>
      <c r="W513" s="21" t="str">
        <f t="shared" si="128"/>
        <v/>
      </c>
      <c r="X513" s="19" t="str">
        <f t="shared" si="129"/>
        <v/>
      </c>
      <c r="Y513" s="17" t="str">
        <f t="shared" si="130"/>
        <v/>
      </c>
      <c r="Z513" s="17" t="str">
        <f t="shared" si="131"/>
        <v/>
      </c>
      <c r="AA513" s="20">
        <f t="shared" si="132"/>
        <v>3.8838951445804036E-2</v>
      </c>
      <c r="AB513" s="17" t="str">
        <f t="shared" si="133"/>
        <v/>
      </c>
      <c r="AC513" s="18" t="str">
        <f t="shared" si="134"/>
        <v/>
      </c>
      <c r="AD513" s="19" t="str">
        <f t="shared" si="135"/>
        <v/>
      </c>
    </row>
    <row r="514" spans="1:30" x14ac:dyDescent="0.25">
      <c r="A514" s="8">
        <v>663</v>
      </c>
      <c r="B514" s="9">
        <v>45532</v>
      </c>
      <c r="C514" s="10">
        <v>2.125</v>
      </c>
      <c r="D514" s="11">
        <v>161695.61713597921</v>
      </c>
      <c r="E514" s="11">
        <v>5209.5237701689966</v>
      </c>
      <c r="F514" s="11">
        <v>7006.544499151697</v>
      </c>
      <c r="G514" s="11">
        <v>44181.970794560999</v>
      </c>
      <c r="H514" s="12">
        <v>4.0527457625742933E-2</v>
      </c>
      <c r="I514" s="13">
        <v>4402</v>
      </c>
      <c r="J514" s="13">
        <v>1093943</v>
      </c>
      <c r="K514" s="12">
        <v>7.0184270566131246E-2</v>
      </c>
      <c r="L514" s="14">
        <v>145.53715277777829</v>
      </c>
      <c r="M514" s="15"/>
      <c r="N514" s="16">
        <f t="shared" ref="N514:N577" si="136">D514-G514</f>
        <v>117513.64634141821</v>
      </c>
      <c r="O514" s="17">
        <f t="shared" ref="O514:O577" si="137">D514+E514+F514</f>
        <v>173911.68540529991</v>
      </c>
      <c r="P514" s="18">
        <f t="shared" ref="P514:P577" si="138">O514*L514</f>
        <v>25310611.528672047</v>
      </c>
      <c r="Q514" s="19">
        <f t="shared" ref="Q514:Q577" si="139">IF(O514&gt;0,E514/O514,"")</f>
        <v>2.9954995594621715E-2</v>
      </c>
      <c r="R514" s="20">
        <f t="shared" ref="R514:R577" si="140">IF(H514&lt;&gt;"",H514,IF(D514&gt;0,G514/D514,""))</f>
        <v>4.0527457625742933E-2</v>
      </c>
      <c r="S514" s="20">
        <f t="shared" ref="S514:S577" si="141">IF(AND(K514&lt;&gt;"",D514&gt;0),E514*K514/D514,"")</f>
        <v>2.2612030695844799E-3</v>
      </c>
      <c r="T514" s="20">
        <f t="shared" ref="T514:T577" si="142">IF(AND(K514&lt;&gt;"",D514&gt;0),F514*K514/D514,"")</f>
        <v>3.0412031171417643E-3</v>
      </c>
      <c r="U514" s="20">
        <f t="shared" ref="U514:U577" si="143">IF(K514&lt;&gt;"",K514+S514+T514,"")</f>
        <v>7.5486676752857487E-2</v>
      </c>
      <c r="V514" s="21">
        <f t="shared" ref="V514:V577" si="144">IF(AND(K514&lt;&gt;"",K514&gt;0,C514&gt;0),D514*(365.25/C514)/K514,"")</f>
        <v>395995041.47328955</v>
      </c>
      <c r="W514" s="21" t="str">
        <f t="shared" ref="W514:W577" si="145">IF(AND(M514&lt;&gt;"",L514&gt;0),M514/L514,"")</f>
        <v/>
      </c>
      <c r="X514" s="19" t="str">
        <f t="shared" ref="X514:X577" si="146">IF(AND(V514&lt;&gt;"",W514&lt;&gt;"",W514&gt;0),V514/W514,"")</f>
        <v/>
      </c>
      <c r="Y514" s="17" t="str">
        <f t="shared" ref="Y514:Y577" si="147">IF(A514&lt;620,E514*0.5,"")</f>
        <v/>
      </c>
      <c r="Z514" s="17" t="str">
        <f t="shared" ref="Z514:Z577" si="148">IF(Y514&lt;&gt;"",D514-Y514,"")</f>
        <v/>
      </c>
      <c r="AA514" s="20">
        <f t="shared" ref="AA514:AA577" si="149">IF(B514&lt;&gt;"",MAX(0.08*0.85^((B514-DATE(2020,3,16))/365.25),0.015),"")</f>
        <v>3.8804403836904894E-2</v>
      </c>
      <c r="AB514" s="17" t="str">
        <f t="shared" ref="AB514:AB577" si="150">IF(Z514&lt;&gt;"",Z514,"")</f>
        <v/>
      </c>
      <c r="AC514" s="18" t="str">
        <f t="shared" ref="AC514:AC577" si="151">IF(AB514&lt;&gt;"",AB514*L514,"")</f>
        <v/>
      </c>
      <c r="AD514" s="19" t="str">
        <f t="shared" ref="AD514:AD577" si="152">IF(AND(Y514&lt;&gt;"",D514&gt;0),Y514/D514,"")</f>
        <v/>
      </c>
    </row>
    <row r="515" spans="1:30" x14ac:dyDescent="0.25">
      <c r="A515" s="8">
        <v>664</v>
      </c>
      <c r="B515" s="9">
        <v>45535</v>
      </c>
      <c r="C515" s="10">
        <v>2.125</v>
      </c>
      <c r="D515" s="11">
        <v>161595.1327158768</v>
      </c>
      <c r="E515" s="11">
        <v>4195.6298047470018</v>
      </c>
      <c r="F515" s="11">
        <v>5294.1096995363396</v>
      </c>
      <c r="G515" s="11">
        <v>44003.556685233001</v>
      </c>
      <c r="H515" s="12">
        <v>4.045969862518646E-2</v>
      </c>
      <c r="I515" s="13">
        <v>4398</v>
      </c>
      <c r="J515" s="13">
        <v>1092670</v>
      </c>
      <c r="K515" s="12">
        <v>7.0014338610211418E-2</v>
      </c>
      <c r="L515" s="14">
        <v>136.94041666666641</v>
      </c>
      <c r="M515" s="15"/>
      <c r="N515" s="16">
        <f t="shared" si="136"/>
        <v>117591.5760306438</v>
      </c>
      <c r="O515" s="17">
        <f t="shared" si="137"/>
        <v>171084.87222016015</v>
      </c>
      <c r="P515" s="18">
        <f t="shared" si="138"/>
        <v>23428433.687192112</v>
      </c>
      <c r="Q515" s="19">
        <f t="shared" si="139"/>
        <v>2.4523675005864141E-2</v>
      </c>
      <c r="R515" s="20">
        <f t="shared" si="140"/>
        <v>4.045969862518646E-2</v>
      </c>
      <c r="S515" s="20">
        <f t="shared" si="141"/>
        <v>1.8178409268622131E-3</v>
      </c>
      <c r="T515" s="20">
        <f t="shared" si="142"/>
        <v>2.2937794159596249E-3</v>
      </c>
      <c r="U515" s="20">
        <f t="shared" si="143"/>
        <v>7.4125958953033255E-2</v>
      </c>
      <c r="V515" s="21">
        <f t="shared" si="144"/>
        <v>396709476.74988991</v>
      </c>
      <c r="W515" s="21" t="str">
        <f t="shared" si="145"/>
        <v/>
      </c>
      <c r="X515" s="19" t="str">
        <f t="shared" si="146"/>
        <v/>
      </c>
      <c r="Y515" s="17" t="str">
        <f t="shared" si="147"/>
        <v/>
      </c>
      <c r="Z515" s="17" t="str">
        <f t="shared" si="148"/>
        <v/>
      </c>
      <c r="AA515" s="20">
        <f t="shared" si="149"/>
        <v>3.8752640034550083E-2</v>
      </c>
      <c r="AB515" s="17" t="str">
        <f t="shared" si="150"/>
        <v/>
      </c>
      <c r="AC515" s="18" t="str">
        <f t="shared" si="151"/>
        <v/>
      </c>
      <c r="AD515" s="19" t="str">
        <f t="shared" si="152"/>
        <v/>
      </c>
    </row>
    <row r="516" spans="1:30" x14ac:dyDescent="0.25">
      <c r="A516" s="8">
        <v>665</v>
      </c>
      <c r="B516" s="9">
        <v>45537</v>
      </c>
      <c r="C516" s="10">
        <v>2.125</v>
      </c>
      <c r="D516" s="11">
        <v>161494.9518506554</v>
      </c>
      <c r="E516" s="11">
        <v>5148.3949665590007</v>
      </c>
      <c r="F516" s="11">
        <v>7116.8836352706849</v>
      </c>
      <c r="G516" s="11">
        <v>43958.950616583999</v>
      </c>
      <c r="H516" s="12">
        <v>4.0889753185801098E-2</v>
      </c>
      <c r="I516" s="13">
        <v>4386</v>
      </c>
      <c r="J516" s="13">
        <v>1091676</v>
      </c>
      <c r="K516" s="12">
        <v>6.9921191084721168E-2</v>
      </c>
      <c r="L516" s="14">
        <v>131.43513888888879</v>
      </c>
      <c r="M516" s="15"/>
      <c r="N516" s="16">
        <f t="shared" si="136"/>
        <v>117536.0012340714</v>
      </c>
      <c r="O516" s="17">
        <f t="shared" si="137"/>
        <v>173760.23045248506</v>
      </c>
      <c r="P516" s="18">
        <f t="shared" si="138"/>
        <v>22838200.022887696</v>
      </c>
      <c r="Q516" s="19">
        <f t="shared" si="139"/>
        <v>2.9629305584783022E-2</v>
      </c>
      <c r="R516" s="20">
        <f t="shared" si="140"/>
        <v>4.0889753185801098E-2</v>
      </c>
      <c r="S516" s="20">
        <f t="shared" si="141"/>
        <v>2.2290598195867238E-3</v>
      </c>
      <c r="T516" s="20">
        <f t="shared" si="142"/>
        <v>3.0813407780675905E-3</v>
      </c>
      <c r="U516" s="20">
        <f t="shared" si="143"/>
        <v>7.5231591682375476E-2</v>
      </c>
      <c r="V516" s="21">
        <f t="shared" si="144"/>
        <v>396991697.1033724</v>
      </c>
      <c r="W516" s="21" t="str">
        <f t="shared" si="145"/>
        <v/>
      </c>
      <c r="X516" s="19" t="str">
        <f t="shared" si="146"/>
        <v/>
      </c>
      <c r="Y516" s="17" t="str">
        <f t="shared" si="147"/>
        <v/>
      </c>
      <c r="Z516" s="17" t="str">
        <f t="shared" si="148"/>
        <v/>
      </c>
      <c r="AA516" s="20">
        <f t="shared" si="149"/>
        <v>3.8718169200454802E-2</v>
      </c>
      <c r="AB516" s="17" t="str">
        <f t="shared" si="150"/>
        <v/>
      </c>
      <c r="AC516" s="18" t="str">
        <f t="shared" si="151"/>
        <v/>
      </c>
      <c r="AD516" s="19" t="str">
        <f t="shared" si="152"/>
        <v/>
      </c>
    </row>
    <row r="517" spans="1:30" x14ac:dyDescent="0.25">
      <c r="A517" s="8">
        <v>666</v>
      </c>
      <c r="B517" s="9">
        <v>45539</v>
      </c>
      <c r="C517" s="10">
        <v>2.166666666666667</v>
      </c>
      <c r="D517" s="11">
        <v>161394.53027976339</v>
      </c>
      <c r="E517" s="11">
        <v>4583.911377888001</v>
      </c>
      <c r="F517" s="11">
        <v>6022.066711084236</v>
      </c>
      <c r="G517" s="11">
        <v>43764.449631271003</v>
      </c>
      <c r="H517" s="12">
        <v>4.0889217196276882E-2</v>
      </c>
      <c r="I517" s="13">
        <v>4388</v>
      </c>
      <c r="J517" s="13">
        <v>1095496</v>
      </c>
      <c r="K517" s="12">
        <v>6.85371269201593E-2</v>
      </c>
      <c r="L517" s="14">
        <v>130.4102083333334</v>
      </c>
      <c r="M517" s="15"/>
      <c r="N517" s="16">
        <f t="shared" si="136"/>
        <v>117630.08064849238</v>
      </c>
      <c r="O517" s="17">
        <f t="shared" si="137"/>
        <v>172000.50836873564</v>
      </c>
      <c r="P517" s="18">
        <f t="shared" si="138"/>
        <v>22430622.129806072</v>
      </c>
      <c r="Q517" s="19">
        <f t="shared" si="139"/>
        <v>2.6650568776581673E-2</v>
      </c>
      <c r="R517" s="20">
        <f t="shared" si="140"/>
        <v>4.0889217196276882E-2</v>
      </c>
      <c r="S517" s="20">
        <f t="shared" si="141"/>
        <v>1.9465846540926081E-3</v>
      </c>
      <c r="T517" s="20">
        <f t="shared" si="142"/>
        <v>2.5573056892560487E-3</v>
      </c>
      <c r="U517" s="20">
        <f t="shared" si="143"/>
        <v>7.3041017263507965E-2</v>
      </c>
      <c r="V517" s="21">
        <f t="shared" si="144"/>
        <v>396973064.65300786</v>
      </c>
      <c r="W517" s="21" t="str">
        <f t="shared" si="145"/>
        <v/>
      </c>
      <c r="X517" s="19" t="str">
        <f t="shared" si="146"/>
        <v/>
      </c>
      <c r="Y517" s="17" t="str">
        <f t="shared" si="147"/>
        <v/>
      </c>
      <c r="Z517" s="17" t="str">
        <f t="shared" si="148"/>
        <v/>
      </c>
      <c r="AA517" s="20">
        <f t="shared" si="149"/>
        <v>3.8683729028487372E-2</v>
      </c>
      <c r="AB517" s="17" t="str">
        <f t="shared" si="150"/>
        <v/>
      </c>
      <c r="AC517" s="18" t="str">
        <f t="shared" si="151"/>
        <v/>
      </c>
      <c r="AD517" s="19" t="str">
        <f t="shared" si="152"/>
        <v/>
      </c>
    </row>
    <row r="518" spans="1:30" x14ac:dyDescent="0.25">
      <c r="A518" s="8">
        <v>667</v>
      </c>
      <c r="B518" s="9">
        <v>45541</v>
      </c>
      <c r="C518" s="10">
        <v>2.125</v>
      </c>
      <c r="D518" s="11">
        <v>161294.28772221471</v>
      </c>
      <c r="E518" s="11">
        <v>3791.064538386001</v>
      </c>
      <c r="F518" s="11">
        <v>4257.9191485735664</v>
      </c>
      <c r="G518" s="11">
        <v>43636.570355183001</v>
      </c>
      <c r="H518" s="12">
        <v>4.0775153580433522E-2</v>
      </c>
      <c r="I518" s="13">
        <v>4390</v>
      </c>
      <c r="J518" s="13">
        <v>1102207</v>
      </c>
      <c r="K518" s="12">
        <v>6.9833741155317208E-2</v>
      </c>
      <c r="L518" s="14">
        <v>128.52604166666671</v>
      </c>
      <c r="M518" s="15"/>
      <c r="N518" s="16">
        <f t="shared" si="136"/>
        <v>117657.7173670317</v>
      </c>
      <c r="O518" s="17">
        <f t="shared" si="137"/>
        <v>169343.27140917428</v>
      </c>
      <c r="P518" s="18">
        <f t="shared" si="138"/>
        <v>21765020.357105184</v>
      </c>
      <c r="Q518" s="19">
        <f t="shared" si="139"/>
        <v>2.2386862535718189E-2</v>
      </c>
      <c r="R518" s="20">
        <f t="shared" si="140"/>
        <v>4.0775153580433522E-2</v>
      </c>
      <c r="S518" s="20">
        <f t="shared" si="141"/>
        <v>1.6413738106627782E-3</v>
      </c>
      <c r="T518" s="20">
        <f t="shared" si="142"/>
        <v>1.8435025063866673E-3</v>
      </c>
      <c r="U518" s="20">
        <f t="shared" si="143"/>
        <v>7.3318617472366648E-2</v>
      </c>
      <c r="V518" s="21">
        <f t="shared" si="144"/>
        <v>396994937.27545297</v>
      </c>
      <c r="W518" s="21" t="str">
        <f t="shared" si="145"/>
        <v/>
      </c>
      <c r="X518" s="19" t="str">
        <f t="shared" si="146"/>
        <v/>
      </c>
      <c r="Y518" s="17" t="str">
        <f t="shared" si="147"/>
        <v/>
      </c>
      <c r="Z518" s="17" t="str">
        <f t="shared" si="148"/>
        <v/>
      </c>
      <c r="AA518" s="20">
        <f t="shared" si="149"/>
        <v>3.8649319491373541E-2</v>
      </c>
      <c r="AB518" s="17" t="str">
        <f t="shared" si="150"/>
        <v/>
      </c>
      <c r="AC518" s="18" t="str">
        <f t="shared" si="151"/>
        <v/>
      </c>
      <c r="AD518" s="19" t="str">
        <f t="shared" si="152"/>
        <v/>
      </c>
    </row>
    <row r="519" spans="1:30" x14ac:dyDescent="0.25">
      <c r="A519" s="8">
        <v>668</v>
      </c>
      <c r="B519" s="9">
        <v>45543</v>
      </c>
      <c r="C519" s="10">
        <v>2.083333333333333</v>
      </c>
      <c r="D519" s="11">
        <v>161194.28696468449</v>
      </c>
      <c r="E519" s="11">
        <v>4895.6888009879976</v>
      </c>
      <c r="F519" s="11">
        <v>5634.5719217120059</v>
      </c>
      <c r="G519" s="11">
        <v>43581.855805368003</v>
      </c>
      <c r="H519" s="12">
        <v>4.0775968795121853E-2</v>
      </c>
      <c r="I519" s="13">
        <v>4391</v>
      </c>
      <c r="J519" s="13">
        <v>1134975</v>
      </c>
      <c r="K519" s="12">
        <v>7.1157764047787009E-2</v>
      </c>
      <c r="L519" s="14">
        <v>128.97479166666659</v>
      </c>
      <c r="M519" s="15"/>
      <c r="N519" s="16">
        <f t="shared" si="136"/>
        <v>117612.43115931649</v>
      </c>
      <c r="O519" s="17">
        <f t="shared" si="137"/>
        <v>171724.54768738447</v>
      </c>
      <c r="P519" s="18">
        <f t="shared" si="138"/>
        <v>22148137.762032963</v>
      </c>
      <c r="Q519" s="19">
        <f t="shared" si="139"/>
        <v>2.8508963144281165E-2</v>
      </c>
      <c r="R519" s="20">
        <f t="shared" si="140"/>
        <v>4.0775968795121853E-2</v>
      </c>
      <c r="S519" s="20">
        <f t="shared" si="141"/>
        <v>2.1611576632887715E-3</v>
      </c>
      <c r="T519" s="20">
        <f t="shared" si="142"/>
        <v>2.4873309523885923E-3</v>
      </c>
      <c r="U519" s="20">
        <f t="shared" si="143"/>
        <v>7.5806252663464371E-2</v>
      </c>
      <c r="V519" s="21">
        <f t="shared" si="144"/>
        <v>397153884.31358933</v>
      </c>
      <c r="W519" s="21" t="str">
        <f t="shared" si="145"/>
        <v/>
      </c>
      <c r="X519" s="19" t="str">
        <f t="shared" si="146"/>
        <v/>
      </c>
      <c r="Y519" s="17" t="str">
        <f t="shared" si="147"/>
        <v/>
      </c>
      <c r="Z519" s="17" t="str">
        <f t="shared" si="148"/>
        <v/>
      </c>
      <c r="AA519" s="20">
        <f t="shared" si="149"/>
        <v>3.8614940561863327E-2</v>
      </c>
      <c r="AB519" s="17" t="str">
        <f t="shared" si="150"/>
        <v/>
      </c>
      <c r="AC519" s="18" t="str">
        <f t="shared" si="151"/>
        <v/>
      </c>
      <c r="AD519" s="19" t="str">
        <f t="shared" si="152"/>
        <v/>
      </c>
    </row>
    <row r="520" spans="1:30" x14ac:dyDescent="0.25">
      <c r="A520" s="8">
        <v>669</v>
      </c>
      <c r="B520" s="9">
        <v>45545</v>
      </c>
      <c r="C520" s="10">
        <v>2.166666666666667</v>
      </c>
      <c r="D520" s="11">
        <v>161094.00430993739</v>
      </c>
      <c r="E520" s="11">
        <v>4913.9585092140042</v>
      </c>
      <c r="F520" s="11">
        <v>6002.6916120382939</v>
      </c>
      <c r="G520" s="11">
        <v>43543.704018955003</v>
      </c>
      <c r="H520" s="12">
        <v>4.0680736890613627E-2</v>
      </c>
      <c r="I520" s="13">
        <v>4393</v>
      </c>
      <c r="J520" s="13">
        <v>1134162</v>
      </c>
      <c r="K520" s="12">
        <v>6.8390942595752804E-2</v>
      </c>
      <c r="L520" s="14">
        <v>134.82694444444451</v>
      </c>
      <c r="M520" s="15"/>
      <c r="N520" s="16">
        <f t="shared" si="136"/>
        <v>117550.30029098238</v>
      </c>
      <c r="O520" s="17">
        <f t="shared" si="137"/>
        <v>172010.6544311897</v>
      </c>
      <c r="P520" s="18">
        <f t="shared" si="138"/>
        <v>23191670.948846556</v>
      </c>
      <c r="Q520" s="19">
        <f t="shared" si="139"/>
        <v>2.8567756604750087E-2</v>
      </c>
      <c r="R520" s="20">
        <f t="shared" si="140"/>
        <v>4.0680736890613627E-2</v>
      </c>
      <c r="S520" s="20">
        <f t="shared" si="141"/>
        <v>2.0861748130301758E-3</v>
      </c>
      <c r="T520" s="20">
        <f t="shared" si="142"/>
        <v>2.5483861998307376E-3</v>
      </c>
      <c r="U520" s="20">
        <f t="shared" si="143"/>
        <v>7.302550360861372E-2</v>
      </c>
      <c r="V520" s="21">
        <f t="shared" si="144"/>
        <v>397080820.0908801</v>
      </c>
      <c r="W520" s="21" t="str">
        <f t="shared" si="145"/>
        <v/>
      </c>
      <c r="X520" s="19" t="str">
        <f t="shared" si="146"/>
        <v/>
      </c>
      <c r="Y520" s="17" t="str">
        <f t="shared" si="147"/>
        <v/>
      </c>
      <c r="Z520" s="17" t="str">
        <f t="shared" si="148"/>
        <v/>
      </c>
      <c r="AA520" s="20">
        <f t="shared" si="149"/>
        <v>3.8580592212730976E-2</v>
      </c>
      <c r="AB520" s="17" t="str">
        <f t="shared" si="150"/>
        <v/>
      </c>
      <c r="AC520" s="18" t="str">
        <f t="shared" si="151"/>
        <v/>
      </c>
      <c r="AD520" s="19" t="str">
        <f t="shared" si="152"/>
        <v/>
      </c>
    </row>
    <row r="521" spans="1:30" x14ac:dyDescent="0.25">
      <c r="A521" s="8">
        <v>670</v>
      </c>
      <c r="B521" s="9">
        <v>45547</v>
      </c>
      <c r="C521" s="10">
        <v>2.166666666666667</v>
      </c>
      <c r="D521" s="11">
        <v>160993.73984689961</v>
      </c>
      <c r="E521" s="11">
        <v>4750.6805582219968</v>
      </c>
      <c r="F521" s="11">
        <v>4995.0468051216094</v>
      </c>
      <c r="G521" s="11">
        <v>43383.969386716999</v>
      </c>
      <c r="H521" s="12">
        <v>4.0710359586838857E-2</v>
      </c>
      <c r="I521" s="13">
        <v>4392</v>
      </c>
      <c r="J521" s="13">
        <v>1139195</v>
      </c>
      <c r="K521" s="12">
        <v>6.8357322404795279E-2</v>
      </c>
      <c r="L521" s="14">
        <v>135.03663194444431</v>
      </c>
      <c r="M521" s="15"/>
      <c r="N521" s="16">
        <f t="shared" si="136"/>
        <v>117609.77046018261</v>
      </c>
      <c r="O521" s="17">
        <f t="shared" si="137"/>
        <v>170739.46721024322</v>
      </c>
      <c r="P521" s="18">
        <f t="shared" si="138"/>
        <v>23056082.59206013</v>
      </c>
      <c r="Q521" s="19">
        <f t="shared" si="139"/>
        <v>2.7824150068198102E-2</v>
      </c>
      <c r="R521" s="20">
        <f t="shared" si="140"/>
        <v>4.0710359586838857E-2</v>
      </c>
      <c r="S521" s="20">
        <f t="shared" si="141"/>
        <v>2.0171206835085378E-3</v>
      </c>
      <c r="T521" s="20">
        <f t="shared" si="142"/>
        <v>2.1208776515748229E-3</v>
      </c>
      <c r="U521" s="20">
        <f t="shared" si="143"/>
        <v>7.2495320739878646E-2</v>
      </c>
      <c r="V521" s="21">
        <f t="shared" si="144"/>
        <v>397028852.84654003</v>
      </c>
      <c r="W521" s="21" t="str">
        <f t="shared" si="145"/>
        <v/>
      </c>
      <c r="X521" s="19" t="str">
        <f t="shared" si="146"/>
        <v/>
      </c>
      <c r="Y521" s="17" t="str">
        <f t="shared" si="147"/>
        <v/>
      </c>
      <c r="Z521" s="17" t="str">
        <f t="shared" si="148"/>
        <v/>
      </c>
      <c r="AA521" s="20">
        <f t="shared" si="149"/>
        <v>3.854627441677496E-2</v>
      </c>
      <c r="AB521" s="17" t="str">
        <f t="shared" si="150"/>
        <v/>
      </c>
      <c r="AC521" s="18" t="str">
        <f t="shared" si="151"/>
        <v/>
      </c>
      <c r="AD521" s="19" t="str">
        <f t="shared" si="152"/>
        <v/>
      </c>
    </row>
    <row r="522" spans="1:30" x14ac:dyDescent="0.25">
      <c r="A522" s="8">
        <v>671</v>
      </c>
      <c r="B522" s="9">
        <v>45550</v>
      </c>
      <c r="C522" s="10">
        <v>2.166666666666667</v>
      </c>
      <c r="D522" s="11">
        <v>160893.54359132159</v>
      </c>
      <c r="E522" s="11">
        <v>4388.1627823360022</v>
      </c>
      <c r="F522" s="11">
        <v>4772.7806269535076</v>
      </c>
      <c r="G522" s="11">
        <v>43590.318096142997</v>
      </c>
      <c r="H522" s="12">
        <v>4.0957779091372819E-2</v>
      </c>
      <c r="I522" s="13">
        <v>4392</v>
      </c>
      <c r="J522" s="13">
        <v>1140528</v>
      </c>
      <c r="K522" s="12">
        <v>6.8191117629482295E-2</v>
      </c>
      <c r="L522" s="14">
        <v>135.6423958333335</v>
      </c>
      <c r="M522" s="15"/>
      <c r="N522" s="16">
        <f t="shared" si="136"/>
        <v>117303.2254951786</v>
      </c>
      <c r="O522" s="17">
        <f t="shared" si="137"/>
        <v>170054.48700061112</v>
      </c>
      <c r="P522" s="18">
        <f t="shared" si="138"/>
        <v>23066598.038971357</v>
      </c>
      <c r="Q522" s="19">
        <f t="shared" si="139"/>
        <v>2.5804451618616994E-2</v>
      </c>
      <c r="R522" s="20">
        <f t="shared" si="140"/>
        <v>4.0957779091372819E-2</v>
      </c>
      <c r="S522" s="20">
        <f t="shared" si="141"/>
        <v>1.8598243148131581E-3</v>
      </c>
      <c r="T522" s="20">
        <f t="shared" si="142"/>
        <v>2.0228359565439757E-3</v>
      </c>
      <c r="U522" s="20">
        <f t="shared" si="143"/>
        <v>7.2073777900839422E-2</v>
      </c>
      <c r="V522" s="21">
        <f t="shared" si="144"/>
        <v>397748848.59551322</v>
      </c>
      <c r="W522" s="21" t="str">
        <f t="shared" si="145"/>
        <v/>
      </c>
      <c r="X522" s="19" t="str">
        <f t="shared" si="146"/>
        <v/>
      </c>
      <c r="Y522" s="17" t="str">
        <f t="shared" si="147"/>
        <v/>
      </c>
      <c r="Z522" s="17" t="str">
        <f t="shared" si="148"/>
        <v/>
      </c>
      <c r="AA522" s="20">
        <f t="shared" si="149"/>
        <v>3.8494854950602758E-2</v>
      </c>
      <c r="AB522" s="17" t="str">
        <f t="shared" si="150"/>
        <v/>
      </c>
      <c r="AC522" s="18" t="str">
        <f t="shared" si="151"/>
        <v/>
      </c>
      <c r="AD522" s="19" t="str">
        <f t="shared" si="152"/>
        <v/>
      </c>
    </row>
    <row r="523" spans="1:30" x14ac:dyDescent="0.25">
      <c r="A523" s="8">
        <v>672</v>
      </c>
      <c r="B523" s="9">
        <v>45552</v>
      </c>
      <c r="C523" s="10">
        <v>2.125</v>
      </c>
      <c r="D523" s="11">
        <v>160793.4704427183</v>
      </c>
      <c r="E523" s="11">
        <v>5149.3465930999992</v>
      </c>
      <c r="F523" s="11">
        <v>6213.3772807163396</v>
      </c>
      <c r="G523" s="11">
        <v>43365.972186405001</v>
      </c>
      <c r="H523" s="12">
        <v>4.080707160457972E-2</v>
      </c>
      <c r="I523" s="13">
        <v>4468</v>
      </c>
      <c r="J523" s="13">
        <v>1143665</v>
      </c>
      <c r="K523" s="12">
        <v>6.9455153176105233E-2</v>
      </c>
      <c r="L523" s="14">
        <v>132.30416666666679</v>
      </c>
      <c r="M523" s="15"/>
      <c r="N523" s="16">
        <f t="shared" si="136"/>
        <v>117427.49825631329</v>
      </c>
      <c r="O523" s="17">
        <f t="shared" si="137"/>
        <v>172156.19431653465</v>
      </c>
      <c r="P523" s="18">
        <f t="shared" si="138"/>
        <v>22776981.825553872</v>
      </c>
      <c r="Q523" s="19">
        <f t="shared" si="139"/>
        <v>2.9910899305964928E-2</v>
      </c>
      <c r="R523" s="20">
        <f t="shared" si="140"/>
        <v>4.080707160457972E-2</v>
      </c>
      <c r="S523" s="20">
        <f t="shared" si="141"/>
        <v>2.2242735068525449E-3</v>
      </c>
      <c r="T523" s="20">
        <f t="shared" si="142"/>
        <v>2.6838842994362944E-3</v>
      </c>
      <c r="U523" s="20">
        <f t="shared" si="143"/>
        <v>7.4363310982394071E-2</v>
      </c>
      <c r="V523" s="21">
        <f t="shared" si="144"/>
        <v>397919503.06691033</v>
      </c>
      <c r="W523" s="21" t="str">
        <f t="shared" si="145"/>
        <v/>
      </c>
      <c r="X523" s="19" t="str">
        <f t="shared" si="146"/>
        <v/>
      </c>
      <c r="Y523" s="17" t="str">
        <f t="shared" si="147"/>
        <v/>
      </c>
      <c r="Z523" s="17" t="str">
        <f t="shared" si="148"/>
        <v/>
      </c>
      <c r="AA523" s="20">
        <f t="shared" si="149"/>
        <v>3.846061341873961E-2</v>
      </c>
      <c r="AB523" s="17" t="str">
        <f t="shared" si="150"/>
        <v/>
      </c>
      <c r="AC523" s="18" t="str">
        <f t="shared" si="151"/>
        <v/>
      </c>
      <c r="AD523" s="19" t="str">
        <f t="shared" si="152"/>
        <v/>
      </c>
    </row>
    <row r="524" spans="1:30" x14ac:dyDescent="0.25">
      <c r="A524" s="8">
        <v>673</v>
      </c>
      <c r="B524" s="9">
        <v>45554</v>
      </c>
      <c r="C524" s="10">
        <v>2.166666666666667</v>
      </c>
      <c r="D524" s="11">
        <v>160693.21127840239</v>
      </c>
      <c r="E524" s="11">
        <v>4937.2518918890009</v>
      </c>
      <c r="F524" s="11">
        <v>5925.6359356688199</v>
      </c>
      <c r="G524" s="11">
        <v>43347.258579522997</v>
      </c>
      <c r="H524" s="12">
        <v>4.0773991646154382E-2</v>
      </c>
      <c r="I524" s="13">
        <v>4476</v>
      </c>
      <c r="J524" s="13">
        <v>1149406</v>
      </c>
      <c r="K524" s="12">
        <v>6.803869049421607E-2</v>
      </c>
      <c r="L524" s="14">
        <v>140.11562499999991</v>
      </c>
      <c r="M524" s="15"/>
      <c r="N524" s="16">
        <f t="shared" si="136"/>
        <v>117345.9526988794</v>
      </c>
      <c r="O524" s="17">
        <f t="shared" si="137"/>
        <v>171556.09910596022</v>
      </c>
      <c r="P524" s="18">
        <f t="shared" si="138"/>
        <v>24037690.048793543</v>
      </c>
      <c r="Q524" s="19">
        <f t="shared" si="139"/>
        <v>2.8779226839609751E-2</v>
      </c>
      <c r="R524" s="20">
        <f t="shared" si="140"/>
        <v>4.0773991646154382E-2</v>
      </c>
      <c r="S524" s="20">
        <f t="shared" si="141"/>
        <v>2.090468854855523E-3</v>
      </c>
      <c r="T524" s="20">
        <f t="shared" si="142"/>
        <v>2.5089579466420356E-3</v>
      </c>
      <c r="U524" s="20">
        <f t="shared" si="143"/>
        <v>7.2638117295713622E-2</v>
      </c>
      <c r="V524" s="21">
        <f t="shared" si="144"/>
        <v>398143569.78204662</v>
      </c>
      <c r="W524" s="21" t="str">
        <f t="shared" si="145"/>
        <v/>
      </c>
      <c r="X524" s="19" t="str">
        <f t="shared" si="146"/>
        <v/>
      </c>
      <c r="Y524" s="17" t="str">
        <f t="shared" si="147"/>
        <v/>
      </c>
      <c r="Z524" s="17" t="str">
        <f t="shared" si="148"/>
        <v/>
      </c>
      <c r="AA524" s="20">
        <f t="shared" si="149"/>
        <v>3.8426402345037844E-2</v>
      </c>
      <c r="AB524" s="17" t="str">
        <f t="shared" si="150"/>
        <v/>
      </c>
      <c r="AC524" s="18" t="str">
        <f t="shared" si="151"/>
        <v/>
      </c>
      <c r="AD524" s="19" t="str">
        <f t="shared" si="152"/>
        <v/>
      </c>
    </row>
    <row r="525" spans="1:30" x14ac:dyDescent="0.25">
      <c r="A525" s="8">
        <v>674</v>
      </c>
      <c r="B525" s="9">
        <v>45556</v>
      </c>
      <c r="C525" s="10">
        <v>2.166666666666667</v>
      </c>
      <c r="D525" s="11">
        <v>160593.03398190811</v>
      </c>
      <c r="E525" s="11">
        <v>5162.6580364370029</v>
      </c>
      <c r="F525" s="11">
        <v>6678.702691071785</v>
      </c>
      <c r="G525" s="11">
        <v>43286.113932061999</v>
      </c>
      <c r="H525" s="12">
        <v>4.0810115632430539E-2</v>
      </c>
      <c r="I525" s="13">
        <v>4475</v>
      </c>
      <c r="J525" s="13">
        <v>1153116</v>
      </c>
      <c r="K525" s="12">
        <v>6.7932957244912634E-2</v>
      </c>
      <c r="L525" s="14">
        <v>147.2997569444444</v>
      </c>
      <c r="M525" s="15"/>
      <c r="N525" s="16">
        <f t="shared" si="136"/>
        <v>117306.92004984611</v>
      </c>
      <c r="O525" s="17">
        <f t="shared" si="137"/>
        <v>172434.3947094169</v>
      </c>
      <c r="P525" s="18">
        <f t="shared" si="138"/>
        <v>25399544.429559499</v>
      </c>
      <c r="Q525" s="19">
        <f t="shared" si="139"/>
        <v>2.9939839120478338E-2</v>
      </c>
      <c r="R525" s="20">
        <f t="shared" si="140"/>
        <v>4.0810115632430539E-2</v>
      </c>
      <c r="S525" s="20">
        <f t="shared" si="141"/>
        <v>2.1838719835063948E-3</v>
      </c>
      <c r="T525" s="20">
        <f t="shared" si="142"/>
        <v>2.8251787335630968E-3</v>
      </c>
      <c r="U525" s="20">
        <f t="shared" si="143"/>
        <v>7.2942007961982122E-2</v>
      </c>
      <c r="V525" s="21">
        <f t="shared" si="144"/>
        <v>398514662.60561186</v>
      </c>
      <c r="W525" s="21" t="str">
        <f t="shared" si="145"/>
        <v/>
      </c>
      <c r="X525" s="19" t="str">
        <f t="shared" si="146"/>
        <v/>
      </c>
      <c r="Y525" s="17" t="str">
        <f t="shared" si="147"/>
        <v/>
      </c>
      <c r="Z525" s="17" t="str">
        <f t="shared" si="148"/>
        <v/>
      </c>
      <c r="AA525" s="20">
        <f t="shared" si="149"/>
        <v>3.8392221702404639E-2</v>
      </c>
      <c r="AB525" s="17" t="str">
        <f t="shared" si="150"/>
        <v/>
      </c>
      <c r="AC525" s="18" t="str">
        <f t="shared" si="151"/>
        <v/>
      </c>
      <c r="AD525" s="19" t="str">
        <f t="shared" si="152"/>
        <v/>
      </c>
    </row>
    <row r="526" spans="1:30" x14ac:dyDescent="0.25">
      <c r="A526" s="8">
        <v>675</v>
      </c>
      <c r="B526" s="9">
        <v>45558</v>
      </c>
      <c r="C526" s="10">
        <v>2.166666666666667</v>
      </c>
      <c r="D526" s="11">
        <v>160492.81842299731</v>
      </c>
      <c r="E526" s="11">
        <v>6784.4555879300005</v>
      </c>
      <c r="F526" s="11">
        <v>10367.579248260299</v>
      </c>
      <c r="G526" s="11">
        <v>43185.506038243999</v>
      </c>
      <c r="H526" s="12">
        <v>4.0841350420776849E-2</v>
      </c>
      <c r="I526" s="13">
        <v>5382</v>
      </c>
      <c r="J526" s="13">
        <v>1160339</v>
      </c>
      <c r="K526" s="12">
        <v>6.7894447207683936E-2</v>
      </c>
      <c r="L526" s="14">
        <v>144.74434027777761</v>
      </c>
      <c r="M526" s="15"/>
      <c r="N526" s="16">
        <f t="shared" si="136"/>
        <v>117307.31238475331</v>
      </c>
      <c r="O526" s="17">
        <f t="shared" si="137"/>
        <v>177644.8532591876</v>
      </c>
      <c r="P526" s="18">
        <f t="shared" si="138"/>
        <v>25713087.08874372</v>
      </c>
      <c r="Q526" s="19">
        <f t="shared" si="139"/>
        <v>3.8191118197110595E-2</v>
      </c>
      <c r="R526" s="20">
        <f t="shared" si="140"/>
        <v>4.0841350420776849E-2</v>
      </c>
      <c r="S526" s="20">
        <f t="shared" si="141"/>
        <v>2.8700777160854296E-3</v>
      </c>
      <c r="T526" s="20">
        <f t="shared" si="142"/>
        <v>4.3858726443900811E-3</v>
      </c>
      <c r="U526" s="20">
        <f t="shared" si="143"/>
        <v>7.5150397568159444E-2</v>
      </c>
      <c r="V526" s="21">
        <f t="shared" si="144"/>
        <v>398491874.05461657</v>
      </c>
      <c r="W526" s="21" t="str">
        <f t="shared" si="145"/>
        <v/>
      </c>
      <c r="X526" s="19" t="str">
        <f t="shared" si="146"/>
        <v/>
      </c>
      <c r="Y526" s="17" t="str">
        <f t="shared" si="147"/>
        <v/>
      </c>
      <c r="Z526" s="17" t="str">
        <f t="shared" si="148"/>
        <v/>
      </c>
      <c r="AA526" s="20">
        <f t="shared" si="149"/>
        <v>3.8358071463771272E-2</v>
      </c>
      <c r="AB526" s="17" t="str">
        <f t="shared" si="150"/>
        <v/>
      </c>
      <c r="AC526" s="18" t="str">
        <f t="shared" si="151"/>
        <v/>
      </c>
      <c r="AD526" s="19" t="str">
        <f t="shared" si="152"/>
        <v/>
      </c>
    </row>
    <row r="527" spans="1:30" x14ac:dyDescent="0.25">
      <c r="A527" s="8">
        <v>676</v>
      </c>
      <c r="B527" s="9">
        <v>45561</v>
      </c>
      <c r="C527" s="10">
        <v>2.166666666666667</v>
      </c>
      <c r="D527" s="11">
        <v>160392.18215212561</v>
      </c>
      <c r="E527" s="11">
        <v>11679.171492215</v>
      </c>
      <c r="F527" s="11">
        <v>23091.696801697199</v>
      </c>
      <c r="G527" s="11">
        <v>43173.132713102001</v>
      </c>
      <c r="H527" s="12">
        <v>4.0994626515351552E-2</v>
      </c>
      <c r="I527" s="13">
        <v>5385</v>
      </c>
      <c r="J527" s="13">
        <v>1168374</v>
      </c>
      <c r="K527" s="12">
        <v>6.7730980844272065E-2</v>
      </c>
      <c r="L527" s="14">
        <v>152.60930555555569</v>
      </c>
      <c r="M527" s="15"/>
      <c r="N527" s="16">
        <f t="shared" si="136"/>
        <v>117219.0494390236</v>
      </c>
      <c r="O527" s="17">
        <f t="shared" si="137"/>
        <v>195163.05044603781</v>
      </c>
      <c r="P527" s="18">
        <f t="shared" si="138"/>
        <v>29783697.598673716</v>
      </c>
      <c r="Q527" s="19">
        <f t="shared" si="139"/>
        <v>5.9843148923542103E-2</v>
      </c>
      <c r="R527" s="20">
        <f t="shared" si="140"/>
        <v>4.0994626515351552E-2</v>
      </c>
      <c r="S527" s="20">
        <f t="shared" si="141"/>
        <v>4.9319220550656942E-3</v>
      </c>
      <c r="T527" s="20">
        <f t="shared" si="142"/>
        <v>9.7512438122082396E-3</v>
      </c>
      <c r="U527" s="20">
        <f t="shared" si="143"/>
        <v>8.2414146711545996E-2</v>
      </c>
      <c r="V527" s="21">
        <f t="shared" si="144"/>
        <v>399203144.79079807</v>
      </c>
      <c r="W527" s="21" t="str">
        <f t="shared" si="145"/>
        <v/>
      </c>
      <c r="X527" s="19" t="str">
        <f t="shared" si="146"/>
        <v/>
      </c>
      <c r="Y527" s="17" t="str">
        <f t="shared" si="147"/>
        <v/>
      </c>
      <c r="Z527" s="17" t="str">
        <f t="shared" si="148"/>
        <v/>
      </c>
      <c r="AA527" s="20">
        <f t="shared" si="149"/>
        <v>3.8306903054167361E-2</v>
      </c>
      <c r="AB527" s="17" t="str">
        <f t="shared" si="150"/>
        <v/>
      </c>
      <c r="AC527" s="18" t="str">
        <f t="shared" si="151"/>
        <v/>
      </c>
      <c r="AD527" s="19" t="str">
        <f t="shared" si="152"/>
        <v/>
      </c>
    </row>
    <row r="528" spans="1:30" x14ac:dyDescent="0.25">
      <c r="A528" s="8">
        <v>677</v>
      </c>
      <c r="B528" s="9">
        <v>45563</v>
      </c>
      <c r="C528" s="10">
        <v>2.25</v>
      </c>
      <c r="D528" s="11">
        <v>160290.23004167451</v>
      </c>
      <c r="E528" s="11">
        <v>10916.04514678799</v>
      </c>
      <c r="F528" s="11">
        <v>23812.394026906339</v>
      </c>
      <c r="G528" s="11">
        <v>43070.481052689</v>
      </c>
      <c r="H528" s="12">
        <v>4.1041234245236181E-2</v>
      </c>
      <c r="I528" s="13">
        <v>5392</v>
      </c>
      <c r="J528" s="13">
        <v>1179380</v>
      </c>
      <c r="K528" s="12">
        <v>6.511906459350196E-2</v>
      </c>
      <c r="L528" s="14">
        <v>157.31600694444481</v>
      </c>
      <c r="M528" s="15"/>
      <c r="N528" s="16">
        <f t="shared" si="136"/>
        <v>117219.74898898552</v>
      </c>
      <c r="O528" s="17">
        <f t="shared" si="137"/>
        <v>195018.66921536886</v>
      </c>
      <c r="P528" s="18">
        <f t="shared" si="138"/>
        <v>30679558.320581354</v>
      </c>
      <c r="Q528" s="19">
        <f t="shared" si="139"/>
        <v>5.5974359740568511E-2</v>
      </c>
      <c r="R528" s="20">
        <f t="shared" si="140"/>
        <v>4.1041234245236181E-2</v>
      </c>
      <c r="S528" s="20">
        <f t="shared" si="141"/>
        <v>4.4347222462308268E-3</v>
      </c>
      <c r="T528" s="20">
        <f t="shared" si="142"/>
        <v>9.6739571985196889E-3</v>
      </c>
      <c r="U528" s="20">
        <f t="shared" si="143"/>
        <v>7.9227744038252473E-2</v>
      </c>
      <c r="V528" s="21">
        <f t="shared" si="144"/>
        <v>399582633.83943534</v>
      </c>
      <c r="W528" s="21" t="str">
        <f t="shared" si="145"/>
        <v/>
      </c>
      <c r="X528" s="19" t="str">
        <f t="shared" si="146"/>
        <v/>
      </c>
      <c r="Y528" s="17" t="str">
        <f t="shared" si="147"/>
        <v/>
      </c>
      <c r="Z528" s="17" t="str">
        <f t="shared" si="148"/>
        <v/>
      </c>
      <c r="AA528" s="20">
        <f t="shared" si="149"/>
        <v>3.8272828707265914E-2</v>
      </c>
      <c r="AB528" s="17" t="str">
        <f t="shared" si="150"/>
        <v/>
      </c>
      <c r="AC528" s="18" t="str">
        <f t="shared" si="151"/>
        <v/>
      </c>
      <c r="AD528" s="19" t="str">
        <f t="shared" si="152"/>
        <v/>
      </c>
    </row>
    <row r="529" spans="1:30" x14ac:dyDescent="0.25">
      <c r="A529" s="8">
        <v>678</v>
      </c>
      <c r="B529" s="9">
        <v>45565</v>
      </c>
      <c r="C529" s="10">
        <v>2.208333333333333</v>
      </c>
      <c r="D529" s="11">
        <v>160188.51333539921</v>
      </c>
      <c r="E529" s="11">
        <v>11554.332036010999</v>
      </c>
      <c r="F529" s="11">
        <v>23425.78534333079</v>
      </c>
      <c r="G529" s="11">
        <v>43141.435103759002</v>
      </c>
      <c r="H529" s="12">
        <v>4.0693250069906158E-2</v>
      </c>
      <c r="I529" s="13">
        <v>5402</v>
      </c>
      <c r="J529" s="13">
        <v>1186425</v>
      </c>
      <c r="K529" s="12">
        <v>6.6329418558263173E-2</v>
      </c>
      <c r="L529" s="14">
        <v>156.12128472222221</v>
      </c>
      <c r="M529" s="15"/>
      <c r="N529" s="16">
        <f t="shared" si="136"/>
        <v>117047.07823164022</v>
      </c>
      <c r="O529" s="17">
        <f t="shared" si="137"/>
        <v>195168.63071474101</v>
      </c>
      <c r="P529" s="18">
        <f t="shared" si="138"/>
        <v>30469977.364662323</v>
      </c>
      <c r="Q529" s="19">
        <f t="shared" si="139"/>
        <v>5.9201788697789456E-2</v>
      </c>
      <c r="R529" s="20">
        <f t="shared" si="140"/>
        <v>4.0693250069906158E-2</v>
      </c>
      <c r="S529" s="20">
        <f t="shared" si="141"/>
        <v>4.7843138675809265E-3</v>
      </c>
      <c r="T529" s="20">
        <f t="shared" si="142"/>
        <v>9.6999384583866064E-3</v>
      </c>
      <c r="U529" s="20">
        <f t="shared" si="143"/>
        <v>8.0813670884230707E-2</v>
      </c>
      <c r="V529" s="21">
        <f t="shared" si="144"/>
        <v>399439286.46753401</v>
      </c>
      <c r="W529" s="21" t="str">
        <f t="shared" si="145"/>
        <v/>
      </c>
      <c r="X529" s="19" t="str">
        <f t="shared" si="146"/>
        <v/>
      </c>
      <c r="Y529" s="17" t="str">
        <f t="shared" si="147"/>
        <v/>
      </c>
      <c r="Z529" s="17" t="str">
        <f t="shared" si="148"/>
        <v/>
      </c>
      <c r="AA529" s="20">
        <f t="shared" si="149"/>
        <v>3.8238784669813272E-2</v>
      </c>
      <c r="AB529" s="17" t="str">
        <f t="shared" si="150"/>
        <v/>
      </c>
      <c r="AC529" s="18" t="str">
        <f t="shared" si="151"/>
        <v/>
      </c>
      <c r="AD529" s="19" t="str">
        <f t="shared" si="152"/>
        <v/>
      </c>
    </row>
    <row r="530" spans="1:30" x14ac:dyDescent="0.25">
      <c r="A530" s="8">
        <v>679</v>
      </c>
      <c r="B530" s="9">
        <v>45567</v>
      </c>
      <c r="C530" s="10">
        <v>2.25</v>
      </c>
      <c r="D530" s="11">
        <v>160086.6484297188</v>
      </c>
      <c r="E530" s="11">
        <v>10890.690020501999</v>
      </c>
      <c r="F530" s="11">
        <v>20838.888890650262</v>
      </c>
      <c r="G530" s="11">
        <v>43007.918983105003</v>
      </c>
      <c r="H530" s="12">
        <v>4.0770850194936772E-2</v>
      </c>
      <c r="I530" s="13">
        <v>5406</v>
      </c>
      <c r="J530" s="13">
        <v>1190231</v>
      </c>
      <c r="K530" s="12">
        <v>6.5124632648293448E-2</v>
      </c>
      <c r="L530" s="14">
        <v>145.24125000000009</v>
      </c>
      <c r="M530" s="15"/>
      <c r="N530" s="16">
        <f t="shared" si="136"/>
        <v>117078.7294466138</v>
      </c>
      <c r="O530" s="17">
        <f t="shared" si="137"/>
        <v>191816.22734087106</v>
      </c>
      <c r="P530" s="18">
        <f t="shared" si="138"/>
        <v>27859628.629272308</v>
      </c>
      <c r="Q530" s="19">
        <f t="shared" si="139"/>
        <v>5.6776687621681088E-2</v>
      </c>
      <c r="R530" s="20">
        <f t="shared" si="140"/>
        <v>4.0770850194936772E-2</v>
      </c>
      <c r="S530" s="20">
        <f t="shared" si="141"/>
        <v>4.430426858383533E-3</v>
      </c>
      <c r="T530" s="20">
        <f t="shared" si="142"/>
        <v>8.4774401682724126E-3</v>
      </c>
      <c r="U530" s="20">
        <f t="shared" si="143"/>
        <v>7.8032499674949393E-2</v>
      </c>
      <c r="V530" s="21">
        <f t="shared" si="144"/>
        <v>399041011.13480401</v>
      </c>
      <c r="W530" s="21" t="str">
        <f t="shared" si="145"/>
        <v/>
      </c>
      <c r="X530" s="19" t="str">
        <f t="shared" si="146"/>
        <v/>
      </c>
      <c r="Y530" s="17" t="str">
        <f t="shared" si="147"/>
        <v/>
      </c>
      <c r="Z530" s="17" t="str">
        <f t="shared" si="148"/>
        <v/>
      </c>
      <c r="AA530" s="20">
        <f t="shared" si="149"/>
        <v>3.8204770914848883E-2</v>
      </c>
      <c r="AB530" s="17" t="str">
        <f t="shared" si="150"/>
        <v/>
      </c>
      <c r="AC530" s="18" t="str">
        <f t="shared" si="151"/>
        <v/>
      </c>
      <c r="AD530" s="19" t="str">
        <f t="shared" si="152"/>
        <v/>
      </c>
    </row>
    <row r="531" spans="1:30" x14ac:dyDescent="0.25">
      <c r="A531" s="8">
        <v>680</v>
      </c>
      <c r="B531" s="9">
        <v>45570</v>
      </c>
      <c r="C531" s="10">
        <v>2.25</v>
      </c>
      <c r="D531" s="11">
        <v>159984.9914696143</v>
      </c>
      <c r="E531" s="11">
        <v>9891.8977993579956</v>
      </c>
      <c r="F531" s="11">
        <v>20048.110610369931</v>
      </c>
      <c r="G531" s="11">
        <v>43001.176648768</v>
      </c>
      <c r="H531" s="12">
        <v>4.1438867724071717E-2</v>
      </c>
      <c r="I531" s="13">
        <v>5407</v>
      </c>
      <c r="J531" s="13">
        <v>1192840</v>
      </c>
      <c r="K531" s="12">
        <v>6.4633526488066098E-2</v>
      </c>
      <c r="L531" s="14">
        <v>143.21177083333299</v>
      </c>
      <c r="M531" s="15"/>
      <c r="N531" s="16">
        <f t="shared" si="136"/>
        <v>116983.8148208463</v>
      </c>
      <c r="O531" s="17">
        <f t="shared" si="137"/>
        <v>189924.99987934224</v>
      </c>
      <c r="P531" s="18">
        <f t="shared" si="138"/>
        <v>27199495.558241159</v>
      </c>
      <c r="Q531" s="19">
        <f t="shared" si="139"/>
        <v>5.2083179179372045E-2</v>
      </c>
      <c r="R531" s="20">
        <f t="shared" si="140"/>
        <v>4.1438867724071717E-2</v>
      </c>
      <c r="S531" s="20">
        <f t="shared" si="141"/>
        <v>3.9963013565149216E-3</v>
      </c>
      <c r="T531" s="20">
        <f t="shared" si="142"/>
        <v>8.0993853002588028E-3</v>
      </c>
      <c r="U531" s="20">
        <f t="shared" si="143"/>
        <v>7.6729213144839825E-2</v>
      </c>
      <c r="V531" s="21">
        <f t="shared" si="144"/>
        <v>401817730.82368708</v>
      </c>
      <c r="W531" s="21" t="str">
        <f t="shared" si="145"/>
        <v/>
      </c>
      <c r="X531" s="19" t="str">
        <f t="shared" si="146"/>
        <v/>
      </c>
      <c r="Y531" s="17" t="str">
        <f t="shared" si="147"/>
        <v/>
      </c>
      <c r="Z531" s="17" t="str">
        <f t="shared" si="148"/>
        <v/>
      </c>
      <c r="AA531" s="20">
        <f t="shared" si="149"/>
        <v>3.815380700315063E-2</v>
      </c>
      <c r="AB531" s="17" t="str">
        <f t="shared" si="150"/>
        <v/>
      </c>
      <c r="AC531" s="18" t="str">
        <f t="shared" si="151"/>
        <v/>
      </c>
      <c r="AD531" s="19" t="str">
        <f t="shared" si="152"/>
        <v/>
      </c>
    </row>
    <row r="532" spans="1:30" x14ac:dyDescent="0.25">
      <c r="A532" s="8">
        <v>681</v>
      </c>
      <c r="B532" s="9">
        <v>45572</v>
      </c>
      <c r="C532" s="10">
        <v>2.166666666666667</v>
      </c>
      <c r="D532" s="11">
        <v>159883.63344985209</v>
      </c>
      <c r="E532" s="11">
        <v>10296.112236207009</v>
      </c>
      <c r="F532" s="11">
        <v>20947.069313071181</v>
      </c>
      <c r="G532" s="11">
        <v>43178.830581428003</v>
      </c>
      <c r="H532" s="12">
        <v>4.1661107606200322E-2</v>
      </c>
      <c r="I532" s="13">
        <v>5409</v>
      </c>
      <c r="J532" s="13">
        <v>1191177</v>
      </c>
      <c r="K532" s="12">
        <v>6.7010868117057407E-2</v>
      </c>
      <c r="L532" s="14">
        <v>148.08781250000001</v>
      </c>
      <c r="M532" s="15"/>
      <c r="N532" s="16">
        <f t="shared" si="136"/>
        <v>116704.80286842409</v>
      </c>
      <c r="O532" s="17">
        <f t="shared" si="137"/>
        <v>191126.81499913026</v>
      </c>
      <c r="P532" s="18">
        <f t="shared" si="138"/>
        <v>28303551.943313394</v>
      </c>
      <c r="Q532" s="19">
        <f t="shared" si="139"/>
        <v>5.3870579260444758E-2</v>
      </c>
      <c r="R532" s="20">
        <f t="shared" si="140"/>
        <v>4.1661107606200322E-2</v>
      </c>
      <c r="S532" s="20">
        <f t="shared" si="141"/>
        <v>4.3153348738180506E-3</v>
      </c>
      <c r="T532" s="20">
        <f t="shared" si="142"/>
        <v>8.7793932930436032E-3</v>
      </c>
      <c r="U532" s="20">
        <f t="shared" si="143"/>
        <v>8.0105596283919056E-2</v>
      </c>
      <c r="V532" s="21">
        <f t="shared" si="144"/>
        <v>402213726.43990499</v>
      </c>
      <c r="W532" s="21" t="str">
        <f t="shared" si="145"/>
        <v/>
      </c>
      <c r="X532" s="19" t="str">
        <f t="shared" si="146"/>
        <v/>
      </c>
      <c r="Y532" s="17" t="str">
        <f t="shared" si="147"/>
        <v/>
      </c>
      <c r="Z532" s="17" t="str">
        <f t="shared" si="148"/>
        <v/>
      </c>
      <c r="AA532" s="20">
        <f t="shared" si="149"/>
        <v>3.8119868836611878E-2</v>
      </c>
      <c r="AB532" s="17" t="str">
        <f t="shared" si="150"/>
        <v/>
      </c>
      <c r="AC532" s="18" t="str">
        <f t="shared" si="151"/>
        <v/>
      </c>
      <c r="AD532" s="19" t="str">
        <f t="shared" si="152"/>
        <v/>
      </c>
    </row>
    <row r="533" spans="1:30" x14ac:dyDescent="0.25">
      <c r="A533" s="8">
        <v>682</v>
      </c>
      <c r="B533" s="9">
        <v>45574</v>
      </c>
      <c r="C533" s="10">
        <v>2.208333333333333</v>
      </c>
      <c r="D533" s="11">
        <v>159782.1913711598</v>
      </c>
      <c r="E533" s="11">
        <v>10712.510565907</v>
      </c>
      <c r="F533" s="11">
        <v>21716.631593380971</v>
      </c>
      <c r="G533" s="11">
        <v>43025.895573699003</v>
      </c>
      <c r="H533" s="12">
        <v>4.1534025254839742E-2</v>
      </c>
      <c r="I533" s="13">
        <v>5408</v>
      </c>
      <c r="J533" s="13">
        <v>1201003</v>
      </c>
      <c r="K533" s="12">
        <v>6.5725535697895424E-2</v>
      </c>
      <c r="L533" s="14">
        <v>142.27611111111119</v>
      </c>
      <c r="M533" s="15"/>
      <c r="N533" s="16">
        <f t="shared" si="136"/>
        <v>116756.2957974608</v>
      </c>
      <c r="O533" s="17">
        <f t="shared" si="137"/>
        <v>192211.33353044777</v>
      </c>
      <c r="P533" s="18">
        <f t="shared" si="138"/>
        <v>27347081.04619284</v>
      </c>
      <c r="Q533" s="19">
        <f t="shared" si="139"/>
        <v>5.5732980824515506E-2</v>
      </c>
      <c r="R533" s="20">
        <f t="shared" si="140"/>
        <v>4.1534025254839742E-2</v>
      </c>
      <c r="S533" s="20">
        <f t="shared" si="141"/>
        <v>4.4065329782470852E-3</v>
      </c>
      <c r="T533" s="20">
        <f t="shared" si="142"/>
        <v>8.9330183343976511E-3</v>
      </c>
      <c r="U533" s="20">
        <f t="shared" si="143"/>
        <v>7.9065087010540158E-2</v>
      </c>
      <c r="V533" s="21">
        <f t="shared" si="144"/>
        <v>402086817.86325103</v>
      </c>
      <c r="W533" s="21" t="str">
        <f t="shared" si="145"/>
        <v/>
      </c>
      <c r="X533" s="19" t="str">
        <f t="shared" si="146"/>
        <v/>
      </c>
      <c r="Y533" s="17" t="str">
        <f t="shared" si="147"/>
        <v/>
      </c>
      <c r="Z533" s="17" t="str">
        <f t="shared" si="148"/>
        <v/>
      </c>
      <c r="AA533" s="20">
        <f t="shared" si="149"/>
        <v>3.8085960858388224E-2</v>
      </c>
      <c r="AB533" s="17" t="str">
        <f t="shared" si="150"/>
        <v/>
      </c>
      <c r="AC533" s="18" t="str">
        <f t="shared" si="151"/>
        <v/>
      </c>
      <c r="AD533" s="19" t="str">
        <f t="shared" si="152"/>
        <v/>
      </c>
    </row>
    <row r="534" spans="1:30" x14ac:dyDescent="0.25">
      <c r="A534" s="8">
        <v>683</v>
      </c>
      <c r="B534" s="9">
        <v>45576</v>
      </c>
      <c r="C534" s="10">
        <v>2.25</v>
      </c>
      <c r="D534" s="11">
        <v>159680.6621510463</v>
      </c>
      <c r="E534" s="11">
        <v>11663.675579211011</v>
      </c>
      <c r="F534" s="11">
        <v>27267.599775421499</v>
      </c>
      <c r="G534" s="11">
        <v>42987.389506662999</v>
      </c>
      <c r="H534" s="12">
        <v>4.1523828325870482E-2</v>
      </c>
      <c r="I534" s="13">
        <v>5410</v>
      </c>
      <c r="J534" s="13">
        <v>1196885</v>
      </c>
      <c r="K534" s="12">
        <v>6.4419792335083423E-2</v>
      </c>
      <c r="L534" s="14">
        <v>142.8591319444445</v>
      </c>
      <c r="M534" s="15"/>
      <c r="N534" s="16">
        <f t="shared" si="136"/>
        <v>116693.27264438331</v>
      </c>
      <c r="O534" s="17">
        <f t="shared" si="137"/>
        <v>198611.9375056788</v>
      </c>
      <c r="P534" s="18">
        <f t="shared" si="138"/>
        <v>28373528.985865533</v>
      </c>
      <c r="Q534" s="19">
        <f t="shared" si="139"/>
        <v>5.8725954369573168E-2</v>
      </c>
      <c r="R534" s="20">
        <f t="shared" si="140"/>
        <v>4.1523828325870482E-2</v>
      </c>
      <c r="S534" s="20">
        <f t="shared" si="141"/>
        <v>4.7054636958219417E-3</v>
      </c>
      <c r="T534" s="20">
        <f t="shared" si="142"/>
        <v>1.100053751873367E-2</v>
      </c>
      <c r="U534" s="20">
        <f t="shared" si="143"/>
        <v>8.0125793549639029E-2</v>
      </c>
      <c r="V534" s="21">
        <f t="shared" si="144"/>
        <v>402384006.78196812</v>
      </c>
      <c r="W534" s="21" t="str">
        <f t="shared" si="145"/>
        <v/>
      </c>
      <c r="X534" s="19" t="str">
        <f t="shared" si="146"/>
        <v/>
      </c>
      <c r="Y534" s="17" t="str">
        <f t="shared" si="147"/>
        <v/>
      </c>
      <c r="Z534" s="17" t="str">
        <f t="shared" si="148"/>
        <v/>
      </c>
      <c r="AA534" s="20">
        <f t="shared" si="149"/>
        <v>3.8052083041626883E-2</v>
      </c>
      <c r="AB534" s="17" t="str">
        <f t="shared" si="150"/>
        <v/>
      </c>
      <c r="AC534" s="18" t="str">
        <f t="shared" si="151"/>
        <v/>
      </c>
      <c r="AD534" s="19" t="str">
        <f t="shared" si="152"/>
        <v/>
      </c>
    </row>
    <row r="535" spans="1:30" x14ac:dyDescent="0.25">
      <c r="A535" s="8">
        <v>684</v>
      </c>
      <c r="B535" s="9">
        <v>45579</v>
      </c>
      <c r="C535" s="10">
        <v>2.25</v>
      </c>
      <c r="D535" s="11">
        <v>159578.90074098701</v>
      </c>
      <c r="E535" s="11">
        <v>16035.636207273001</v>
      </c>
      <c r="F535" s="11">
        <v>36281.489997803401</v>
      </c>
      <c r="G535" s="11">
        <v>42988.661878327999</v>
      </c>
      <c r="H535" s="12">
        <v>4.1452907006072293E-2</v>
      </c>
      <c r="I535" s="13">
        <v>5415</v>
      </c>
      <c r="J535" s="13">
        <v>1172933</v>
      </c>
      <c r="K535" s="12">
        <v>6.4249711474606341E-2</v>
      </c>
      <c r="L535" s="14">
        <v>153.1582291666667</v>
      </c>
      <c r="M535" s="15"/>
      <c r="N535" s="16">
        <f t="shared" si="136"/>
        <v>116590.23886265901</v>
      </c>
      <c r="O535" s="17">
        <f t="shared" si="137"/>
        <v>211896.02694606342</v>
      </c>
      <c r="P535" s="18">
        <f t="shared" si="138"/>
        <v>32453620.254511364</v>
      </c>
      <c r="Q535" s="19">
        <f t="shared" si="139"/>
        <v>7.5676908332758669E-2</v>
      </c>
      <c r="R535" s="20">
        <f t="shared" si="140"/>
        <v>4.1452907006072293E-2</v>
      </c>
      <c r="S535" s="20">
        <f t="shared" si="141"/>
        <v>6.4562733221310989E-3</v>
      </c>
      <c r="T535" s="20">
        <f t="shared" si="142"/>
        <v>1.4607665884422024E-2</v>
      </c>
      <c r="U535" s="20">
        <f t="shared" si="143"/>
        <v>8.5313650681159467E-2</v>
      </c>
      <c r="V535" s="21">
        <f t="shared" si="144"/>
        <v>403192081.21568114</v>
      </c>
      <c r="W535" s="21" t="str">
        <f t="shared" si="145"/>
        <v/>
      </c>
      <c r="X535" s="19" t="str">
        <f t="shared" si="146"/>
        <v/>
      </c>
      <c r="Y535" s="17" t="str">
        <f t="shared" si="147"/>
        <v/>
      </c>
      <c r="Z535" s="17" t="str">
        <f t="shared" si="148"/>
        <v/>
      </c>
      <c r="AA535" s="20">
        <f t="shared" si="149"/>
        <v>3.800132281054501E-2</v>
      </c>
      <c r="AB535" s="17" t="str">
        <f t="shared" si="150"/>
        <v/>
      </c>
      <c r="AC535" s="18" t="str">
        <f t="shared" si="151"/>
        <v/>
      </c>
      <c r="AD535" s="19" t="str">
        <f t="shared" si="152"/>
        <v/>
      </c>
    </row>
    <row r="536" spans="1:30" x14ac:dyDescent="0.25">
      <c r="A536" s="8">
        <v>685</v>
      </c>
      <c r="B536" s="9">
        <v>45581</v>
      </c>
      <c r="C536" s="10">
        <v>2.291666666666667</v>
      </c>
      <c r="D536" s="11">
        <v>159475.9776260127</v>
      </c>
      <c r="E536" s="11">
        <v>17812.738070854011</v>
      </c>
      <c r="F536" s="11">
        <v>42665.78000009829</v>
      </c>
      <c r="G536" s="11">
        <v>42831.031866509002</v>
      </c>
      <c r="H536" s="12">
        <v>4.1452939099358703E-2</v>
      </c>
      <c r="I536" s="13">
        <v>5415</v>
      </c>
      <c r="J536" s="13">
        <v>1168109</v>
      </c>
      <c r="K536" s="12">
        <v>6.3057624135145748E-2</v>
      </c>
      <c r="L536" s="14">
        <v>154.6588194444443</v>
      </c>
      <c r="M536" s="15"/>
      <c r="N536" s="16">
        <f t="shared" si="136"/>
        <v>116644.94575950369</v>
      </c>
      <c r="O536" s="17">
        <f t="shared" si="137"/>
        <v>219954.49569696499</v>
      </c>
      <c r="P536" s="18">
        <f t="shared" si="138"/>
        <v>34017902.635990709</v>
      </c>
      <c r="Q536" s="19">
        <f t="shared" si="139"/>
        <v>8.0983741725356315E-2</v>
      </c>
      <c r="R536" s="20">
        <f t="shared" si="140"/>
        <v>4.1452939099358703E-2</v>
      </c>
      <c r="S536" s="20">
        <f t="shared" si="141"/>
        <v>7.0432485118467119E-3</v>
      </c>
      <c r="T536" s="20">
        <f t="shared" si="142"/>
        <v>1.6870269483396951E-2</v>
      </c>
      <c r="U536" s="20">
        <f t="shared" si="143"/>
        <v>8.6971142130389409E-2</v>
      </c>
      <c r="V536" s="21">
        <f t="shared" si="144"/>
        <v>403084823.11166137</v>
      </c>
      <c r="W536" s="21" t="str">
        <f t="shared" si="145"/>
        <v/>
      </c>
      <c r="X536" s="19" t="str">
        <f t="shared" si="146"/>
        <v/>
      </c>
      <c r="Y536" s="17" t="str">
        <f t="shared" si="147"/>
        <v/>
      </c>
      <c r="Z536" s="17" t="str">
        <f t="shared" si="148"/>
        <v/>
      </c>
      <c r="AA536" s="20">
        <f t="shared" si="149"/>
        <v>3.7967520280115193E-2</v>
      </c>
      <c r="AB536" s="17" t="str">
        <f t="shared" si="150"/>
        <v/>
      </c>
      <c r="AC536" s="18" t="str">
        <f t="shared" si="151"/>
        <v/>
      </c>
      <c r="AD536" s="19" t="str">
        <f t="shared" si="152"/>
        <v/>
      </c>
    </row>
    <row r="537" spans="1:30" x14ac:dyDescent="0.25">
      <c r="A537" s="8">
        <v>686</v>
      </c>
      <c r="B537" s="9">
        <v>45583</v>
      </c>
      <c r="C537" s="10">
        <v>2.333333333333333</v>
      </c>
      <c r="D537" s="11">
        <v>159372.60068721321</v>
      </c>
      <c r="E537" s="11">
        <v>20259.50916884101</v>
      </c>
      <c r="F537" s="11">
        <v>51588.111624429243</v>
      </c>
      <c r="G537" s="11">
        <v>42738.946725984002</v>
      </c>
      <c r="H537" s="12">
        <v>4.1447520066708238E-2</v>
      </c>
      <c r="I537" s="13">
        <v>5412</v>
      </c>
      <c r="J537" s="13">
        <v>1168507</v>
      </c>
      <c r="K537" s="12">
        <v>6.1417497730096762E-2</v>
      </c>
      <c r="L537" s="14">
        <v>153.56239583333331</v>
      </c>
      <c r="M537" s="15"/>
      <c r="N537" s="16">
        <f t="shared" si="136"/>
        <v>116633.65396122921</v>
      </c>
      <c r="O537" s="17">
        <f t="shared" si="137"/>
        <v>231220.22148048345</v>
      </c>
      <c r="P537" s="18">
        <f t="shared" si="138"/>
        <v>35506731.175656997</v>
      </c>
      <c r="Q537" s="19">
        <f t="shared" si="139"/>
        <v>8.7619971294556731E-2</v>
      </c>
      <c r="R537" s="20">
        <f t="shared" si="140"/>
        <v>4.1447520066708238E-2</v>
      </c>
      <c r="S537" s="20">
        <f t="shared" si="141"/>
        <v>7.8074170404750075E-3</v>
      </c>
      <c r="T537" s="20">
        <f t="shared" si="142"/>
        <v>1.9880536020189132E-2</v>
      </c>
      <c r="U537" s="20">
        <f t="shared" si="143"/>
        <v>8.9105450790760904E-2</v>
      </c>
      <c r="V537" s="21">
        <f t="shared" si="144"/>
        <v>406195380.92838448</v>
      </c>
      <c r="W537" s="21" t="str">
        <f t="shared" si="145"/>
        <v/>
      </c>
      <c r="X537" s="19" t="str">
        <f t="shared" si="146"/>
        <v/>
      </c>
      <c r="Y537" s="17" t="str">
        <f t="shared" si="147"/>
        <v/>
      </c>
      <c r="Z537" s="17" t="str">
        <f t="shared" si="148"/>
        <v/>
      </c>
      <c r="AA537" s="20">
        <f t="shared" si="149"/>
        <v>3.7933747817350899E-2</v>
      </c>
      <c r="AB537" s="17" t="str">
        <f t="shared" si="150"/>
        <v/>
      </c>
      <c r="AC537" s="18" t="str">
        <f t="shared" si="151"/>
        <v/>
      </c>
      <c r="AD537" s="19" t="str">
        <f t="shared" si="152"/>
        <v/>
      </c>
    </row>
    <row r="538" spans="1:30" x14ac:dyDescent="0.25">
      <c r="A538" s="8">
        <v>687</v>
      </c>
      <c r="B538" s="9">
        <v>45586</v>
      </c>
      <c r="C538" s="10">
        <v>2.333333333333333</v>
      </c>
      <c r="D538" s="11">
        <v>159268.58936170681</v>
      </c>
      <c r="E538" s="11">
        <v>26952.64824507001</v>
      </c>
      <c r="F538" s="11">
        <v>52472.67821793403</v>
      </c>
      <c r="G538" s="11">
        <v>42696.103675140002</v>
      </c>
      <c r="H538" s="12">
        <v>4.1401803506896179E-2</v>
      </c>
      <c r="I538" s="13">
        <v>5413</v>
      </c>
      <c r="J538" s="13">
        <v>1166822</v>
      </c>
      <c r="K538" s="12">
        <v>6.1322966208732531E-2</v>
      </c>
      <c r="L538" s="14">
        <v>167.055451388889</v>
      </c>
      <c r="M538" s="15"/>
      <c r="N538" s="16">
        <f t="shared" si="136"/>
        <v>116572.4856865668</v>
      </c>
      <c r="O538" s="17">
        <f t="shared" si="137"/>
        <v>238693.91582471086</v>
      </c>
      <c r="P538" s="18">
        <f t="shared" si="138"/>
        <v>39875119.851878546</v>
      </c>
      <c r="Q538" s="19">
        <f t="shared" si="139"/>
        <v>0.11291719837912906</v>
      </c>
      <c r="R538" s="20">
        <f t="shared" si="140"/>
        <v>4.1401803506896179E-2</v>
      </c>
      <c r="S538" s="20">
        <f t="shared" si="141"/>
        <v>1.0377541134709588E-2</v>
      </c>
      <c r="T538" s="20">
        <f t="shared" si="142"/>
        <v>2.0203483223753094E-2</v>
      </c>
      <c r="U538" s="20">
        <f t="shared" si="143"/>
        <v>9.1903990567195212E-2</v>
      </c>
      <c r="V538" s="21">
        <f t="shared" si="144"/>
        <v>406556041.56771255</v>
      </c>
      <c r="W538" s="21" t="str">
        <f t="shared" si="145"/>
        <v/>
      </c>
      <c r="X538" s="19" t="str">
        <f t="shared" si="146"/>
        <v/>
      </c>
      <c r="Y538" s="17" t="str">
        <f t="shared" si="147"/>
        <v/>
      </c>
      <c r="Z538" s="17" t="str">
        <f t="shared" si="148"/>
        <v/>
      </c>
      <c r="AA538" s="20">
        <f t="shared" si="149"/>
        <v>3.78831454415781E-2</v>
      </c>
      <c r="AB538" s="17" t="str">
        <f t="shared" si="150"/>
        <v/>
      </c>
      <c r="AC538" s="18" t="str">
        <f t="shared" si="151"/>
        <v/>
      </c>
      <c r="AD538" s="19" t="str">
        <f t="shared" si="152"/>
        <v/>
      </c>
    </row>
    <row r="539" spans="1:30" x14ac:dyDescent="0.25">
      <c r="A539" s="8">
        <v>688</v>
      </c>
      <c r="B539" s="9">
        <v>45588</v>
      </c>
      <c r="C539" s="10">
        <v>2.333333333333333</v>
      </c>
      <c r="D539" s="11">
        <v>159162.79389013181</v>
      </c>
      <c r="E539" s="11">
        <v>29520.30109132098</v>
      </c>
      <c r="F539" s="11">
        <v>68800.917552601357</v>
      </c>
      <c r="G539" s="11">
        <v>42747.455061749999</v>
      </c>
      <c r="H539" s="12">
        <v>4.1950638893253733E-2</v>
      </c>
      <c r="I539" s="13">
        <v>5414</v>
      </c>
      <c r="J539" s="13">
        <v>1181064</v>
      </c>
      <c r="K539" s="12">
        <v>6.1254016451390322E-2</v>
      </c>
      <c r="L539" s="14">
        <v>167.44760416666671</v>
      </c>
      <c r="M539" s="15"/>
      <c r="N539" s="16">
        <f t="shared" si="136"/>
        <v>116415.33882838182</v>
      </c>
      <c r="O539" s="17">
        <f t="shared" si="137"/>
        <v>257484.01253405417</v>
      </c>
      <c r="P539" s="18">
        <f t="shared" si="138"/>
        <v>43115081.010047354</v>
      </c>
      <c r="Q539" s="19">
        <f t="shared" si="139"/>
        <v>0.11464906423041198</v>
      </c>
      <c r="R539" s="20">
        <f t="shared" si="140"/>
        <v>4.1950638893253733E-2</v>
      </c>
      <c r="S539" s="20">
        <f t="shared" si="141"/>
        <v>1.1360927792873348E-2</v>
      </c>
      <c r="T539" s="20">
        <f t="shared" si="142"/>
        <v>2.6478126153948369E-2</v>
      </c>
      <c r="U539" s="20">
        <f t="shared" si="143"/>
        <v>9.9093070398212038E-2</v>
      </c>
      <c r="V539" s="21">
        <f t="shared" si="144"/>
        <v>406743313.70700186</v>
      </c>
      <c r="W539" s="21" t="str">
        <f t="shared" si="145"/>
        <v/>
      </c>
      <c r="X539" s="19" t="str">
        <f t="shared" si="146"/>
        <v/>
      </c>
      <c r="Y539" s="17" t="str">
        <f t="shared" si="147"/>
        <v/>
      </c>
      <c r="Z539" s="17" t="str">
        <f t="shared" si="148"/>
        <v/>
      </c>
      <c r="AA539" s="20">
        <f t="shared" si="149"/>
        <v>3.7849448031018203E-2</v>
      </c>
      <c r="AB539" s="17" t="str">
        <f t="shared" si="150"/>
        <v/>
      </c>
      <c r="AC539" s="18" t="str">
        <f t="shared" si="151"/>
        <v/>
      </c>
      <c r="AD539" s="19" t="str">
        <f t="shared" si="152"/>
        <v/>
      </c>
    </row>
    <row r="540" spans="1:30" x14ac:dyDescent="0.25">
      <c r="A540" s="8">
        <v>689</v>
      </c>
      <c r="B540" s="9">
        <v>45590</v>
      </c>
      <c r="C540" s="10">
        <v>2.25</v>
      </c>
      <c r="D540" s="11">
        <v>159056.3363109662</v>
      </c>
      <c r="E540" s="11">
        <v>18821.13621478801</v>
      </c>
      <c r="F540" s="11">
        <v>48258.3874739198</v>
      </c>
      <c r="G540" s="11">
        <v>42655.131200641001</v>
      </c>
      <c r="H540" s="12">
        <v>4.1873613012089611E-2</v>
      </c>
      <c r="I540" s="13">
        <v>5411</v>
      </c>
      <c r="J540" s="13">
        <v>1180928</v>
      </c>
      <c r="K540" s="12">
        <v>6.3412939006718017E-2</v>
      </c>
      <c r="L540" s="14">
        <v>172.1992361111113</v>
      </c>
      <c r="M540" s="15"/>
      <c r="N540" s="16">
        <f t="shared" si="136"/>
        <v>116401.2051103252</v>
      </c>
      <c r="O540" s="17">
        <f t="shared" si="137"/>
        <v>226135.85999967402</v>
      </c>
      <c r="P540" s="18">
        <f t="shared" si="138"/>
        <v>38940422.349273078</v>
      </c>
      <c r="Q540" s="19">
        <f t="shared" si="139"/>
        <v>8.3229330433550616E-2</v>
      </c>
      <c r="R540" s="20">
        <f t="shared" si="140"/>
        <v>4.1873613012089611E-2</v>
      </c>
      <c r="S540" s="20">
        <f t="shared" si="141"/>
        <v>7.5036530483897296E-3</v>
      </c>
      <c r="T540" s="20">
        <f t="shared" si="142"/>
        <v>1.9239762793626308E-2</v>
      </c>
      <c r="U540" s="20">
        <f t="shared" si="143"/>
        <v>9.0156354848734063E-2</v>
      </c>
      <c r="V540" s="21">
        <f t="shared" si="144"/>
        <v>407174713.32485378</v>
      </c>
      <c r="W540" s="21" t="str">
        <f t="shared" si="145"/>
        <v/>
      </c>
      <c r="X540" s="19" t="str">
        <f t="shared" si="146"/>
        <v/>
      </c>
      <c r="Y540" s="17" t="str">
        <f t="shared" si="147"/>
        <v/>
      </c>
      <c r="Z540" s="17" t="str">
        <f t="shared" si="148"/>
        <v/>
      </c>
      <c r="AA540" s="20">
        <f t="shared" si="149"/>
        <v>3.7815780594618729E-2</v>
      </c>
      <c r="AB540" s="17" t="str">
        <f t="shared" si="150"/>
        <v/>
      </c>
      <c r="AC540" s="18" t="str">
        <f t="shared" si="151"/>
        <v/>
      </c>
      <c r="AD540" s="19" t="str">
        <f t="shared" si="152"/>
        <v/>
      </c>
    </row>
    <row r="541" spans="1:30" x14ac:dyDescent="0.25">
      <c r="A541" s="8">
        <v>690</v>
      </c>
      <c r="B541" s="9">
        <v>45592</v>
      </c>
      <c r="C541" s="10">
        <v>2.25</v>
      </c>
      <c r="D541" s="11">
        <v>158952.80938674739</v>
      </c>
      <c r="E541" s="11">
        <v>23315.443405590009</v>
      </c>
      <c r="F541" s="11">
        <v>57740.922158462869</v>
      </c>
      <c r="G541" s="11">
        <v>42607.364630327997</v>
      </c>
      <c r="H541" s="12">
        <v>4.2042825299578347E-2</v>
      </c>
      <c r="I541" s="13">
        <v>5415</v>
      </c>
      <c r="J541" s="13">
        <v>1186121</v>
      </c>
      <c r="K541" s="12">
        <v>6.327103590710792E-2</v>
      </c>
      <c r="L541" s="14">
        <v>174.66131944444439</v>
      </c>
      <c r="M541" s="15"/>
      <c r="N541" s="16">
        <f t="shared" si="136"/>
        <v>116345.4447564194</v>
      </c>
      <c r="O541" s="17">
        <f t="shared" si="137"/>
        <v>240009.17495080028</v>
      </c>
      <c r="P541" s="18">
        <f t="shared" si="138"/>
        <v>41920319.175679266</v>
      </c>
      <c r="Q541" s="19">
        <f t="shared" si="139"/>
        <v>9.7143967143628843E-2</v>
      </c>
      <c r="R541" s="20">
        <f t="shared" si="140"/>
        <v>4.2042825299578347E-2</v>
      </c>
      <c r="S541" s="20">
        <f t="shared" si="141"/>
        <v>9.2806931981676659E-3</v>
      </c>
      <c r="T541" s="20">
        <f t="shared" si="142"/>
        <v>2.2983726889083986E-2</v>
      </c>
      <c r="U541" s="20">
        <f t="shared" si="143"/>
        <v>9.5535455994359572E-2</v>
      </c>
      <c r="V541" s="21">
        <f t="shared" si="144"/>
        <v>407822300.05420053</v>
      </c>
      <c r="W541" s="21" t="str">
        <f t="shared" si="145"/>
        <v/>
      </c>
      <c r="X541" s="19" t="str">
        <f t="shared" si="146"/>
        <v/>
      </c>
      <c r="Y541" s="17" t="str">
        <f t="shared" si="147"/>
        <v/>
      </c>
      <c r="Z541" s="17" t="str">
        <f t="shared" si="148"/>
        <v/>
      </c>
      <c r="AA541" s="20">
        <f t="shared" si="149"/>
        <v>3.778214310571737E-2</v>
      </c>
      <c r="AB541" s="17" t="str">
        <f t="shared" si="150"/>
        <v/>
      </c>
      <c r="AC541" s="18" t="str">
        <f t="shared" si="151"/>
        <v/>
      </c>
      <c r="AD541" s="19" t="str">
        <f t="shared" si="152"/>
        <v/>
      </c>
    </row>
    <row r="542" spans="1:30" x14ac:dyDescent="0.25">
      <c r="A542" s="8">
        <v>691</v>
      </c>
      <c r="B542" s="9">
        <v>45595</v>
      </c>
      <c r="C542" s="10">
        <v>2.333333333333333</v>
      </c>
      <c r="D542" s="11">
        <v>158848.09737396811</v>
      </c>
      <c r="E542" s="11">
        <v>19514.85635544499</v>
      </c>
      <c r="F542" s="11">
        <v>46482.991239602743</v>
      </c>
      <c r="G542" s="11">
        <v>42618.381235212997</v>
      </c>
      <c r="H542" s="12">
        <v>4.2135374346013048E-2</v>
      </c>
      <c r="I542" s="13">
        <v>5407</v>
      </c>
      <c r="J542" s="13">
        <v>1190756</v>
      </c>
      <c r="K542" s="12">
        <v>6.0972193346113958E-2</v>
      </c>
      <c r="L542" s="14">
        <v>177.03503472222201</v>
      </c>
      <c r="M542" s="15"/>
      <c r="N542" s="16">
        <f t="shared" si="136"/>
        <v>116229.71613875512</v>
      </c>
      <c r="O542" s="17">
        <f t="shared" si="137"/>
        <v>224845.94496901584</v>
      </c>
      <c r="P542" s="18">
        <f t="shared" si="138"/>
        <v>39805609.674740538</v>
      </c>
      <c r="Q542" s="19">
        <f t="shared" si="139"/>
        <v>8.6792120525607752E-2</v>
      </c>
      <c r="R542" s="20">
        <f t="shared" si="140"/>
        <v>4.2135374346013048E-2</v>
      </c>
      <c r="S542" s="20">
        <f t="shared" si="141"/>
        <v>7.4905750493479096E-3</v>
      </c>
      <c r="T542" s="20">
        <f t="shared" si="142"/>
        <v>1.7842013697491357E-2</v>
      </c>
      <c r="U542" s="20">
        <f t="shared" si="143"/>
        <v>8.6304782092953225E-2</v>
      </c>
      <c r="V542" s="21">
        <f t="shared" si="144"/>
        <v>407815415.86031175</v>
      </c>
      <c r="W542" s="21" t="str">
        <f t="shared" si="145"/>
        <v/>
      </c>
      <c r="X542" s="19" t="str">
        <f t="shared" si="146"/>
        <v/>
      </c>
      <c r="Y542" s="17" t="str">
        <f t="shared" si="147"/>
        <v/>
      </c>
      <c r="Z542" s="17" t="str">
        <f t="shared" si="148"/>
        <v/>
      </c>
      <c r="AA542" s="20">
        <f t="shared" si="149"/>
        <v>3.7731742965658892E-2</v>
      </c>
      <c r="AB542" s="17" t="str">
        <f t="shared" si="150"/>
        <v/>
      </c>
      <c r="AC542" s="18" t="str">
        <f t="shared" si="151"/>
        <v/>
      </c>
      <c r="AD542" s="19" t="str">
        <f t="shared" si="152"/>
        <v/>
      </c>
    </row>
    <row r="543" spans="1:30" x14ac:dyDescent="0.25">
      <c r="A543" s="8">
        <v>692</v>
      </c>
      <c r="B543" s="9">
        <v>45597</v>
      </c>
      <c r="C543" s="10">
        <v>2.333333333333333</v>
      </c>
      <c r="D543" s="11">
        <v>158744.44446302141</v>
      </c>
      <c r="E543" s="11">
        <v>17918.774549142989</v>
      </c>
      <c r="F543" s="11">
        <v>39013.15500340741</v>
      </c>
      <c r="G543" s="11">
        <v>42698.638873800002</v>
      </c>
      <c r="H543" s="12">
        <v>4.1933987287697372E-2</v>
      </c>
      <c r="I543" s="13">
        <v>5407</v>
      </c>
      <c r="J543" s="13">
        <v>1199799</v>
      </c>
      <c r="K543" s="12">
        <v>6.0947998596459628E-2</v>
      </c>
      <c r="L543" s="14">
        <v>167.32847222222219</v>
      </c>
      <c r="M543" s="15"/>
      <c r="N543" s="16">
        <f t="shared" si="136"/>
        <v>116045.80558922142</v>
      </c>
      <c r="O543" s="17">
        <f t="shared" si="137"/>
        <v>215676.37401557181</v>
      </c>
      <c r="P543" s="18">
        <f t="shared" si="138"/>
        <v>36088798.15845421</v>
      </c>
      <c r="Q543" s="19">
        <f t="shared" si="139"/>
        <v>8.3081768371389877E-2</v>
      </c>
      <c r="R543" s="20">
        <f t="shared" si="140"/>
        <v>4.1933987287697372E-2</v>
      </c>
      <c r="S543" s="20">
        <f t="shared" si="141"/>
        <v>6.8796955368466122E-3</v>
      </c>
      <c r="T543" s="20">
        <f t="shared" si="142"/>
        <v>1.4978626335140976E-2</v>
      </c>
      <c r="U543" s="20">
        <f t="shared" si="143"/>
        <v>8.2806320468447214E-2</v>
      </c>
      <c r="V543" s="21">
        <f t="shared" si="144"/>
        <v>407711091.01442111</v>
      </c>
      <c r="W543" s="21" t="str">
        <f t="shared" si="145"/>
        <v/>
      </c>
      <c r="X543" s="19" t="str">
        <f t="shared" si="146"/>
        <v/>
      </c>
      <c r="Y543" s="17" t="str">
        <f t="shared" si="147"/>
        <v/>
      </c>
      <c r="Z543" s="17" t="str">
        <f t="shared" si="148"/>
        <v/>
      </c>
      <c r="AA543" s="20">
        <f t="shared" si="149"/>
        <v>3.7698180229010871E-2</v>
      </c>
      <c r="AB543" s="17" t="str">
        <f t="shared" si="150"/>
        <v/>
      </c>
      <c r="AC543" s="18" t="str">
        <f t="shared" si="151"/>
        <v/>
      </c>
      <c r="AD543" s="19" t="str">
        <f t="shared" si="152"/>
        <v/>
      </c>
    </row>
    <row r="544" spans="1:30" x14ac:dyDescent="0.25">
      <c r="A544" s="8">
        <v>693</v>
      </c>
      <c r="B544" s="9">
        <v>45600</v>
      </c>
      <c r="C544" s="10">
        <v>2.333333333333333</v>
      </c>
      <c r="D544" s="11">
        <v>158641.25315904879</v>
      </c>
      <c r="E544" s="11">
        <v>19264.21748828299</v>
      </c>
      <c r="F544" s="11">
        <v>43150.059042850757</v>
      </c>
      <c r="G544" s="11">
        <v>42501.733857699997</v>
      </c>
      <c r="H544" s="12">
        <v>4.2368408058691659E-2</v>
      </c>
      <c r="I544" s="13">
        <v>5408</v>
      </c>
      <c r="J544" s="13">
        <v>1202980</v>
      </c>
      <c r="K544" s="12">
        <v>6.0826828453668658E-2</v>
      </c>
      <c r="L544" s="14">
        <v>161.69736111111101</v>
      </c>
      <c r="M544" s="15"/>
      <c r="N544" s="16">
        <f t="shared" si="136"/>
        <v>116139.5193013488</v>
      </c>
      <c r="O544" s="17">
        <f t="shared" si="137"/>
        <v>221055.52969018253</v>
      </c>
      <c r="P544" s="18">
        <f t="shared" si="138"/>
        <v>35744095.809921369</v>
      </c>
      <c r="Q544" s="19">
        <f t="shared" si="139"/>
        <v>8.7146508007659884E-2</v>
      </c>
      <c r="R544" s="20">
        <f t="shared" si="140"/>
        <v>4.2368408058691659E-2</v>
      </c>
      <c r="S544" s="20">
        <f t="shared" si="141"/>
        <v>7.3863590278069827E-3</v>
      </c>
      <c r="T544" s="20">
        <f t="shared" si="142"/>
        <v>1.6544758610383223E-2</v>
      </c>
      <c r="U544" s="20">
        <f t="shared" si="143"/>
        <v>8.4757946091858868E-2</v>
      </c>
      <c r="V544" s="21">
        <f t="shared" si="144"/>
        <v>408257713.0804652</v>
      </c>
      <c r="W544" s="21" t="str">
        <f t="shared" si="145"/>
        <v/>
      </c>
      <c r="X544" s="19" t="str">
        <f t="shared" si="146"/>
        <v/>
      </c>
      <c r="Y544" s="17" t="str">
        <f t="shared" si="147"/>
        <v/>
      </c>
      <c r="Z544" s="17" t="str">
        <f t="shared" si="148"/>
        <v/>
      </c>
      <c r="AA544" s="20">
        <f t="shared" si="149"/>
        <v>3.7647892092676855E-2</v>
      </c>
      <c r="AB544" s="17" t="str">
        <f t="shared" si="150"/>
        <v/>
      </c>
      <c r="AC544" s="18" t="str">
        <f t="shared" si="151"/>
        <v/>
      </c>
      <c r="AD544" s="19" t="str">
        <f t="shared" si="152"/>
        <v/>
      </c>
    </row>
    <row r="545" spans="1:30" x14ac:dyDescent="0.25">
      <c r="A545" s="8">
        <v>694</v>
      </c>
      <c r="B545" s="9">
        <v>45602</v>
      </c>
      <c r="C545" s="10">
        <v>2.333333333333333</v>
      </c>
      <c r="D545" s="11">
        <v>158537.7291189059</v>
      </c>
      <c r="E545" s="11">
        <v>23285.179384622981</v>
      </c>
      <c r="F545" s="11">
        <v>49979.134512988938</v>
      </c>
      <c r="G545" s="11">
        <v>42339.199309192001</v>
      </c>
      <c r="H545" s="12">
        <v>4.2165944759606368E-2</v>
      </c>
      <c r="I545" s="13">
        <v>5411</v>
      </c>
      <c r="J545" s="13">
        <v>1211466</v>
      </c>
      <c r="K545" s="12">
        <v>6.0836369060288373E-2</v>
      </c>
      <c r="L545" s="14">
        <v>184.31343750000011</v>
      </c>
      <c r="M545" s="15"/>
      <c r="N545" s="16">
        <f t="shared" si="136"/>
        <v>116198.5298097139</v>
      </c>
      <c r="O545" s="17">
        <f t="shared" si="137"/>
        <v>231802.04301651783</v>
      </c>
      <c r="P545" s="18">
        <f t="shared" si="138"/>
        <v>42724231.367897294</v>
      </c>
      <c r="Q545" s="19">
        <f t="shared" si="139"/>
        <v>0.10045286521898221</v>
      </c>
      <c r="R545" s="20">
        <f t="shared" si="140"/>
        <v>4.2165944759606368E-2</v>
      </c>
      <c r="S545" s="20">
        <f t="shared" si="141"/>
        <v>8.9353226802906943E-3</v>
      </c>
      <c r="T545" s="20">
        <f t="shared" si="142"/>
        <v>1.9178709632364729E-2</v>
      </c>
      <c r="U545" s="20">
        <f t="shared" si="143"/>
        <v>8.8950401372943799E-2</v>
      </c>
      <c r="V545" s="21">
        <f t="shared" si="144"/>
        <v>407927314.73289853</v>
      </c>
      <c r="W545" s="21" t="str">
        <f t="shared" si="145"/>
        <v/>
      </c>
      <c r="X545" s="19" t="str">
        <f t="shared" si="146"/>
        <v/>
      </c>
      <c r="Y545" s="17" t="str">
        <f t="shared" si="147"/>
        <v/>
      </c>
      <c r="Z545" s="17" t="str">
        <f t="shared" si="148"/>
        <v/>
      </c>
      <c r="AA545" s="20">
        <f t="shared" si="149"/>
        <v>3.7614403942161007E-2</v>
      </c>
      <c r="AB545" s="17" t="str">
        <f t="shared" si="150"/>
        <v/>
      </c>
      <c r="AC545" s="18" t="str">
        <f t="shared" si="151"/>
        <v/>
      </c>
      <c r="AD545" s="19" t="str">
        <f t="shared" si="152"/>
        <v/>
      </c>
    </row>
    <row r="546" spans="1:30" x14ac:dyDescent="0.25">
      <c r="A546" s="8">
        <v>695</v>
      </c>
      <c r="B546" s="9">
        <v>45604</v>
      </c>
      <c r="C546" s="10">
        <v>2.375</v>
      </c>
      <c r="D546" s="11">
        <v>158433.15227044071</v>
      </c>
      <c r="E546" s="11">
        <v>21281.11897778001</v>
      </c>
      <c r="F546" s="11">
        <v>39809.636293010873</v>
      </c>
      <c r="G546" s="11">
        <v>42149.348035734998</v>
      </c>
      <c r="H546" s="12">
        <v>4.2120873417475412E-2</v>
      </c>
      <c r="I546" s="13">
        <v>5391</v>
      </c>
      <c r="J546" s="13">
        <v>1211012</v>
      </c>
      <c r="K546" s="12">
        <v>5.9670601208123217E-2</v>
      </c>
      <c r="L546" s="14">
        <v>199.92944444444461</v>
      </c>
      <c r="M546" s="15"/>
      <c r="N546" s="16">
        <f t="shared" si="136"/>
        <v>116283.80423470572</v>
      </c>
      <c r="O546" s="17">
        <f t="shared" si="137"/>
        <v>219523.9075412316</v>
      </c>
      <c r="P546" s="18">
        <f t="shared" si="138"/>
        <v>43889292.876992062</v>
      </c>
      <c r="Q546" s="19">
        <f t="shared" si="139"/>
        <v>9.6942147286545224E-2</v>
      </c>
      <c r="R546" s="20">
        <f t="shared" si="140"/>
        <v>4.2120873417475412E-2</v>
      </c>
      <c r="S546" s="20">
        <f t="shared" si="141"/>
        <v>8.0150975069796324E-3</v>
      </c>
      <c r="T546" s="20">
        <f t="shared" si="142"/>
        <v>1.4993483986393405E-2</v>
      </c>
      <c r="U546" s="20">
        <f t="shared" si="143"/>
        <v>8.2679182701496254E-2</v>
      </c>
      <c r="V546" s="21">
        <f t="shared" si="144"/>
        <v>408330913.52336663</v>
      </c>
      <c r="W546" s="21" t="str">
        <f t="shared" si="145"/>
        <v/>
      </c>
      <c r="X546" s="19" t="str">
        <f t="shared" si="146"/>
        <v/>
      </c>
      <c r="Y546" s="17" t="str">
        <f t="shared" si="147"/>
        <v/>
      </c>
      <c r="Z546" s="17" t="str">
        <f t="shared" si="148"/>
        <v/>
      </c>
      <c r="AA546" s="20">
        <f t="shared" si="149"/>
        <v>3.7580945579666805E-2</v>
      </c>
      <c r="AB546" s="17" t="str">
        <f t="shared" si="150"/>
        <v/>
      </c>
      <c r="AC546" s="18" t="str">
        <f t="shared" si="151"/>
        <v/>
      </c>
      <c r="AD546" s="19" t="str">
        <f t="shared" si="152"/>
        <v/>
      </c>
    </row>
    <row r="547" spans="1:30" x14ac:dyDescent="0.25">
      <c r="A547" s="8">
        <v>696</v>
      </c>
      <c r="B547" s="9">
        <v>45607</v>
      </c>
      <c r="C547" s="10">
        <v>2.208333333333333</v>
      </c>
      <c r="D547" s="11">
        <v>158329.14747874791</v>
      </c>
      <c r="E547" s="11">
        <v>29360.862374273998</v>
      </c>
      <c r="F547" s="11">
        <v>67960.306943254982</v>
      </c>
      <c r="G547" s="11">
        <v>42156.034190988998</v>
      </c>
      <c r="H547" s="12">
        <v>4.1942015322661862E-2</v>
      </c>
      <c r="I547" s="13">
        <v>5037</v>
      </c>
      <c r="J547" s="13">
        <v>1210909</v>
      </c>
      <c r="K547" s="12">
        <v>6.4298167268887638E-2</v>
      </c>
      <c r="L547" s="14">
        <v>214.38885416666679</v>
      </c>
      <c r="M547" s="15"/>
      <c r="N547" s="16">
        <f t="shared" si="136"/>
        <v>116173.11328775891</v>
      </c>
      <c r="O547" s="17">
        <f t="shared" si="137"/>
        <v>255650.31679627689</v>
      </c>
      <c r="P547" s="18">
        <f t="shared" si="138"/>
        <v>54808578.48529917</v>
      </c>
      <c r="Q547" s="19">
        <f t="shared" si="139"/>
        <v>0.11484774492836297</v>
      </c>
      <c r="R547" s="20">
        <f t="shared" si="140"/>
        <v>4.1942015322661862E-2</v>
      </c>
      <c r="S547" s="20">
        <f t="shared" si="141"/>
        <v>1.1923576108140543E-2</v>
      </c>
      <c r="T547" s="20">
        <f t="shared" si="142"/>
        <v>2.7598981318767545E-2</v>
      </c>
      <c r="U547" s="20">
        <f t="shared" si="143"/>
        <v>0.10382072469579573</v>
      </c>
      <c r="V547" s="21">
        <f t="shared" si="144"/>
        <v>407275115.86749607</v>
      </c>
      <c r="W547" s="21" t="str">
        <f t="shared" si="145"/>
        <v/>
      </c>
      <c r="X547" s="19" t="str">
        <f t="shared" si="146"/>
        <v/>
      </c>
      <c r="Y547" s="17" t="str">
        <f t="shared" si="147"/>
        <v/>
      </c>
      <c r="Z547" s="17" t="str">
        <f t="shared" si="148"/>
        <v/>
      </c>
      <c r="AA547" s="20">
        <f t="shared" si="149"/>
        <v>3.753081383051099E-2</v>
      </c>
      <c r="AB547" s="17" t="str">
        <f t="shared" si="150"/>
        <v/>
      </c>
      <c r="AC547" s="18" t="str">
        <f t="shared" si="151"/>
        <v/>
      </c>
      <c r="AD547" s="19" t="str">
        <f t="shared" si="152"/>
        <v/>
      </c>
    </row>
    <row r="548" spans="1:30" x14ac:dyDescent="0.25">
      <c r="A548" s="8">
        <v>697</v>
      </c>
      <c r="B548" s="9">
        <v>45609</v>
      </c>
      <c r="C548" s="10">
        <v>2.208333333333333</v>
      </c>
      <c r="D548" s="11">
        <v>158223.00094853051</v>
      </c>
      <c r="E548" s="11">
        <v>42101.368976441008</v>
      </c>
      <c r="F548" s="11">
        <v>83953.264722150387</v>
      </c>
      <c r="G548" s="11">
        <v>42365.348367726998</v>
      </c>
      <c r="H548" s="12">
        <v>4.2088444842048107E-2</v>
      </c>
      <c r="I548" s="13">
        <v>5039</v>
      </c>
      <c r="J548" s="13">
        <v>1201267</v>
      </c>
      <c r="K548" s="12">
        <v>6.4409609385803465E-2</v>
      </c>
      <c r="L548" s="14">
        <v>210.4301388888891</v>
      </c>
      <c r="M548" s="15"/>
      <c r="N548" s="16">
        <f t="shared" si="136"/>
        <v>115857.65258080351</v>
      </c>
      <c r="O548" s="17">
        <f t="shared" si="137"/>
        <v>284277.63464712189</v>
      </c>
      <c r="P548" s="18">
        <f t="shared" si="138"/>
        <v>59820582.141798735</v>
      </c>
      <c r="Q548" s="19">
        <f t="shared" si="139"/>
        <v>0.14809947686775315</v>
      </c>
      <c r="R548" s="20">
        <f t="shared" si="140"/>
        <v>4.2088444842048107E-2</v>
      </c>
      <c r="S548" s="20">
        <f t="shared" si="141"/>
        <v>1.7138675882290139E-2</v>
      </c>
      <c r="T548" s="20">
        <f t="shared" si="142"/>
        <v>3.4175795901985648E-2</v>
      </c>
      <c r="U548" s="20">
        <f t="shared" si="143"/>
        <v>0.11572408117007925</v>
      </c>
      <c r="V548" s="21">
        <f t="shared" si="144"/>
        <v>406297872.9184292</v>
      </c>
      <c r="W548" s="21" t="str">
        <f t="shared" si="145"/>
        <v/>
      </c>
      <c r="X548" s="19" t="str">
        <f t="shared" si="146"/>
        <v/>
      </c>
      <c r="Y548" s="17" t="str">
        <f t="shared" si="147"/>
        <v/>
      </c>
      <c r="Z548" s="17" t="str">
        <f t="shared" si="148"/>
        <v/>
      </c>
      <c r="AA548" s="20">
        <f t="shared" si="149"/>
        <v>3.7497429822199328E-2</v>
      </c>
      <c r="AB548" s="17" t="str">
        <f t="shared" si="150"/>
        <v/>
      </c>
      <c r="AC548" s="18" t="str">
        <f t="shared" si="151"/>
        <v/>
      </c>
      <c r="AD548" s="19" t="str">
        <f t="shared" si="152"/>
        <v/>
      </c>
    </row>
    <row r="549" spans="1:30" x14ac:dyDescent="0.25">
      <c r="A549" s="8">
        <v>698</v>
      </c>
      <c r="B549" s="9">
        <v>45611</v>
      </c>
      <c r="C549" s="10">
        <v>2.166666666666667</v>
      </c>
      <c r="D549" s="11">
        <v>158113.46537583979</v>
      </c>
      <c r="E549" s="11">
        <v>44022.921529024992</v>
      </c>
      <c r="F549" s="11">
        <v>94698.414647577622</v>
      </c>
      <c r="G549" s="11">
        <v>42224.760170314999</v>
      </c>
      <c r="H549" s="12">
        <v>4.1585433363114453E-2</v>
      </c>
      <c r="I549" s="13">
        <v>5040</v>
      </c>
      <c r="J549" s="13">
        <v>1194743</v>
      </c>
      <c r="K549" s="12">
        <v>6.5719822229472633E-2</v>
      </c>
      <c r="L549" s="14">
        <v>212.0762847222218</v>
      </c>
      <c r="M549" s="15"/>
      <c r="N549" s="16">
        <f t="shared" si="136"/>
        <v>115888.70520552479</v>
      </c>
      <c r="O549" s="17">
        <f t="shared" si="137"/>
        <v>296834.80155244237</v>
      </c>
      <c r="P549" s="18">
        <f t="shared" si="138"/>
        <v>62951621.88949997</v>
      </c>
      <c r="Q549" s="19">
        <f t="shared" si="139"/>
        <v>0.14830781734077558</v>
      </c>
      <c r="R549" s="20">
        <f t="shared" si="140"/>
        <v>4.1585433363114453E-2</v>
      </c>
      <c r="S549" s="20">
        <f t="shared" si="141"/>
        <v>1.8298116292830503E-2</v>
      </c>
      <c r="T549" s="20">
        <f t="shared" si="142"/>
        <v>3.9361372298419482E-2</v>
      </c>
      <c r="U549" s="20">
        <f t="shared" si="143"/>
        <v>0.12337931082072262</v>
      </c>
      <c r="V549" s="21">
        <f t="shared" si="144"/>
        <v>405574461.18798745</v>
      </c>
      <c r="W549" s="21" t="str">
        <f t="shared" si="145"/>
        <v/>
      </c>
      <c r="X549" s="19" t="str">
        <f t="shared" si="146"/>
        <v/>
      </c>
      <c r="Y549" s="17" t="str">
        <f t="shared" si="147"/>
        <v/>
      </c>
      <c r="Z549" s="17" t="str">
        <f t="shared" si="148"/>
        <v/>
      </c>
      <c r="AA549" s="20">
        <f t="shared" si="149"/>
        <v>3.7464075509273859E-2</v>
      </c>
      <c r="AB549" s="17" t="str">
        <f t="shared" si="150"/>
        <v/>
      </c>
      <c r="AC549" s="18" t="str">
        <f t="shared" si="151"/>
        <v/>
      </c>
      <c r="AD549" s="19" t="str">
        <f t="shared" si="152"/>
        <v/>
      </c>
    </row>
    <row r="550" spans="1:30" x14ac:dyDescent="0.25">
      <c r="A550" s="8">
        <v>699</v>
      </c>
      <c r="B550" s="9">
        <v>45613</v>
      </c>
      <c r="C550" s="10">
        <v>2.166666666666667</v>
      </c>
      <c r="D550" s="11">
        <v>158003.45409133899</v>
      </c>
      <c r="E550" s="11">
        <v>52040.114934688972</v>
      </c>
      <c r="F550" s="11">
        <v>116994.0593329527</v>
      </c>
      <c r="G550" s="11">
        <v>42124.297620452002</v>
      </c>
      <c r="H550" s="12">
        <v>4.1542376005873898E-2</v>
      </c>
      <c r="I550" s="13">
        <v>5028</v>
      </c>
      <c r="J550" s="13">
        <v>1191522</v>
      </c>
      <c r="K550" s="12">
        <v>6.5767559131777398E-2</v>
      </c>
      <c r="L550" s="14">
        <v>232.26506944444441</v>
      </c>
      <c r="M550" s="15"/>
      <c r="N550" s="16">
        <f t="shared" si="136"/>
        <v>115879.15647088698</v>
      </c>
      <c r="O550" s="17">
        <f t="shared" si="137"/>
        <v>327037.6283589807</v>
      </c>
      <c r="P550" s="18">
        <f t="shared" si="138"/>
        <v>75959417.461745054</v>
      </c>
      <c r="Q550" s="19">
        <f t="shared" si="139"/>
        <v>0.15912577153833166</v>
      </c>
      <c r="R550" s="20">
        <f t="shared" si="140"/>
        <v>4.1542376005873898E-2</v>
      </c>
      <c r="S550" s="20">
        <f t="shared" si="141"/>
        <v>2.1661243773905936E-2</v>
      </c>
      <c r="T550" s="20">
        <f t="shared" si="142"/>
        <v>4.8697756384481546E-2</v>
      </c>
      <c r="U550" s="20">
        <f t="shared" si="143"/>
        <v>0.13612655929016487</v>
      </c>
      <c r="V550" s="21">
        <f t="shared" si="144"/>
        <v>404998094.46894944</v>
      </c>
      <c r="W550" s="21" t="str">
        <f t="shared" si="145"/>
        <v/>
      </c>
      <c r="X550" s="19" t="str">
        <f t="shared" si="146"/>
        <v/>
      </c>
      <c r="Y550" s="17" t="str">
        <f t="shared" si="147"/>
        <v/>
      </c>
      <c r="Z550" s="17" t="str">
        <f t="shared" si="148"/>
        <v/>
      </c>
      <c r="AA550" s="20">
        <f t="shared" si="149"/>
        <v>3.7430750865320266E-2</v>
      </c>
      <c r="AB550" s="17" t="str">
        <f t="shared" si="150"/>
        <v/>
      </c>
      <c r="AC550" s="18" t="str">
        <f t="shared" si="151"/>
        <v/>
      </c>
      <c r="AD550" s="19" t="str">
        <f t="shared" si="152"/>
        <v/>
      </c>
    </row>
    <row r="551" spans="1:30" x14ac:dyDescent="0.25">
      <c r="A551" s="8">
        <v>700</v>
      </c>
      <c r="B551" s="9">
        <v>45615</v>
      </c>
      <c r="C551" s="10">
        <v>2.166666666666667</v>
      </c>
      <c r="D551" s="11">
        <v>157891.33309524579</v>
      </c>
      <c r="E551" s="11">
        <v>59362.641942032002</v>
      </c>
      <c r="F551" s="11">
        <v>122278.8512630042</v>
      </c>
      <c r="G551" s="11">
        <v>42571.757982132003</v>
      </c>
      <c r="H551" s="12">
        <v>4.1749752503006679E-2</v>
      </c>
      <c r="I551" s="13">
        <v>5039</v>
      </c>
      <c r="J551" s="13">
        <v>1196874</v>
      </c>
      <c r="K551" s="12">
        <v>6.56634557131065E-2</v>
      </c>
      <c r="L551" s="14">
        <v>241.7965624999992</v>
      </c>
      <c r="M551" s="15"/>
      <c r="N551" s="16">
        <f t="shared" si="136"/>
        <v>115319.57511311379</v>
      </c>
      <c r="O551" s="17">
        <f t="shared" si="137"/>
        <v>339532.82630028197</v>
      </c>
      <c r="P551" s="18">
        <f t="shared" si="138"/>
        <v>82097870.255317494</v>
      </c>
      <c r="Q551" s="19">
        <f t="shared" si="139"/>
        <v>0.17483623774725049</v>
      </c>
      <c r="R551" s="20">
        <f t="shared" si="140"/>
        <v>4.1749752503006679E-2</v>
      </c>
      <c r="S551" s="20">
        <f t="shared" si="141"/>
        <v>2.4687588189671109E-2</v>
      </c>
      <c r="T551" s="20">
        <f t="shared" si="142"/>
        <v>5.0853025160755821E-2</v>
      </c>
      <c r="U551" s="20">
        <f t="shared" si="143"/>
        <v>0.14120406906353344</v>
      </c>
      <c r="V551" s="21">
        <f t="shared" si="144"/>
        <v>405352335.24721932</v>
      </c>
      <c r="W551" s="21" t="str">
        <f t="shared" si="145"/>
        <v/>
      </c>
      <c r="X551" s="19" t="str">
        <f t="shared" si="146"/>
        <v/>
      </c>
      <c r="Y551" s="17" t="str">
        <f t="shared" si="147"/>
        <v/>
      </c>
      <c r="Z551" s="17" t="str">
        <f t="shared" si="148"/>
        <v/>
      </c>
      <c r="AA551" s="20">
        <f t="shared" si="149"/>
        <v>3.7397455863947715E-2</v>
      </c>
      <c r="AB551" s="17" t="str">
        <f t="shared" si="150"/>
        <v/>
      </c>
      <c r="AC551" s="18" t="str">
        <f t="shared" si="151"/>
        <v/>
      </c>
      <c r="AD551" s="19" t="str">
        <f t="shared" si="152"/>
        <v/>
      </c>
    </row>
    <row r="552" spans="1:30" x14ac:dyDescent="0.25">
      <c r="A552" s="8">
        <v>701</v>
      </c>
      <c r="B552" s="9">
        <v>45618</v>
      </c>
      <c r="C552" s="10">
        <v>2.125</v>
      </c>
      <c r="D552" s="11">
        <v>157777.2937416152</v>
      </c>
      <c r="E552" s="11">
        <v>40893.644068228008</v>
      </c>
      <c r="F552" s="11">
        <v>77840.1780694755</v>
      </c>
      <c r="G552" s="11">
        <v>43054.471625320999</v>
      </c>
      <c r="H552" s="12">
        <v>4.1701854950322297E-2</v>
      </c>
      <c r="I552" s="13">
        <v>5040</v>
      </c>
      <c r="J552" s="13">
        <v>1189391</v>
      </c>
      <c r="K552" s="12">
        <v>6.6418824896101833E-2</v>
      </c>
      <c r="L552" s="14">
        <v>257.2475</v>
      </c>
      <c r="M552" s="15"/>
      <c r="N552" s="16">
        <f t="shared" si="136"/>
        <v>114722.82211629421</v>
      </c>
      <c r="O552" s="17">
        <f t="shared" si="137"/>
        <v>276511.11587931874</v>
      </c>
      <c r="P552" s="18">
        <f t="shared" si="138"/>
        <v>71131793.282165051</v>
      </c>
      <c r="Q552" s="19">
        <f t="shared" si="139"/>
        <v>0.14789150135315263</v>
      </c>
      <c r="R552" s="20">
        <f t="shared" si="140"/>
        <v>4.1701854950322297E-2</v>
      </c>
      <c r="S552" s="20">
        <f t="shared" si="141"/>
        <v>1.721482046193033E-2</v>
      </c>
      <c r="T552" s="20">
        <f t="shared" si="142"/>
        <v>3.2768043071803754E-2</v>
      </c>
      <c r="U552" s="20">
        <f t="shared" si="143"/>
        <v>0.11640168842983592</v>
      </c>
      <c r="V552" s="21">
        <f t="shared" si="144"/>
        <v>408304912.52174532</v>
      </c>
      <c r="W552" s="21" t="str">
        <f t="shared" si="145"/>
        <v/>
      </c>
      <c r="X552" s="19" t="str">
        <f t="shared" si="146"/>
        <v/>
      </c>
      <c r="Y552" s="17" t="str">
        <f t="shared" si="147"/>
        <v/>
      </c>
      <c r="Z552" s="17" t="str">
        <f t="shared" si="148"/>
        <v/>
      </c>
      <c r="AA552" s="20">
        <f t="shared" si="149"/>
        <v>3.7347568884056194E-2</v>
      </c>
      <c r="AB552" s="17" t="str">
        <f t="shared" si="150"/>
        <v/>
      </c>
      <c r="AC552" s="18" t="str">
        <f t="shared" si="151"/>
        <v/>
      </c>
      <c r="AD552" s="19" t="str">
        <f t="shared" si="152"/>
        <v/>
      </c>
    </row>
    <row r="553" spans="1:30" x14ac:dyDescent="0.25">
      <c r="A553" s="8">
        <v>702</v>
      </c>
      <c r="B553" s="9">
        <v>45620</v>
      </c>
      <c r="C553" s="10">
        <v>2.125</v>
      </c>
      <c r="D553" s="11">
        <v>157668.24782243179</v>
      </c>
      <c r="E553" s="11">
        <v>31349.862244066011</v>
      </c>
      <c r="F553" s="11">
        <v>64534.412434049351</v>
      </c>
      <c r="G553" s="11">
        <v>43508.654523063</v>
      </c>
      <c r="H553" s="12">
        <v>4.1618822980218892E-2</v>
      </c>
      <c r="I553" s="13">
        <v>5043</v>
      </c>
      <c r="J553" s="13">
        <v>1204960</v>
      </c>
      <c r="K553" s="12">
        <v>6.6335996007646711E-2</v>
      </c>
      <c r="L553" s="14">
        <v>252.12854166666651</v>
      </c>
      <c r="M553" s="15"/>
      <c r="N553" s="16">
        <f t="shared" si="136"/>
        <v>114159.59329936879</v>
      </c>
      <c r="O553" s="17">
        <f t="shared" si="137"/>
        <v>253552.52250054717</v>
      </c>
      <c r="P553" s="18">
        <f t="shared" si="138"/>
        <v>63927827.733967602</v>
      </c>
      <c r="Q553" s="19">
        <f t="shared" si="139"/>
        <v>0.12364247823248675</v>
      </c>
      <c r="R553" s="20">
        <f t="shared" si="140"/>
        <v>4.1618822980218892E-2</v>
      </c>
      <c r="S553" s="20">
        <f t="shared" si="141"/>
        <v>1.318987408932672E-2</v>
      </c>
      <c r="T553" s="20">
        <f t="shared" si="142"/>
        <v>2.7151659162231549E-2</v>
      </c>
      <c r="U553" s="20">
        <f t="shared" si="143"/>
        <v>0.10667752925920498</v>
      </c>
      <c r="V553" s="21">
        <f t="shared" si="144"/>
        <v>408532185.40214837</v>
      </c>
      <c r="W553" s="21" t="str">
        <f t="shared" si="145"/>
        <v/>
      </c>
      <c r="X553" s="19" t="str">
        <f t="shared" si="146"/>
        <v/>
      </c>
      <c r="Y553" s="17" t="str">
        <f t="shared" si="147"/>
        <v/>
      </c>
      <c r="Z553" s="17" t="str">
        <f t="shared" si="148"/>
        <v/>
      </c>
      <c r="AA553" s="20">
        <f t="shared" si="149"/>
        <v>3.7314347873830395E-2</v>
      </c>
      <c r="AB553" s="17" t="str">
        <f t="shared" si="150"/>
        <v/>
      </c>
      <c r="AC553" s="18" t="str">
        <f t="shared" si="151"/>
        <v/>
      </c>
      <c r="AD553" s="19" t="str">
        <f t="shared" si="152"/>
        <v/>
      </c>
    </row>
    <row r="554" spans="1:30" x14ac:dyDescent="0.25">
      <c r="A554" s="8">
        <v>703</v>
      </c>
      <c r="B554" s="9">
        <v>45622</v>
      </c>
      <c r="C554" s="10">
        <v>2.125</v>
      </c>
      <c r="D554" s="11">
        <v>157561.79539090529</v>
      </c>
      <c r="E554" s="11">
        <v>31625.215232922001</v>
      </c>
      <c r="F554" s="11">
        <v>67884.308699935689</v>
      </c>
      <c r="G554" s="11">
        <v>43252.869338680001</v>
      </c>
      <c r="H554" s="12">
        <v>4.1554656857887347E-2</v>
      </c>
      <c r="I554" s="13">
        <v>5043</v>
      </c>
      <c r="J554" s="13">
        <v>1206094</v>
      </c>
      <c r="K554" s="12">
        <v>6.6299981703257016E-2</v>
      </c>
      <c r="L554" s="14">
        <v>232.3577777777779</v>
      </c>
      <c r="M554" s="15"/>
      <c r="N554" s="16">
        <f t="shared" si="136"/>
        <v>114308.92605222529</v>
      </c>
      <c r="O554" s="17">
        <f t="shared" si="137"/>
        <v>257071.31932376296</v>
      </c>
      <c r="P554" s="18">
        <f t="shared" si="138"/>
        <v>59732520.488471098</v>
      </c>
      <c r="Q554" s="19">
        <f t="shared" si="139"/>
        <v>0.12302117294186483</v>
      </c>
      <c r="R554" s="20">
        <f t="shared" si="140"/>
        <v>4.1554656857887347E-2</v>
      </c>
      <c r="S554" s="20">
        <f t="shared" si="141"/>
        <v>1.3307484762421801E-2</v>
      </c>
      <c r="T554" s="20">
        <f t="shared" si="142"/>
        <v>2.8564846024874482E-2</v>
      </c>
      <c r="U554" s="20">
        <f t="shared" si="143"/>
        <v>0.1081723124905533</v>
      </c>
      <c r="V554" s="21">
        <f t="shared" si="144"/>
        <v>408478123.66884249</v>
      </c>
      <c r="W554" s="21" t="str">
        <f t="shared" si="145"/>
        <v/>
      </c>
      <c r="X554" s="19" t="str">
        <f t="shared" si="146"/>
        <v/>
      </c>
      <c r="Y554" s="17" t="str">
        <f t="shared" si="147"/>
        <v/>
      </c>
      <c r="Z554" s="17" t="str">
        <f t="shared" si="148"/>
        <v/>
      </c>
      <c r="AA554" s="20">
        <f t="shared" si="149"/>
        <v>3.7281156414002481E-2</v>
      </c>
      <c r="AB554" s="17" t="str">
        <f t="shared" si="150"/>
        <v/>
      </c>
      <c r="AC554" s="18" t="str">
        <f t="shared" si="151"/>
        <v/>
      </c>
      <c r="AD554" s="19" t="str">
        <f t="shared" si="152"/>
        <v/>
      </c>
    </row>
    <row r="555" spans="1:30" x14ac:dyDescent="0.25">
      <c r="A555" s="8">
        <v>704</v>
      </c>
      <c r="B555" s="9">
        <v>45624</v>
      </c>
      <c r="C555" s="10">
        <v>2.166666666666667</v>
      </c>
      <c r="D555" s="11">
        <v>157455.30555868169</v>
      </c>
      <c r="E555" s="11">
        <v>23979.061135918011</v>
      </c>
      <c r="F555" s="11">
        <v>54029.997941153677</v>
      </c>
      <c r="G555" s="11">
        <v>43234.559594313003</v>
      </c>
      <c r="H555" s="12">
        <v>4.1371064123767273E-2</v>
      </c>
      <c r="I555" s="13">
        <v>5047</v>
      </c>
      <c r="J555" s="13">
        <v>1201770</v>
      </c>
      <c r="K555" s="12">
        <v>6.4885352050871606E-2</v>
      </c>
      <c r="L555" s="14">
        <v>237.81229166666611</v>
      </c>
      <c r="M555" s="15"/>
      <c r="N555" s="16">
        <f t="shared" si="136"/>
        <v>114220.74596436869</v>
      </c>
      <c r="O555" s="17">
        <f t="shared" si="137"/>
        <v>235464.36463575339</v>
      </c>
      <c r="P555" s="18">
        <f t="shared" si="138"/>
        <v>55996320.159864008</v>
      </c>
      <c r="Q555" s="19">
        <f t="shared" si="139"/>
        <v>0.10183732546116654</v>
      </c>
      <c r="R555" s="20">
        <f t="shared" si="140"/>
        <v>4.1371064123767273E-2</v>
      </c>
      <c r="S555" s="20">
        <f t="shared" si="141"/>
        <v>9.8814696534538296E-3</v>
      </c>
      <c r="T555" s="20">
        <f t="shared" si="142"/>
        <v>2.2265082940714699E-2</v>
      </c>
      <c r="U555" s="20">
        <f t="shared" si="143"/>
        <v>9.7031904645040135E-2</v>
      </c>
      <c r="V555" s="21">
        <f t="shared" si="144"/>
        <v>409080479.55736941</v>
      </c>
      <c r="W555" s="21" t="str">
        <f t="shared" si="145"/>
        <v/>
      </c>
      <c r="X555" s="19" t="str">
        <f t="shared" si="146"/>
        <v/>
      </c>
      <c r="Y555" s="17" t="str">
        <f t="shared" si="147"/>
        <v/>
      </c>
      <c r="Z555" s="17" t="str">
        <f t="shared" si="148"/>
        <v/>
      </c>
      <c r="AA555" s="20">
        <f t="shared" si="149"/>
        <v>3.7247994478287104E-2</v>
      </c>
      <c r="AB555" s="17" t="str">
        <f t="shared" si="150"/>
        <v/>
      </c>
      <c r="AC555" s="18" t="str">
        <f t="shared" si="151"/>
        <v/>
      </c>
      <c r="AD555" s="19" t="str">
        <f t="shared" si="152"/>
        <v/>
      </c>
    </row>
    <row r="556" spans="1:30" x14ac:dyDescent="0.25">
      <c r="A556" s="8">
        <v>705</v>
      </c>
      <c r="B556" s="9">
        <v>45626</v>
      </c>
      <c r="C556" s="10">
        <v>2.083333333333333</v>
      </c>
      <c r="D556" s="11">
        <v>157350.89427496801</v>
      </c>
      <c r="E556" s="11">
        <v>21429.698003826979</v>
      </c>
      <c r="F556" s="11">
        <v>46804.668126728837</v>
      </c>
      <c r="G556" s="11">
        <v>43117.807089369999</v>
      </c>
      <c r="H556" s="12">
        <v>4.1322165491702562E-2</v>
      </c>
      <c r="I556" s="13">
        <v>5048</v>
      </c>
      <c r="J556" s="13">
        <v>1218868</v>
      </c>
      <c r="K556" s="12">
        <v>6.7395228636449811E-2</v>
      </c>
      <c r="L556" s="14">
        <v>241.23673611111161</v>
      </c>
      <c r="M556" s="15"/>
      <c r="N556" s="16">
        <f t="shared" si="136"/>
        <v>114233.08718559801</v>
      </c>
      <c r="O556" s="17">
        <f t="shared" si="137"/>
        <v>225585.26040552382</v>
      </c>
      <c r="P556" s="18">
        <f t="shared" si="138"/>
        <v>54419451.935003743</v>
      </c>
      <c r="Q556" s="19">
        <f t="shared" si="139"/>
        <v>9.4996002687869938E-2</v>
      </c>
      <c r="R556" s="20">
        <f t="shared" si="140"/>
        <v>4.1322165491702562E-2</v>
      </c>
      <c r="S556" s="20">
        <f t="shared" si="141"/>
        <v>9.1785903298024635E-3</v>
      </c>
      <c r="T556" s="20">
        <f t="shared" si="142"/>
        <v>2.0046986858185661E-2</v>
      </c>
      <c r="U556" s="20">
        <f t="shared" si="143"/>
        <v>9.6620805824437939E-2</v>
      </c>
      <c r="V556" s="21">
        <f t="shared" si="144"/>
        <v>409328068.80289245</v>
      </c>
      <c r="W556" s="21" t="str">
        <f t="shared" si="145"/>
        <v/>
      </c>
      <c r="X556" s="19" t="str">
        <f t="shared" si="146"/>
        <v/>
      </c>
      <c r="Y556" s="17" t="str">
        <f t="shared" si="147"/>
        <v/>
      </c>
      <c r="Z556" s="17" t="str">
        <f t="shared" si="148"/>
        <v/>
      </c>
      <c r="AA556" s="20">
        <f t="shared" si="149"/>
        <v>3.7214862040422271E-2</v>
      </c>
      <c r="AB556" s="17" t="str">
        <f t="shared" si="150"/>
        <v/>
      </c>
      <c r="AC556" s="18" t="str">
        <f t="shared" si="151"/>
        <v/>
      </c>
      <c r="AD556" s="19" t="str">
        <f t="shared" si="152"/>
        <v/>
      </c>
    </row>
    <row r="557" spans="1:30" x14ac:dyDescent="0.25">
      <c r="A557" s="8">
        <v>706</v>
      </c>
      <c r="B557" s="9">
        <v>45628</v>
      </c>
      <c r="C557" s="10">
        <v>2.083333333333333</v>
      </c>
      <c r="D557" s="11">
        <v>157247.19648172369</v>
      </c>
      <c r="E557" s="11">
        <v>21770.876243821011</v>
      </c>
      <c r="F557" s="11">
        <v>49398.203943575892</v>
      </c>
      <c r="G557" s="11">
        <v>43268.113193439</v>
      </c>
      <c r="H557" s="12">
        <v>4.112669623929343E-2</v>
      </c>
      <c r="I557" s="13">
        <v>5047</v>
      </c>
      <c r="J557" s="13">
        <v>1228974</v>
      </c>
      <c r="K557" s="12">
        <v>6.755717252203855E-2</v>
      </c>
      <c r="L557" s="14">
        <v>227.06840277777749</v>
      </c>
      <c r="M557" s="15"/>
      <c r="N557" s="16">
        <f t="shared" si="136"/>
        <v>113979.08328828469</v>
      </c>
      <c r="O557" s="17">
        <f t="shared" si="137"/>
        <v>228416.27666912059</v>
      </c>
      <c r="P557" s="18">
        <f t="shared" si="138"/>
        <v>51866119.111704133</v>
      </c>
      <c r="Q557" s="19">
        <f t="shared" si="139"/>
        <v>9.5312280548893985E-2</v>
      </c>
      <c r="R557" s="20">
        <f t="shared" si="140"/>
        <v>4.112669623929343E-2</v>
      </c>
      <c r="S557" s="20">
        <f t="shared" si="141"/>
        <v>9.3532913480636228E-3</v>
      </c>
      <c r="T557" s="20">
        <f t="shared" si="142"/>
        <v>2.1222654907446147E-2</v>
      </c>
      <c r="U557" s="20">
        <f t="shared" si="143"/>
        <v>9.8133118777548323E-2</v>
      </c>
      <c r="V557" s="21">
        <f t="shared" si="144"/>
        <v>408077743.0136283</v>
      </c>
      <c r="W557" s="21" t="str">
        <f t="shared" si="145"/>
        <v/>
      </c>
      <c r="X557" s="19" t="str">
        <f t="shared" si="146"/>
        <v/>
      </c>
      <c r="Y557" s="17" t="str">
        <f t="shared" si="147"/>
        <v/>
      </c>
      <c r="Z557" s="17" t="str">
        <f t="shared" si="148"/>
        <v/>
      </c>
      <c r="AA557" s="20">
        <f t="shared" si="149"/>
        <v>3.7181759074169381E-2</v>
      </c>
      <c r="AB557" s="17" t="str">
        <f t="shared" si="150"/>
        <v/>
      </c>
      <c r="AC557" s="18" t="str">
        <f t="shared" si="151"/>
        <v/>
      </c>
      <c r="AD557" s="19" t="str">
        <f t="shared" si="152"/>
        <v/>
      </c>
    </row>
    <row r="558" spans="1:30" x14ac:dyDescent="0.25">
      <c r="A558" s="8">
        <v>707</v>
      </c>
      <c r="B558" s="9">
        <v>45630</v>
      </c>
      <c r="C558" s="10">
        <v>2.125</v>
      </c>
      <c r="D558" s="11">
        <v>157143.44017141781</v>
      </c>
      <c r="E558" s="11">
        <v>20073.291787257011</v>
      </c>
      <c r="F558" s="11">
        <v>41156.198210894167</v>
      </c>
      <c r="G558" s="11">
        <v>43064.671888636003</v>
      </c>
      <c r="H558" s="12">
        <v>4.1039472034879072E-2</v>
      </c>
      <c r="I558" s="13">
        <v>1424</v>
      </c>
      <c r="J558" s="13">
        <v>1241067</v>
      </c>
      <c r="K558" s="12">
        <v>6.6169838808467302E-2</v>
      </c>
      <c r="L558" s="14">
        <v>233.96461805555589</v>
      </c>
      <c r="M558" s="15"/>
      <c r="N558" s="16">
        <f t="shared" si="136"/>
        <v>114078.76828278181</v>
      </c>
      <c r="O558" s="17">
        <f t="shared" si="137"/>
        <v>218372.93016956898</v>
      </c>
      <c r="P558" s="18">
        <f t="shared" si="138"/>
        <v>51091539.200795785</v>
      </c>
      <c r="Q558" s="19">
        <f t="shared" si="139"/>
        <v>9.1922070064590328E-2</v>
      </c>
      <c r="R558" s="20">
        <f t="shared" si="140"/>
        <v>4.1039472034879072E-2</v>
      </c>
      <c r="S558" s="20">
        <f t="shared" si="141"/>
        <v>8.4524462520944362E-3</v>
      </c>
      <c r="T558" s="20">
        <f t="shared" si="142"/>
        <v>1.733002025801092E-2</v>
      </c>
      <c r="U558" s="20">
        <f t="shared" si="143"/>
        <v>9.1952305318572652E-2</v>
      </c>
      <c r="V558" s="21">
        <f t="shared" si="144"/>
        <v>408194801.92655355</v>
      </c>
      <c r="W558" s="21" t="str">
        <f t="shared" si="145"/>
        <v/>
      </c>
      <c r="X558" s="19" t="str">
        <f t="shared" si="146"/>
        <v/>
      </c>
      <c r="Y558" s="17" t="str">
        <f t="shared" si="147"/>
        <v/>
      </c>
      <c r="Z558" s="17" t="str">
        <f t="shared" si="148"/>
        <v/>
      </c>
      <c r="AA558" s="20">
        <f t="shared" si="149"/>
        <v>3.714868555331316E-2</v>
      </c>
      <c r="AB558" s="17" t="str">
        <f t="shared" si="150"/>
        <v/>
      </c>
      <c r="AC558" s="18" t="str">
        <f t="shared" si="151"/>
        <v/>
      </c>
      <c r="AD558" s="19" t="str">
        <f t="shared" si="152"/>
        <v/>
      </c>
    </row>
    <row r="559" spans="1:30" x14ac:dyDescent="0.25">
      <c r="A559" s="8">
        <v>708</v>
      </c>
      <c r="B559" s="9">
        <v>45632</v>
      </c>
      <c r="C559" s="10">
        <v>2.083333333333333</v>
      </c>
      <c r="D559" s="11">
        <v>157040.1682498914</v>
      </c>
      <c r="E559" s="11">
        <v>15248.245335283011</v>
      </c>
      <c r="F559" s="11">
        <v>29359.263319027628</v>
      </c>
      <c r="G559" s="11">
        <v>42869.898146901003</v>
      </c>
      <c r="H559" s="12">
        <v>4.1226326713454213E-2</v>
      </c>
      <c r="I559" s="13">
        <v>1421</v>
      </c>
      <c r="J559" s="13">
        <v>1238527</v>
      </c>
      <c r="K559" s="12">
        <v>6.7444877920399701E-2</v>
      </c>
      <c r="L559" s="14">
        <v>238.3652430555552</v>
      </c>
      <c r="M559" s="15"/>
      <c r="N559" s="16">
        <f t="shared" si="136"/>
        <v>114170.2701029904</v>
      </c>
      <c r="O559" s="17">
        <f t="shared" si="137"/>
        <v>201647.67690420206</v>
      </c>
      <c r="P559" s="18">
        <f t="shared" si="138"/>
        <v>48065797.51685819</v>
      </c>
      <c r="Q559" s="19">
        <f t="shared" si="139"/>
        <v>7.5618254419697994E-2</v>
      </c>
      <c r="R559" s="20">
        <f t="shared" si="140"/>
        <v>4.1226326713454213E-2</v>
      </c>
      <c r="S559" s="20">
        <f t="shared" si="141"/>
        <v>6.5487451815639409E-3</v>
      </c>
      <c r="T559" s="20">
        <f t="shared" si="142"/>
        <v>1.2609079272213889E-2</v>
      </c>
      <c r="U559" s="20">
        <f t="shared" si="143"/>
        <v>8.6602702374177526E-2</v>
      </c>
      <c r="V559" s="21">
        <f t="shared" si="144"/>
        <v>408219024.87636375</v>
      </c>
      <c r="W559" s="21" t="str">
        <f t="shared" si="145"/>
        <v/>
      </c>
      <c r="X559" s="19" t="str">
        <f t="shared" si="146"/>
        <v/>
      </c>
      <c r="Y559" s="17" t="str">
        <f t="shared" si="147"/>
        <v/>
      </c>
      <c r="Z559" s="17" t="str">
        <f t="shared" si="148"/>
        <v/>
      </c>
      <c r="AA559" s="20">
        <f t="shared" si="149"/>
        <v>3.7115641451661657E-2</v>
      </c>
      <c r="AB559" s="17" t="str">
        <f t="shared" si="150"/>
        <v/>
      </c>
      <c r="AC559" s="18" t="str">
        <f t="shared" si="151"/>
        <v/>
      </c>
      <c r="AD559" s="19" t="str">
        <f t="shared" si="152"/>
        <v/>
      </c>
    </row>
    <row r="560" spans="1:30" x14ac:dyDescent="0.25">
      <c r="A560" s="8">
        <v>709</v>
      </c>
      <c r="B560" s="9">
        <v>45635</v>
      </c>
      <c r="C560" s="10">
        <v>2.041666666666667</v>
      </c>
      <c r="D560" s="11">
        <v>156938.2127575347</v>
      </c>
      <c r="E560" s="11">
        <v>21120.051972461992</v>
      </c>
      <c r="F560" s="11">
        <v>46338.013162450938</v>
      </c>
      <c r="G560" s="11">
        <v>43281.889999730003</v>
      </c>
      <c r="H560" s="12">
        <v>4.113835211437486E-2</v>
      </c>
      <c r="I560" s="13">
        <v>1412</v>
      </c>
      <c r="J560" s="13">
        <v>1250137</v>
      </c>
      <c r="K560" s="12">
        <v>6.8783781854504247E-2</v>
      </c>
      <c r="L560" s="14">
        <v>227.1418402777779</v>
      </c>
      <c r="M560" s="15"/>
      <c r="N560" s="16">
        <f t="shared" si="136"/>
        <v>113656.32275780469</v>
      </c>
      <c r="O560" s="17">
        <f t="shared" si="137"/>
        <v>224396.2778924476</v>
      </c>
      <c r="P560" s="18">
        <f t="shared" si="138"/>
        <v>50969783.511974201</v>
      </c>
      <c r="Q560" s="19">
        <f t="shared" si="139"/>
        <v>9.4119439817913389E-2</v>
      </c>
      <c r="R560" s="20">
        <f t="shared" si="140"/>
        <v>4.113835211437486E-2</v>
      </c>
      <c r="S560" s="20">
        <f t="shared" si="141"/>
        <v>9.2566177612461182E-3</v>
      </c>
      <c r="T560" s="20">
        <f t="shared" si="142"/>
        <v>2.0309290726162849E-2</v>
      </c>
      <c r="U560" s="20">
        <f t="shared" si="143"/>
        <v>9.834969034191321E-2</v>
      </c>
      <c r="V560" s="21">
        <f t="shared" si="144"/>
        <v>408176538.47013026</v>
      </c>
      <c r="W560" s="21" t="str">
        <f t="shared" si="145"/>
        <v/>
      </c>
      <c r="X560" s="19" t="str">
        <f t="shared" si="146"/>
        <v/>
      </c>
      <c r="Y560" s="17" t="str">
        <f t="shared" si="147"/>
        <v/>
      </c>
      <c r="Z560" s="17" t="str">
        <f t="shared" si="148"/>
        <v/>
      </c>
      <c r="AA560" s="20">
        <f t="shared" si="149"/>
        <v>3.7066130402955665E-2</v>
      </c>
      <c r="AB560" s="17" t="str">
        <f t="shared" si="150"/>
        <v/>
      </c>
      <c r="AC560" s="18" t="str">
        <f t="shared" si="151"/>
        <v/>
      </c>
      <c r="AD560" s="19" t="str">
        <f t="shared" si="152"/>
        <v/>
      </c>
    </row>
    <row r="561" spans="1:30" x14ac:dyDescent="0.25">
      <c r="A561" s="8">
        <v>710</v>
      </c>
      <c r="B561" s="9">
        <v>45637</v>
      </c>
      <c r="C561" s="10">
        <v>2.083333333333333</v>
      </c>
      <c r="D561" s="11">
        <v>156834.7257555548</v>
      </c>
      <c r="E561" s="11">
        <v>22648.760804418998</v>
      </c>
      <c r="F561" s="11">
        <v>52661.681910824773</v>
      </c>
      <c r="G561" s="11">
        <v>43016.546567454003</v>
      </c>
      <c r="H561" s="12">
        <v>4.1006978254139938E-2</v>
      </c>
      <c r="I561" s="13">
        <v>1418</v>
      </c>
      <c r="J561" s="13">
        <v>1241388</v>
      </c>
      <c r="K561" s="12">
        <v>6.7382827672120227E-2</v>
      </c>
      <c r="L561" s="14">
        <v>223.47447916666579</v>
      </c>
      <c r="M561" s="15"/>
      <c r="N561" s="16">
        <f t="shared" si="136"/>
        <v>113818.1791881008</v>
      </c>
      <c r="O561" s="17">
        <f t="shared" si="137"/>
        <v>232145.16847079858</v>
      </c>
      <c r="P561" s="18">
        <f t="shared" si="138"/>
        <v>51878520.615069598</v>
      </c>
      <c r="Q561" s="19">
        <f t="shared" si="139"/>
        <v>9.7562921311747972E-2</v>
      </c>
      <c r="R561" s="20">
        <f t="shared" si="140"/>
        <v>4.1006978254139938E-2</v>
      </c>
      <c r="S561" s="20">
        <f t="shared" si="141"/>
        <v>9.7308650167814217E-3</v>
      </c>
      <c r="T561" s="20">
        <f t="shared" si="142"/>
        <v>2.2625684586281336E-2</v>
      </c>
      <c r="U561" s="20">
        <f t="shared" si="143"/>
        <v>9.9739377275182978E-2</v>
      </c>
      <c r="V561" s="21">
        <f t="shared" si="144"/>
        <v>408060407.51597166</v>
      </c>
      <c r="W561" s="21" t="str">
        <f t="shared" si="145"/>
        <v/>
      </c>
      <c r="X561" s="19" t="str">
        <f t="shared" si="146"/>
        <v/>
      </c>
      <c r="Y561" s="17" t="str">
        <f t="shared" si="147"/>
        <v/>
      </c>
      <c r="Z561" s="17" t="str">
        <f t="shared" si="148"/>
        <v/>
      </c>
      <c r="AA561" s="20">
        <f t="shared" si="149"/>
        <v>3.7033159734878987E-2</v>
      </c>
      <c r="AB561" s="17" t="str">
        <f t="shared" si="150"/>
        <v/>
      </c>
      <c r="AC561" s="18" t="str">
        <f t="shared" si="151"/>
        <v/>
      </c>
      <c r="AD561" s="19" t="str">
        <f t="shared" si="152"/>
        <v/>
      </c>
    </row>
    <row r="562" spans="1:30" x14ac:dyDescent="0.25">
      <c r="A562" s="8">
        <v>711</v>
      </c>
      <c r="B562" s="9">
        <v>45639</v>
      </c>
      <c r="C562" s="10">
        <v>2.083333333333333</v>
      </c>
      <c r="D562" s="11">
        <v>156730.86518275831</v>
      </c>
      <c r="E562" s="11">
        <v>19957.315491677</v>
      </c>
      <c r="F562" s="11">
        <v>46843.478213199407</v>
      </c>
      <c r="G562" s="11">
        <v>43255.328164049999</v>
      </c>
      <c r="H562" s="12">
        <v>4.1214230094495083E-2</v>
      </c>
      <c r="I562" s="13">
        <v>1422</v>
      </c>
      <c r="J562" s="13">
        <v>1255099</v>
      </c>
      <c r="K562" s="12">
        <v>6.7286240936026198E-2</v>
      </c>
      <c r="L562" s="14">
        <v>224.76947916666651</v>
      </c>
      <c r="M562" s="15"/>
      <c r="N562" s="16">
        <f t="shared" si="136"/>
        <v>113475.5370187083</v>
      </c>
      <c r="O562" s="17">
        <f t="shared" si="137"/>
        <v>223531.65888763472</v>
      </c>
      <c r="P562" s="18">
        <f t="shared" si="138"/>
        <v>50243094.545434617</v>
      </c>
      <c r="Q562" s="19">
        <f t="shared" si="139"/>
        <v>8.9281829656662537E-2</v>
      </c>
      <c r="R562" s="20">
        <f t="shared" si="140"/>
        <v>4.1214230094495083E-2</v>
      </c>
      <c r="S562" s="20">
        <f t="shared" si="141"/>
        <v>8.5678895286095281E-3</v>
      </c>
      <c r="T562" s="20">
        <f t="shared" si="142"/>
        <v>2.0110407466069208E-2</v>
      </c>
      <c r="U562" s="20">
        <f t="shared" si="143"/>
        <v>9.5964537930704932E-2</v>
      </c>
      <c r="V562" s="21">
        <f t="shared" si="144"/>
        <v>408375544.56291479</v>
      </c>
      <c r="W562" s="21" t="str">
        <f t="shared" si="145"/>
        <v/>
      </c>
      <c r="X562" s="19" t="str">
        <f t="shared" si="146"/>
        <v/>
      </c>
      <c r="Y562" s="17" t="str">
        <f t="shared" si="147"/>
        <v/>
      </c>
      <c r="Z562" s="17" t="str">
        <f t="shared" si="148"/>
        <v/>
      </c>
      <c r="AA562" s="20">
        <f t="shared" si="149"/>
        <v>3.700021839451851E-2</v>
      </c>
      <c r="AB562" s="17" t="str">
        <f t="shared" si="150"/>
        <v/>
      </c>
      <c r="AC562" s="18" t="str">
        <f t="shared" si="151"/>
        <v/>
      </c>
      <c r="AD562" s="19" t="str">
        <f t="shared" si="152"/>
        <v/>
      </c>
    </row>
    <row r="563" spans="1:30" x14ac:dyDescent="0.25">
      <c r="A563" s="8">
        <v>712</v>
      </c>
      <c r="B563" s="9">
        <v>45641</v>
      </c>
      <c r="C563" s="10">
        <v>2.083333333333333</v>
      </c>
      <c r="D563" s="11">
        <v>156627.75205548201</v>
      </c>
      <c r="E563" s="11">
        <v>16688.916422512</v>
      </c>
      <c r="F563" s="11">
        <v>36963.669806440557</v>
      </c>
      <c r="G563" s="11">
        <v>42693.495252727</v>
      </c>
      <c r="H563" s="12">
        <v>4.0919126442657133E-2</v>
      </c>
      <c r="I563" s="13">
        <v>1422</v>
      </c>
      <c r="J563" s="13">
        <v>1250235</v>
      </c>
      <c r="K563" s="12">
        <v>6.7247587256003105E-2</v>
      </c>
      <c r="L563" s="14">
        <v>219.86253472222251</v>
      </c>
      <c r="M563" s="15"/>
      <c r="N563" s="16">
        <f t="shared" si="136"/>
        <v>113934.256802755</v>
      </c>
      <c r="O563" s="17">
        <f t="shared" si="137"/>
        <v>210280.33828443458</v>
      </c>
      <c r="P563" s="18">
        <f t="shared" si="138"/>
        <v>46232768.17746219</v>
      </c>
      <c r="Q563" s="19">
        <f t="shared" si="139"/>
        <v>7.9365082625736633E-2</v>
      </c>
      <c r="R563" s="20">
        <f t="shared" si="140"/>
        <v>4.0919126442657133E-2</v>
      </c>
      <c r="S563" s="20">
        <f t="shared" si="141"/>
        <v>7.1653289318324128E-3</v>
      </c>
      <c r="T563" s="20">
        <f t="shared" si="142"/>
        <v>1.5870224644034904E-2</v>
      </c>
      <c r="U563" s="20">
        <f t="shared" si="143"/>
        <v>9.0283140831870418E-2</v>
      </c>
      <c r="V563" s="21">
        <f t="shared" si="144"/>
        <v>408341452.99266171</v>
      </c>
      <c r="W563" s="21" t="str">
        <f t="shared" si="145"/>
        <v/>
      </c>
      <c r="X563" s="19" t="str">
        <f t="shared" si="146"/>
        <v/>
      </c>
      <c r="Y563" s="17" t="str">
        <f t="shared" si="147"/>
        <v/>
      </c>
      <c r="Z563" s="17" t="str">
        <f t="shared" si="148"/>
        <v/>
      </c>
      <c r="AA563" s="20">
        <f t="shared" si="149"/>
        <v>3.6967306355786975E-2</v>
      </c>
      <c r="AB563" s="17" t="str">
        <f t="shared" si="150"/>
        <v/>
      </c>
      <c r="AC563" s="18" t="str">
        <f t="shared" si="151"/>
        <v/>
      </c>
      <c r="AD563" s="19" t="str">
        <f t="shared" si="152"/>
        <v/>
      </c>
    </row>
    <row r="564" spans="1:30" x14ac:dyDescent="0.25">
      <c r="A564" s="8">
        <v>713</v>
      </c>
      <c r="B564" s="9">
        <v>45643</v>
      </c>
      <c r="C564" s="10">
        <v>2.041666666666667</v>
      </c>
      <c r="D564" s="11">
        <v>156525.537829354</v>
      </c>
      <c r="E564" s="11">
        <v>24476.283552404009</v>
      </c>
      <c r="F564" s="11">
        <v>48328.881712832132</v>
      </c>
      <c r="G564" s="11">
        <v>42683.464737426999</v>
      </c>
      <c r="H564" s="12">
        <v>4.0724969732831122E-2</v>
      </c>
      <c r="I564" s="13">
        <v>1430</v>
      </c>
      <c r="J564" s="13">
        <v>1255460</v>
      </c>
      <c r="K564" s="12">
        <v>6.8646803263143388E-2</v>
      </c>
      <c r="L564" s="14">
        <v>220.71284722222211</v>
      </c>
      <c r="M564" s="15"/>
      <c r="N564" s="16">
        <f t="shared" si="136"/>
        <v>113842.073091927</v>
      </c>
      <c r="O564" s="17">
        <f t="shared" si="137"/>
        <v>229330.70309459014</v>
      </c>
      <c r="P564" s="18">
        <f t="shared" si="138"/>
        <v>50616232.435481049</v>
      </c>
      <c r="Q564" s="19">
        <f t="shared" si="139"/>
        <v>0.10672920469052274</v>
      </c>
      <c r="R564" s="20">
        <f t="shared" si="140"/>
        <v>4.0724969732831122E-2</v>
      </c>
      <c r="S564" s="20">
        <f t="shared" si="141"/>
        <v>1.0734469562829963E-2</v>
      </c>
      <c r="T564" s="20">
        <f t="shared" si="142"/>
        <v>2.1195411821458988E-2</v>
      </c>
      <c r="U564" s="20">
        <f t="shared" si="143"/>
        <v>0.10057668464743233</v>
      </c>
      <c r="V564" s="21">
        <f t="shared" si="144"/>
        <v>407915561.20185262</v>
      </c>
      <c r="W564" s="21" t="str">
        <f t="shared" si="145"/>
        <v/>
      </c>
      <c r="X564" s="19" t="str">
        <f t="shared" si="146"/>
        <v/>
      </c>
      <c r="Y564" s="17" t="str">
        <f t="shared" si="147"/>
        <v/>
      </c>
      <c r="Z564" s="17" t="str">
        <f t="shared" si="148"/>
        <v/>
      </c>
      <c r="AA564" s="20">
        <f t="shared" si="149"/>
        <v>3.6934423592620294E-2</v>
      </c>
      <c r="AB564" s="17" t="str">
        <f t="shared" si="150"/>
        <v/>
      </c>
      <c r="AC564" s="18" t="str">
        <f t="shared" si="151"/>
        <v/>
      </c>
      <c r="AD564" s="19" t="str">
        <f t="shared" si="152"/>
        <v/>
      </c>
    </row>
    <row r="565" spans="1:30" x14ac:dyDescent="0.25">
      <c r="A565" s="8">
        <v>714</v>
      </c>
      <c r="B565" s="9">
        <v>45645</v>
      </c>
      <c r="C565" s="10">
        <v>2.083333333333333</v>
      </c>
      <c r="D565" s="11">
        <v>156421.29099813939</v>
      </c>
      <c r="E565" s="11">
        <v>22243.438899824989</v>
      </c>
      <c r="F565" s="11">
        <v>52182.601474377487</v>
      </c>
      <c r="G565" s="11">
        <v>42627.008815624999</v>
      </c>
      <c r="H565" s="12">
        <v>4.056114616524497E-2</v>
      </c>
      <c r="I565" s="13">
        <v>1429</v>
      </c>
      <c r="J565" s="13">
        <v>1246418</v>
      </c>
      <c r="K565" s="12">
        <v>6.7304105584758717E-2</v>
      </c>
      <c r="L565" s="14">
        <v>204.3601388888884</v>
      </c>
      <c r="M565" s="15"/>
      <c r="N565" s="16">
        <f t="shared" si="136"/>
        <v>113794.28218251439</v>
      </c>
      <c r="O565" s="17">
        <f t="shared" si="137"/>
        <v>230847.33137234184</v>
      </c>
      <c r="P565" s="18">
        <f t="shared" si="138"/>
        <v>47175992.70138102</v>
      </c>
      <c r="Q565" s="19">
        <f t="shared" si="139"/>
        <v>9.6355625025388567E-2</v>
      </c>
      <c r="R565" s="20">
        <f t="shared" si="140"/>
        <v>4.056114616524497E-2</v>
      </c>
      <c r="S565" s="20">
        <f t="shared" si="141"/>
        <v>9.5707863726796488E-3</v>
      </c>
      <c r="T565" s="20">
        <f t="shared" si="142"/>
        <v>2.2452847031934189E-2</v>
      </c>
      <c r="U565" s="20">
        <f t="shared" si="143"/>
        <v>9.9327738989372555E-2</v>
      </c>
      <c r="V565" s="21">
        <f t="shared" si="144"/>
        <v>407460741.05773461</v>
      </c>
      <c r="W565" s="21" t="str">
        <f t="shared" si="145"/>
        <v/>
      </c>
      <c r="X565" s="19" t="str">
        <f t="shared" si="146"/>
        <v/>
      </c>
      <c r="Y565" s="17" t="str">
        <f t="shared" si="147"/>
        <v/>
      </c>
      <c r="Z565" s="17" t="str">
        <f t="shared" si="148"/>
        <v/>
      </c>
      <c r="AA565" s="20">
        <f t="shared" si="149"/>
        <v>3.690157007897759E-2</v>
      </c>
      <c r="AB565" s="17" t="str">
        <f t="shared" si="150"/>
        <v/>
      </c>
      <c r="AC565" s="18" t="str">
        <f t="shared" si="151"/>
        <v/>
      </c>
      <c r="AD565" s="19" t="str">
        <f t="shared" si="152"/>
        <v/>
      </c>
    </row>
    <row r="566" spans="1:30" x14ac:dyDescent="0.25">
      <c r="A566" s="8">
        <v>715</v>
      </c>
      <c r="B566" s="9">
        <v>45647</v>
      </c>
      <c r="C566" s="10">
        <v>2.041666666666667</v>
      </c>
      <c r="D566" s="11">
        <v>156317.66946354261</v>
      </c>
      <c r="E566" s="11">
        <v>17601.739289069999</v>
      </c>
      <c r="F566" s="11">
        <v>37709.924168894468</v>
      </c>
      <c r="G566" s="11">
        <v>42715.458074718998</v>
      </c>
      <c r="H566" s="12">
        <v>4.058898577337746E-2</v>
      </c>
      <c r="I566" s="13">
        <v>1430</v>
      </c>
      <c r="J566" s="13">
        <v>1260804</v>
      </c>
      <c r="K566" s="12">
        <v>6.8720558859375655E-2</v>
      </c>
      <c r="L566" s="14">
        <v>189.9444444444446</v>
      </c>
      <c r="M566" s="15"/>
      <c r="N566" s="16">
        <f t="shared" si="136"/>
        <v>113602.21138882361</v>
      </c>
      <c r="O566" s="17">
        <f t="shared" si="137"/>
        <v>211629.33292150707</v>
      </c>
      <c r="P566" s="18">
        <f t="shared" si="138"/>
        <v>40197816.069924071</v>
      </c>
      <c r="Q566" s="19">
        <f t="shared" si="139"/>
        <v>8.3172493368858527E-2</v>
      </c>
      <c r="R566" s="20">
        <f t="shared" si="140"/>
        <v>4.058898577337746E-2</v>
      </c>
      <c r="S566" s="20">
        <f t="shared" si="141"/>
        <v>7.7380974588034694E-3</v>
      </c>
      <c r="T566" s="20">
        <f t="shared" si="142"/>
        <v>1.6578081494718663E-2</v>
      </c>
      <c r="U566" s="20">
        <f t="shared" si="143"/>
        <v>9.3036737812897785E-2</v>
      </c>
      <c r="V566" s="21">
        <f t="shared" si="144"/>
        <v>406936621.52254897</v>
      </c>
      <c r="W566" s="21" t="str">
        <f t="shared" si="145"/>
        <v/>
      </c>
      <c r="X566" s="19" t="str">
        <f t="shared" si="146"/>
        <v/>
      </c>
      <c r="Y566" s="17" t="str">
        <f t="shared" si="147"/>
        <v/>
      </c>
      <c r="Z566" s="17" t="str">
        <f t="shared" si="148"/>
        <v/>
      </c>
      <c r="AA566" s="20">
        <f t="shared" si="149"/>
        <v>3.6868745788841133E-2</v>
      </c>
      <c r="AB566" s="17" t="str">
        <f t="shared" si="150"/>
        <v/>
      </c>
      <c r="AC566" s="18" t="str">
        <f t="shared" si="151"/>
        <v/>
      </c>
      <c r="AD566" s="19" t="str">
        <f t="shared" si="152"/>
        <v/>
      </c>
    </row>
    <row r="567" spans="1:30" x14ac:dyDescent="0.25">
      <c r="A567" s="8">
        <v>716</v>
      </c>
      <c r="B567" s="9">
        <v>45649</v>
      </c>
      <c r="C567" s="10">
        <v>2.041666666666667</v>
      </c>
      <c r="D567" s="11">
        <v>156215.30855338709</v>
      </c>
      <c r="E567" s="11">
        <v>15139.12649185999</v>
      </c>
      <c r="F567" s="11">
        <v>30388.335435499299</v>
      </c>
      <c r="G567" s="11">
        <v>42725.533535568</v>
      </c>
      <c r="H567" s="12">
        <v>4.0555189110998993E-2</v>
      </c>
      <c r="I567" s="13">
        <v>1432</v>
      </c>
      <c r="J567" s="13">
        <v>1249493</v>
      </c>
      <c r="K567" s="12">
        <v>6.8701206754507124E-2</v>
      </c>
      <c r="L567" s="14">
        <v>184.58371527777749</v>
      </c>
      <c r="M567" s="15"/>
      <c r="N567" s="16">
        <f t="shared" si="136"/>
        <v>113489.77501781909</v>
      </c>
      <c r="O567" s="17">
        <f t="shared" si="137"/>
        <v>201742.77048074637</v>
      </c>
      <c r="P567" s="18">
        <f t="shared" si="138"/>
        <v>37238430.105768099</v>
      </c>
      <c r="Q567" s="19">
        <f t="shared" si="139"/>
        <v>7.5041729900823459E-2</v>
      </c>
      <c r="R567" s="20">
        <f t="shared" si="140"/>
        <v>4.0555189110998993E-2</v>
      </c>
      <c r="S567" s="20">
        <f t="shared" si="141"/>
        <v>6.6579662955660963E-3</v>
      </c>
      <c r="T567" s="20">
        <f t="shared" si="142"/>
        <v>1.3364345242553926E-2</v>
      </c>
      <c r="U567" s="20">
        <f t="shared" si="143"/>
        <v>8.8723518292627146E-2</v>
      </c>
      <c r="V567" s="21">
        <f t="shared" si="144"/>
        <v>406784701.66195977</v>
      </c>
      <c r="W567" s="21" t="str">
        <f t="shared" si="145"/>
        <v/>
      </c>
      <c r="X567" s="19" t="str">
        <f t="shared" si="146"/>
        <v/>
      </c>
      <c r="Y567" s="17" t="str">
        <f t="shared" si="147"/>
        <v/>
      </c>
      <c r="Z567" s="17" t="str">
        <f t="shared" si="148"/>
        <v/>
      </c>
      <c r="AA567" s="20">
        <f t="shared" si="149"/>
        <v>3.6835950696216341E-2</v>
      </c>
      <c r="AB567" s="17" t="str">
        <f t="shared" si="150"/>
        <v/>
      </c>
      <c r="AC567" s="18" t="str">
        <f t="shared" si="151"/>
        <v/>
      </c>
      <c r="AD567" s="19" t="str">
        <f t="shared" si="152"/>
        <v/>
      </c>
    </row>
    <row r="568" spans="1:30" x14ac:dyDescent="0.25">
      <c r="A568" s="8">
        <v>717</v>
      </c>
      <c r="B568" s="9">
        <v>45651</v>
      </c>
      <c r="C568" s="10">
        <v>2.041666666666667</v>
      </c>
      <c r="D568" s="11">
        <v>156113.6298659824</v>
      </c>
      <c r="E568" s="11">
        <v>17378.826680611</v>
      </c>
      <c r="F568" s="11">
        <v>39373.433228450012</v>
      </c>
      <c r="G568" s="11">
        <v>42511.071874920002</v>
      </c>
      <c r="H568" s="12">
        <v>4.0589657474490053E-2</v>
      </c>
      <c r="I568" s="13">
        <v>1437</v>
      </c>
      <c r="J568" s="13">
        <v>1245120</v>
      </c>
      <c r="K568" s="12">
        <v>6.8627168457398122E-2</v>
      </c>
      <c r="L568" s="14">
        <v>198.2426736111108</v>
      </c>
      <c r="M568" s="15"/>
      <c r="N568" s="16">
        <f t="shared" si="136"/>
        <v>113602.55799106239</v>
      </c>
      <c r="O568" s="17">
        <f t="shared" si="137"/>
        <v>212865.88977504341</v>
      </c>
      <c r="P568" s="18">
        <f t="shared" si="138"/>
        <v>42199103.109612621</v>
      </c>
      <c r="Q568" s="19">
        <f t="shared" si="139"/>
        <v>8.1642139560156576E-2</v>
      </c>
      <c r="R568" s="20">
        <f t="shared" si="140"/>
        <v>4.0589657474490053E-2</v>
      </c>
      <c r="S568" s="20">
        <f t="shared" si="141"/>
        <v>7.6396895468132352E-3</v>
      </c>
      <c r="T568" s="20">
        <f t="shared" si="142"/>
        <v>1.7308464592326721E-2</v>
      </c>
      <c r="U568" s="20">
        <f t="shared" si="143"/>
        <v>9.3575322596538085E-2</v>
      </c>
      <c r="V568" s="21">
        <f t="shared" si="144"/>
        <v>406958503.62989724</v>
      </c>
      <c r="W568" s="21" t="str">
        <f t="shared" si="145"/>
        <v/>
      </c>
      <c r="X568" s="19" t="str">
        <f t="shared" si="146"/>
        <v/>
      </c>
      <c r="Y568" s="17" t="str">
        <f t="shared" si="147"/>
        <v/>
      </c>
      <c r="Z568" s="17" t="str">
        <f t="shared" si="148"/>
        <v/>
      </c>
      <c r="AA568" s="20">
        <f t="shared" si="149"/>
        <v>3.6803184775131767E-2</v>
      </c>
      <c r="AB568" s="17" t="str">
        <f t="shared" si="150"/>
        <v/>
      </c>
      <c r="AC568" s="18" t="str">
        <f t="shared" si="151"/>
        <v/>
      </c>
      <c r="AD568" s="19" t="str">
        <f t="shared" si="152"/>
        <v/>
      </c>
    </row>
    <row r="569" spans="1:30" x14ac:dyDescent="0.25">
      <c r="A569" s="8">
        <v>718</v>
      </c>
      <c r="B569" s="9">
        <v>45653</v>
      </c>
      <c r="C569" s="10">
        <v>2.041666666666667</v>
      </c>
      <c r="D569" s="11">
        <v>156011.39025707351</v>
      </c>
      <c r="E569" s="11">
        <v>16635.09020388799</v>
      </c>
      <c r="F569" s="11">
        <v>36321.347431694587</v>
      </c>
      <c r="G569" s="11">
        <v>42708.968815086999</v>
      </c>
      <c r="H569" s="12">
        <v>4.0628726504759287E-2</v>
      </c>
      <c r="I569" s="13">
        <v>1426</v>
      </c>
      <c r="J569" s="13">
        <v>1246400</v>
      </c>
      <c r="K569" s="12">
        <v>6.844157735194388E-2</v>
      </c>
      <c r="L569" s="14">
        <v>188.13236111111109</v>
      </c>
      <c r="M569" s="15"/>
      <c r="N569" s="16">
        <f t="shared" si="136"/>
        <v>113302.42144198652</v>
      </c>
      <c r="O569" s="17">
        <f t="shared" si="137"/>
        <v>208967.82789265609</v>
      </c>
      <c r="P569" s="18">
        <f t="shared" si="138"/>
        <v>39313610.85770569</v>
      </c>
      <c r="Q569" s="19">
        <f t="shared" si="139"/>
        <v>7.9605987063392405E-2</v>
      </c>
      <c r="R569" s="20">
        <f t="shared" si="140"/>
        <v>4.0628726504759287E-2</v>
      </c>
      <c r="S569" s="20">
        <f t="shared" si="141"/>
        <v>7.2977480110260288E-3</v>
      </c>
      <c r="T569" s="20">
        <f t="shared" si="142"/>
        <v>1.5934030878623259E-2</v>
      </c>
      <c r="U569" s="20">
        <f t="shared" si="143"/>
        <v>9.1673356241593174E-2</v>
      </c>
      <c r="V569" s="21">
        <f t="shared" si="144"/>
        <v>407794799.68553621</v>
      </c>
      <c r="W569" s="21" t="str">
        <f t="shared" si="145"/>
        <v/>
      </c>
      <c r="X569" s="19" t="str">
        <f t="shared" si="146"/>
        <v/>
      </c>
      <c r="Y569" s="17" t="str">
        <f t="shared" si="147"/>
        <v/>
      </c>
      <c r="Z569" s="17" t="str">
        <f t="shared" si="148"/>
        <v/>
      </c>
      <c r="AA569" s="20">
        <f t="shared" si="149"/>
        <v>3.6770447999639043E-2</v>
      </c>
      <c r="AB569" s="17" t="str">
        <f t="shared" si="150"/>
        <v/>
      </c>
      <c r="AC569" s="18" t="str">
        <f t="shared" si="151"/>
        <v/>
      </c>
      <c r="AD569" s="19" t="str">
        <f t="shared" si="152"/>
        <v/>
      </c>
    </row>
    <row r="570" spans="1:30" x14ac:dyDescent="0.25">
      <c r="A570" s="8">
        <v>719</v>
      </c>
      <c r="B570" s="9">
        <v>45655</v>
      </c>
      <c r="C570" s="10">
        <v>2.041666666666667</v>
      </c>
      <c r="D570" s="11">
        <v>155909.37830571659</v>
      </c>
      <c r="E570" s="11">
        <v>17455.309918210001</v>
      </c>
      <c r="F570" s="11">
        <v>40446.27427351605</v>
      </c>
      <c r="G570" s="11">
        <v>44900.309926786002</v>
      </c>
      <c r="H570" s="12">
        <v>4.0770956470050808E-2</v>
      </c>
      <c r="I570" s="13">
        <v>1428</v>
      </c>
      <c r="J570" s="13">
        <v>1236048</v>
      </c>
      <c r="K570" s="12">
        <v>6.8381689955039612E-2</v>
      </c>
      <c r="L570" s="14">
        <v>194.06864583333351</v>
      </c>
      <c r="M570" s="15"/>
      <c r="N570" s="16">
        <f t="shared" si="136"/>
        <v>111009.06837893059</v>
      </c>
      <c r="O570" s="17">
        <f t="shared" si="137"/>
        <v>213810.96249744264</v>
      </c>
      <c r="P570" s="18">
        <f t="shared" si="138"/>
        <v>41494003.956200346</v>
      </c>
      <c r="Q570" s="19">
        <f t="shared" si="139"/>
        <v>8.1638984803778625E-2</v>
      </c>
      <c r="R570" s="20">
        <f t="shared" si="140"/>
        <v>4.0770956470050808E-2</v>
      </c>
      <c r="S570" s="20">
        <f t="shared" si="141"/>
        <v>7.6558806395573874E-3</v>
      </c>
      <c r="T570" s="20">
        <f t="shared" si="142"/>
        <v>1.7739693514682301E-2</v>
      </c>
      <c r="U570" s="20">
        <f t="shared" si="143"/>
        <v>9.3777264109279293E-2</v>
      </c>
      <c r="V570" s="21">
        <f t="shared" si="144"/>
        <v>407885058.33691239</v>
      </c>
      <c r="W570" s="21" t="str">
        <f t="shared" si="145"/>
        <v/>
      </c>
      <c r="X570" s="19" t="str">
        <f t="shared" si="146"/>
        <v/>
      </c>
      <c r="Y570" s="17" t="str">
        <f t="shared" si="147"/>
        <v/>
      </c>
      <c r="Z570" s="17" t="str">
        <f t="shared" si="148"/>
        <v/>
      </c>
      <c r="AA570" s="20">
        <f t="shared" si="149"/>
        <v>3.6737740343812893E-2</v>
      </c>
      <c r="AB570" s="17" t="str">
        <f t="shared" si="150"/>
        <v/>
      </c>
      <c r="AC570" s="18" t="str">
        <f t="shared" si="151"/>
        <v/>
      </c>
      <c r="AD570" s="19" t="str">
        <f t="shared" si="152"/>
        <v/>
      </c>
    </row>
    <row r="571" spans="1:30" x14ac:dyDescent="0.25">
      <c r="A571" s="8">
        <v>720</v>
      </c>
      <c r="B571" s="9">
        <v>45657</v>
      </c>
      <c r="C571" s="10">
        <v>2.041666666666667</v>
      </c>
      <c r="D571" s="11">
        <v>155807.18119553351</v>
      </c>
      <c r="E571" s="11">
        <v>18614.16091244599</v>
      </c>
      <c r="F571" s="11">
        <v>43152.576985235253</v>
      </c>
      <c r="G571" s="11">
        <v>44800.873267531002</v>
      </c>
      <c r="H571" s="12">
        <v>4.0765548900716993E-2</v>
      </c>
      <c r="I571" s="13">
        <v>1425</v>
      </c>
      <c r="J571" s="13">
        <v>1230284</v>
      </c>
      <c r="K571" s="12">
        <v>6.8277564570808733E-2</v>
      </c>
      <c r="L571" s="14">
        <v>192.7390972222224</v>
      </c>
      <c r="M571" s="15"/>
      <c r="N571" s="16">
        <f t="shared" si="136"/>
        <v>111006.30792800251</v>
      </c>
      <c r="O571" s="17">
        <f t="shared" si="137"/>
        <v>217573.91909321473</v>
      </c>
      <c r="P571" s="18">
        <f t="shared" si="138"/>
        <v>41935000.745127067</v>
      </c>
      <c r="Q571" s="19">
        <f t="shared" si="139"/>
        <v>8.5553273067031366E-2</v>
      </c>
      <c r="R571" s="20">
        <f t="shared" si="140"/>
        <v>4.0765548900716993E-2</v>
      </c>
      <c r="S571" s="20">
        <f t="shared" si="141"/>
        <v>8.1570667274698666E-3</v>
      </c>
      <c r="T571" s="20">
        <f t="shared" si="142"/>
        <v>1.8910250727202409E-2</v>
      </c>
      <c r="U571" s="20">
        <f t="shared" si="143"/>
        <v>9.5344882025481012E-2</v>
      </c>
      <c r="V571" s="21">
        <f t="shared" si="144"/>
        <v>408239323.08152056</v>
      </c>
      <c r="W571" s="21" t="str">
        <f t="shared" si="145"/>
        <v/>
      </c>
      <c r="X571" s="19" t="str">
        <f t="shared" si="146"/>
        <v/>
      </c>
      <c r="Y571" s="17" t="str">
        <f t="shared" si="147"/>
        <v/>
      </c>
      <c r="Z571" s="17" t="str">
        <f t="shared" si="148"/>
        <v/>
      </c>
      <c r="AA571" s="20">
        <f t="shared" si="149"/>
        <v>3.6705061781751112E-2</v>
      </c>
      <c r="AB571" s="17" t="str">
        <f t="shared" si="150"/>
        <v/>
      </c>
      <c r="AC571" s="18" t="str">
        <f t="shared" si="151"/>
        <v/>
      </c>
      <c r="AD571" s="19" t="str">
        <f t="shared" si="152"/>
        <v/>
      </c>
    </row>
    <row r="572" spans="1:30" x14ac:dyDescent="0.25">
      <c r="A572" s="8">
        <v>721</v>
      </c>
      <c r="B572" s="9">
        <v>45659</v>
      </c>
      <c r="C572" s="10">
        <v>2.041666666666667</v>
      </c>
      <c r="D572" s="11">
        <v>155704.71068658479</v>
      </c>
      <c r="E572" s="11">
        <v>24115.005917420011</v>
      </c>
      <c r="F572" s="11">
        <v>59646.031645049159</v>
      </c>
      <c r="G572" s="11">
        <v>43127.716021665001</v>
      </c>
      <c r="H572" s="12">
        <v>4.0174571653755167E-2</v>
      </c>
      <c r="I572" s="13">
        <v>1420</v>
      </c>
      <c r="J572" s="13">
        <v>1250793</v>
      </c>
      <c r="K572" s="12">
        <v>6.8127264465773454E-2</v>
      </c>
      <c r="L572" s="14">
        <v>204.81812500000001</v>
      </c>
      <c r="M572" s="15"/>
      <c r="N572" s="16">
        <f t="shared" si="136"/>
        <v>112576.9946649198</v>
      </c>
      <c r="O572" s="17">
        <f t="shared" si="137"/>
        <v>239465.74824905396</v>
      </c>
      <c r="P572" s="18">
        <f t="shared" si="138"/>
        <v>49046925.558093265</v>
      </c>
      <c r="Q572" s="19">
        <f t="shared" si="139"/>
        <v>0.10070336193692069</v>
      </c>
      <c r="R572" s="20">
        <f t="shared" si="140"/>
        <v>4.0174571653755167E-2</v>
      </c>
      <c r="S572" s="20">
        <f t="shared" si="141"/>
        <v>1.0551314590839241E-2</v>
      </c>
      <c r="T572" s="20">
        <f t="shared" si="142"/>
        <v>2.6097611011882259E-2</v>
      </c>
      <c r="U572" s="20">
        <f t="shared" si="143"/>
        <v>0.10477619006849495</v>
      </c>
      <c r="V572" s="21">
        <f t="shared" si="144"/>
        <v>408870885.91541153</v>
      </c>
      <c r="W572" s="21" t="str">
        <f t="shared" si="145"/>
        <v/>
      </c>
      <c r="X572" s="19" t="str">
        <f t="shared" si="146"/>
        <v/>
      </c>
      <c r="Y572" s="17" t="str">
        <f t="shared" si="147"/>
        <v/>
      </c>
      <c r="Z572" s="17" t="str">
        <f t="shared" si="148"/>
        <v/>
      </c>
      <c r="AA572" s="20">
        <f t="shared" si="149"/>
        <v>3.6672412287574521E-2</v>
      </c>
      <c r="AB572" s="17" t="str">
        <f t="shared" si="150"/>
        <v/>
      </c>
      <c r="AC572" s="18" t="str">
        <f t="shared" si="151"/>
        <v/>
      </c>
      <c r="AD572" s="19" t="str">
        <f t="shared" si="152"/>
        <v/>
      </c>
    </row>
    <row r="573" spans="1:30" x14ac:dyDescent="0.25">
      <c r="A573" s="8">
        <v>722</v>
      </c>
      <c r="B573" s="9">
        <v>45661</v>
      </c>
      <c r="C573" s="10">
        <v>2.041666666666667</v>
      </c>
      <c r="D573" s="11">
        <v>155600.82489942989</v>
      </c>
      <c r="E573" s="11">
        <v>23773.62731275801</v>
      </c>
      <c r="F573" s="11">
        <v>58273.55438669966</v>
      </c>
      <c r="G573" s="11">
        <v>43160.452483387002</v>
      </c>
      <c r="H573" s="12">
        <v>4.0089736667827523E-2</v>
      </c>
      <c r="I573" s="13">
        <v>1415</v>
      </c>
      <c r="J573" s="13">
        <v>1244067</v>
      </c>
      <c r="K573" s="12">
        <v>6.8036583453993341E-2</v>
      </c>
      <c r="L573" s="14">
        <v>216.2516319444444</v>
      </c>
      <c r="M573" s="15"/>
      <c r="N573" s="16">
        <f t="shared" si="136"/>
        <v>112440.3724160429</v>
      </c>
      <c r="O573" s="17">
        <f t="shared" si="137"/>
        <v>237648.00659888756</v>
      </c>
      <c r="P573" s="18">
        <f t="shared" si="138"/>
        <v>51391769.255353525</v>
      </c>
      <c r="Q573" s="19">
        <f t="shared" si="139"/>
        <v>0.10003714170800579</v>
      </c>
      <c r="R573" s="20">
        <f t="shared" si="140"/>
        <v>4.0089736667827523E-2</v>
      </c>
      <c r="S573" s="20">
        <f t="shared" si="141"/>
        <v>1.0395037299538905E-2</v>
      </c>
      <c r="T573" s="20">
        <f t="shared" si="142"/>
        <v>2.548015763254503E-2</v>
      </c>
      <c r="U573" s="20">
        <f t="shared" si="143"/>
        <v>0.10391177838607728</v>
      </c>
      <c r="V573" s="21">
        <f t="shared" si="144"/>
        <v>409142678.96222943</v>
      </c>
      <c r="W573" s="21" t="str">
        <f t="shared" si="145"/>
        <v/>
      </c>
      <c r="X573" s="19" t="str">
        <f t="shared" si="146"/>
        <v/>
      </c>
      <c r="Y573" s="17" t="str">
        <f t="shared" si="147"/>
        <v/>
      </c>
      <c r="Z573" s="17" t="str">
        <f t="shared" si="148"/>
        <v/>
      </c>
      <c r="AA573" s="20">
        <f t="shared" si="149"/>
        <v>3.6639791835426955E-2</v>
      </c>
      <c r="AB573" s="17" t="str">
        <f t="shared" si="150"/>
        <v/>
      </c>
      <c r="AC573" s="18" t="str">
        <f t="shared" si="151"/>
        <v/>
      </c>
      <c r="AD573" s="19" t="str">
        <f t="shared" si="152"/>
        <v/>
      </c>
    </row>
    <row r="574" spans="1:30" x14ac:dyDescent="0.25">
      <c r="A574" s="8">
        <v>723</v>
      </c>
      <c r="B574" s="9">
        <v>45663</v>
      </c>
      <c r="C574" s="10">
        <v>2.041666666666667</v>
      </c>
      <c r="D574" s="11">
        <v>155497.06327835601</v>
      </c>
      <c r="E574" s="11">
        <v>27358.919957331022</v>
      </c>
      <c r="F574" s="11">
        <v>65201.771860270397</v>
      </c>
      <c r="G574" s="11">
        <v>43241.010418883001</v>
      </c>
      <c r="H574" s="12">
        <v>4.0153021338279388E-2</v>
      </c>
      <c r="I574" s="13">
        <v>1409</v>
      </c>
      <c r="J574" s="13">
        <v>1258274</v>
      </c>
      <c r="K574" s="12">
        <v>6.7904772280855924E-2</v>
      </c>
      <c r="L574" s="14">
        <v>216.92371527777789</v>
      </c>
      <c r="M574" s="15"/>
      <c r="N574" s="16">
        <f t="shared" si="136"/>
        <v>112256.05285947301</v>
      </c>
      <c r="O574" s="17">
        <f t="shared" si="137"/>
        <v>248057.75509595743</v>
      </c>
      <c r="P574" s="18">
        <f t="shared" si="138"/>
        <v>53809609.838880226</v>
      </c>
      <c r="Q574" s="19">
        <f t="shared" si="139"/>
        <v>0.11029254032693972</v>
      </c>
      <c r="R574" s="20">
        <f t="shared" si="140"/>
        <v>4.0153021338279388E-2</v>
      </c>
      <c r="S574" s="20">
        <f t="shared" si="141"/>
        <v>1.1947500424667629E-2</v>
      </c>
      <c r="T574" s="20">
        <f t="shared" si="142"/>
        <v>2.8473280312402247E-2</v>
      </c>
      <c r="U574" s="20">
        <f t="shared" si="143"/>
        <v>0.1083255530179258</v>
      </c>
      <c r="V574" s="21">
        <f t="shared" si="144"/>
        <v>409663508.83993828</v>
      </c>
      <c r="W574" s="21" t="str">
        <f t="shared" si="145"/>
        <v/>
      </c>
      <c r="X574" s="19" t="str">
        <f t="shared" si="146"/>
        <v/>
      </c>
      <c r="Y574" s="17" t="str">
        <f t="shared" si="147"/>
        <v/>
      </c>
      <c r="Z574" s="17" t="str">
        <f t="shared" si="148"/>
        <v/>
      </c>
      <c r="AA574" s="20">
        <f t="shared" si="149"/>
        <v>3.6607200399475279E-2</v>
      </c>
      <c r="AB574" s="17" t="str">
        <f t="shared" si="150"/>
        <v/>
      </c>
      <c r="AC574" s="18" t="str">
        <f t="shared" si="151"/>
        <v/>
      </c>
      <c r="AD574" s="19" t="str">
        <f t="shared" si="152"/>
        <v/>
      </c>
    </row>
    <row r="575" spans="1:30" x14ac:dyDescent="0.25">
      <c r="A575" s="8">
        <v>724</v>
      </c>
      <c r="B575" s="9">
        <v>45666</v>
      </c>
      <c r="C575" s="10">
        <v>2.041666666666667</v>
      </c>
      <c r="D575" s="11">
        <v>155392.3943286284</v>
      </c>
      <c r="E575" s="11">
        <v>24571.130969403031</v>
      </c>
      <c r="F575" s="11">
        <v>67473.176126560415</v>
      </c>
      <c r="G575" s="11">
        <v>43109.386166794</v>
      </c>
      <c r="H575" s="12">
        <v>4.0134014934103401E-2</v>
      </c>
      <c r="I575" s="13">
        <v>1415</v>
      </c>
      <c r="J575" s="13">
        <v>1232565</v>
      </c>
      <c r="K575" s="12">
        <v>6.7836195722103865E-2</v>
      </c>
      <c r="L575" s="14">
        <v>191.10854166666721</v>
      </c>
      <c r="M575" s="15"/>
      <c r="N575" s="16">
        <f t="shared" si="136"/>
        <v>112283.00816183441</v>
      </c>
      <c r="O575" s="17">
        <f t="shared" si="137"/>
        <v>247436.70142459183</v>
      </c>
      <c r="P575" s="18">
        <f t="shared" si="138"/>
        <v>47287267.164064303</v>
      </c>
      <c r="Q575" s="19">
        <f t="shared" si="139"/>
        <v>9.9302693690698371E-2</v>
      </c>
      <c r="R575" s="20">
        <f t="shared" si="140"/>
        <v>4.0134014934103401E-2</v>
      </c>
      <c r="S575" s="20">
        <f t="shared" si="141"/>
        <v>1.0726471245618679E-2</v>
      </c>
      <c r="T575" s="20">
        <f t="shared" si="142"/>
        <v>2.9455261317574546E-2</v>
      </c>
      <c r="U575" s="20">
        <f t="shared" si="143"/>
        <v>0.10801792828529709</v>
      </c>
      <c r="V575" s="21">
        <f t="shared" si="144"/>
        <v>409801609.92427307</v>
      </c>
      <c r="W575" s="21" t="str">
        <f t="shared" si="145"/>
        <v/>
      </c>
      <c r="X575" s="19" t="str">
        <f t="shared" si="146"/>
        <v/>
      </c>
      <c r="Y575" s="17" t="str">
        <f t="shared" si="147"/>
        <v/>
      </c>
      <c r="Z575" s="17" t="str">
        <f t="shared" si="148"/>
        <v/>
      </c>
      <c r="AA575" s="20">
        <f t="shared" si="149"/>
        <v>3.6558367594461551E-2</v>
      </c>
      <c r="AB575" s="17" t="str">
        <f t="shared" si="150"/>
        <v/>
      </c>
      <c r="AC575" s="18" t="str">
        <f t="shared" si="151"/>
        <v/>
      </c>
      <c r="AD575" s="19" t="str">
        <f t="shared" si="152"/>
        <v/>
      </c>
    </row>
    <row r="576" spans="1:30" x14ac:dyDescent="0.25">
      <c r="A576" s="8">
        <v>725</v>
      </c>
      <c r="B576" s="9">
        <v>45668</v>
      </c>
      <c r="C576" s="10">
        <v>2</v>
      </c>
      <c r="D576" s="11">
        <v>155288.49259141221</v>
      </c>
      <c r="E576" s="11">
        <v>23594.760911826001</v>
      </c>
      <c r="F576" s="11">
        <v>60056.057969117137</v>
      </c>
      <c r="G576" s="11">
        <v>42951.398138926001</v>
      </c>
      <c r="H576" s="12">
        <v>4.0003885681410653E-2</v>
      </c>
      <c r="I576" s="13">
        <v>1417</v>
      </c>
      <c r="J576" s="13">
        <v>1210801</v>
      </c>
      <c r="K576" s="12">
        <v>6.9281308219889981E-2</v>
      </c>
      <c r="L576" s="14">
        <v>187.13968750000049</v>
      </c>
      <c r="M576" s="15"/>
      <c r="N576" s="16">
        <f t="shared" si="136"/>
        <v>112337.09445248621</v>
      </c>
      <c r="O576" s="17">
        <f t="shared" si="137"/>
        <v>238939.31147235533</v>
      </c>
      <c r="P576" s="18">
        <f t="shared" si="138"/>
        <v>44715028.08040186</v>
      </c>
      <c r="Q576" s="19">
        <f t="shared" si="139"/>
        <v>9.8747923757015826E-2</v>
      </c>
      <c r="R576" s="20">
        <f t="shared" si="140"/>
        <v>4.0003885681410653E-2</v>
      </c>
      <c r="S576" s="20">
        <f t="shared" si="141"/>
        <v>1.0526703401055685E-2</v>
      </c>
      <c r="T576" s="20">
        <f t="shared" si="142"/>
        <v>2.6793757819374205E-2</v>
      </c>
      <c r="U576" s="20">
        <f t="shared" si="143"/>
        <v>0.10660176944031988</v>
      </c>
      <c r="V576" s="21">
        <f t="shared" si="144"/>
        <v>409339281.95317918</v>
      </c>
      <c r="W576" s="21" t="str">
        <f t="shared" si="145"/>
        <v/>
      </c>
      <c r="X576" s="19" t="str">
        <f t="shared" si="146"/>
        <v/>
      </c>
      <c r="Y576" s="17" t="str">
        <f t="shared" si="147"/>
        <v/>
      </c>
      <c r="Z576" s="17" t="str">
        <f t="shared" si="148"/>
        <v/>
      </c>
      <c r="AA576" s="20">
        <f t="shared" si="149"/>
        <v>3.6525848586130269E-2</v>
      </c>
      <c r="AB576" s="17" t="str">
        <f t="shared" si="150"/>
        <v/>
      </c>
      <c r="AC576" s="18" t="str">
        <f t="shared" si="151"/>
        <v/>
      </c>
      <c r="AD576" s="19" t="str">
        <f t="shared" si="152"/>
        <v/>
      </c>
    </row>
    <row r="577" spans="1:30" x14ac:dyDescent="0.25">
      <c r="A577" s="8">
        <v>726</v>
      </c>
      <c r="B577" s="9">
        <v>45670</v>
      </c>
      <c r="C577" s="10">
        <v>2</v>
      </c>
      <c r="D577" s="11">
        <v>155184.88130690169</v>
      </c>
      <c r="E577" s="11">
        <v>21296.823375098</v>
      </c>
      <c r="F577" s="11">
        <v>57726.497565831291</v>
      </c>
      <c r="G577" s="11">
        <v>43033.382020397003</v>
      </c>
      <c r="H577" s="12">
        <v>4.0004035530662091E-2</v>
      </c>
      <c r="I577" s="13">
        <v>1422</v>
      </c>
      <c r="J577" s="13">
        <v>1197029</v>
      </c>
      <c r="K577" s="12">
        <v>6.9413129538907034E-2</v>
      </c>
      <c r="L577" s="14">
        <v>181.1496527777781</v>
      </c>
      <c r="M577" s="15"/>
      <c r="N577" s="16">
        <f t="shared" si="136"/>
        <v>112151.4992865047</v>
      </c>
      <c r="O577" s="17">
        <f t="shared" si="137"/>
        <v>234208.20224783098</v>
      </c>
      <c r="P577" s="18">
        <f t="shared" si="138"/>
        <v>42426734.514902212</v>
      </c>
      <c r="Q577" s="19">
        <f t="shared" si="139"/>
        <v>9.0931159415853599E-2</v>
      </c>
      <c r="R577" s="20">
        <f t="shared" si="140"/>
        <v>4.0004035530662091E-2</v>
      </c>
      <c r="S577" s="20">
        <f t="shared" si="141"/>
        <v>9.5259225464069484E-3</v>
      </c>
      <c r="T577" s="20">
        <f t="shared" si="142"/>
        <v>2.5820665129356532E-2</v>
      </c>
      <c r="U577" s="20">
        <f t="shared" si="143"/>
        <v>0.10475971721467052</v>
      </c>
      <c r="V577" s="21">
        <f t="shared" si="144"/>
        <v>408289312.65500128</v>
      </c>
      <c r="W577" s="21" t="str">
        <f t="shared" si="145"/>
        <v/>
      </c>
      <c r="X577" s="19" t="str">
        <f t="shared" si="146"/>
        <v/>
      </c>
      <c r="Y577" s="17" t="str">
        <f t="shared" si="147"/>
        <v/>
      </c>
      <c r="Z577" s="17" t="str">
        <f t="shared" si="148"/>
        <v/>
      </c>
      <c r="AA577" s="20">
        <f t="shared" si="149"/>
        <v>3.6493358503759642E-2</v>
      </c>
      <c r="AB577" s="17" t="str">
        <f t="shared" si="150"/>
        <v/>
      </c>
      <c r="AC577" s="18" t="str">
        <f t="shared" si="151"/>
        <v/>
      </c>
      <c r="AD577" s="19" t="str">
        <f t="shared" si="152"/>
        <v/>
      </c>
    </row>
    <row r="578" spans="1:30" x14ac:dyDescent="0.25">
      <c r="A578" s="8">
        <v>727</v>
      </c>
      <c r="B578" s="9">
        <v>45672</v>
      </c>
      <c r="C578" s="10">
        <v>2</v>
      </c>
      <c r="D578" s="11">
        <v>155081.906379038</v>
      </c>
      <c r="E578" s="11">
        <v>22041.303394623981</v>
      </c>
      <c r="F578" s="11">
        <v>61424.436036534978</v>
      </c>
      <c r="G578" s="11">
        <v>42974.016882609001</v>
      </c>
      <c r="H578" s="12">
        <v>3.9922919441348619E-2</v>
      </c>
      <c r="I578" s="13">
        <v>1419</v>
      </c>
      <c r="J578" s="13">
        <v>1216599</v>
      </c>
      <c r="K578" s="12">
        <v>6.9345632560440337E-2</v>
      </c>
      <c r="L578" s="14">
        <v>193.4476388888892</v>
      </c>
      <c r="M578" s="15"/>
      <c r="N578" s="16">
        <f t="shared" ref="N578:N641" si="153">D578-G578</f>
        <v>112107.88949642901</v>
      </c>
      <c r="O578" s="17">
        <f t="shared" ref="O578:O641" si="154">D578+E578+F578</f>
        <v>238547.64581019696</v>
      </c>
      <c r="P578" s="18">
        <f t="shared" ref="P578:P641" si="155">O578*L578</f>
        <v>46146478.844485626</v>
      </c>
      <c r="Q578" s="19">
        <f t="shared" ref="Q578:Q641" si="156">IF(O578&gt;0,E578/O578,"")</f>
        <v>9.2397907846725871E-2</v>
      </c>
      <c r="R578" s="20">
        <f t="shared" ref="R578:R641" si="157">IF(H578&lt;&gt;"",H578,IF(D578&gt;0,G578/D578,""))</f>
        <v>3.9922919441348619E-2</v>
      </c>
      <c r="S578" s="20">
        <f t="shared" ref="S578:S641" si="158">IF(AND(K578&lt;&gt;"",D578&gt;0),E578*K578/D578,"")</f>
        <v>9.8558765625503027E-3</v>
      </c>
      <c r="T578" s="20">
        <f t="shared" ref="T578:T641" si="159">IF(AND(K578&lt;&gt;"",D578&gt;0),F578*K578/D578,"")</f>
        <v>2.7466236849133626E-2</v>
      </c>
      <c r="U578" s="20">
        <f t="shared" ref="U578:U641" si="160">IF(K578&lt;&gt;"",K578+S578+T578,"")</f>
        <v>0.10666774597212426</v>
      </c>
      <c r="V578" s="21">
        <f t="shared" ref="V578:V641" si="161">IF(AND(K578&lt;&gt;"",K578&gt;0,C578&gt;0),D578*(365.25/C578)/K578,"")</f>
        <v>408415528.2279247</v>
      </c>
      <c r="W578" s="21" t="str">
        <f t="shared" ref="W578:W641" si="162">IF(AND(M578&lt;&gt;"",L578&gt;0),M578/L578,"")</f>
        <v/>
      </c>
      <c r="X578" s="19" t="str">
        <f t="shared" ref="X578:X641" si="163">IF(AND(V578&lt;&gt;"",W578&lt;&gt;"",W578&gt;0),V578/W578,"")</f>
        <v/>
      </c>
      <c r="Y578" s="17" t="str">
        <f t="shared" ref="Y578:Y641" si="164">IF(A578&lt;620,E578*0.5,"")</f>
        <v/>
      </c>
      <c r="Z578" s="17" t="str">
        <f t="shared" ref="Z578:Z641" si="165">IF(Y578&lt;&gt;"",D578-Y578,"")</f>
        <v/>
      </c>
      <c r="AA578" s="20">
        <f t="shared" ref="AA578:AA641" si="166">IF(B578&lt;&gt;"",MAX(0.08*0.85^((B578-DATE(2020,3,16))/365.25),0.015),"")</f>
        <v>3.6460897321619772E-2</v>
      </c>
      <c r="AB578" s="17" t="str">
        <f t="shared" ref="AB578:AB641" si="167">IF(Z578&lt;&gt;"",Z578,"")</f>
        <v/>
      </c>
      <c r="AC578" s="18" t="str">
        <f t="shared" ref="AC578:AC641" si="168">IF(AB578&lt;&gt;"",AB578*L578,"")</f>
        <v/>
      </c>
      <c r="AD578" s="19" t="str">
        <f t="shared" ref="AD578:AD641" si="169">IF(AND(Y578&lt;&gt;"",D578&gt;0),Y578/D578,"")</f>
        <v/>
      </c>
    </row>
    <row r="579" spans="1:30" x14ac:dyDescent="0.25">
      <c r="A579" s="8">
        <v>728</v>
      </c>
      <c r="B579" s="9">
        <v>45674</v>
      </c>
      <c r="C579" s="10">
        <v>2</v>
      </c>
      <c r="D579" s="11">
        <v>154978.76991647339</v>
      </c>
      <c r="E579" s="11">
        <v>36970.020066953002</v>
      </c>
      <c r="F579" s="11">
        <v>84105.906202896746</v>
      </c>
      <c r="G579" s="11">
        <v>43090.771000246998</v>
      </c>
      <c r="H579" s="12">
        <v>3.9864892178091228E-2</v>
      </c>
      <c r="I579" s="13">
        <v>1419</v>
      </c>
      <c r="J579" s="13">
        <v>1207107</v>
      </c>
      <c r="K579" s="12">
        <v>6.9218856092341727E-2</v>
      </c>
      <c r="L579" s="14">
        <v>216.43052083333279</v>
      </c>
      <c r="M579" s="15"/>
      <c r="N579" s="16">
        <f t="shared" si="153"/>
        <v>111887.9989162264</v>
      </c>
      <c r="O579" s="17">
        <f t="shared" si="154"/>
        <v>276054.69618632313</v>
      </c>
      <c r="P579" s="18">
        <f t="shared" si="155"/>
        <v>59746661.674093366</v>
      </c>
      <c r="Q579" s="19">
        <f t="shared" si="156"/>
        <v>0.13392280797135972</v>
      </c>
      <c r="R579" s="20">
        <f t="shared" si="157"/>
        <v>3.9864892178091228E-2</v>
      </c>
      <c r="S579" s="20">
        <f t="shared" si="158"/>
        <v>1.6512084204337175E-2</v>
      </c>
      <c r="T579" s="20">
        <f t="shared" si="159"/>
        <v>3.7564594306122988E-2</v>
      </c>
      <c r="U579" s="20">
        <f t="shared" si="160"/>
        <v>0.1232955346028019</v>
      </c>
      <c r="V579" s="21">
        <f t="shared" si="161"/>
        <v>408891441.63605088</v>
      </c>
      <c r="W579" s="21" t="str">
        <f t="shared" si="162"/>
        <v/>
      </c>
      <c r="X579" s="19" t="str">
        <f t="shared" si="163"/>
        <v/>
      </c>
      <c r="Y579" s="17" t="str">
        <f t="shared" si="164"/>
        <v/>
      </c>
      <c r="Z579" s="17" t="str">
        <f t="shared" si="165"/>
        <v/>
      </c>
      <c r="AA579" s="20">
        <f t="shared" si="166"/>
        <v>3.6428465014003611E-2</v>
      </c>
      <c r="AB579" s="17" t="str">
        <f t="shared" si="167"/>
        <v/>
      </c>
      <c r="AC579" s="18" t="str">
        <f t="shared" si="168"/>
        <v/>
      </c>
      <c r="AD579" s="19" t="str">
        <f t="shared" si="169"/>
        <v/>
      </c>
    </row>
    <row r="580" spans="1:30" x14ac:dyDescent="0.25">
      <c r="A580" s="8">
        <v>729</v>
      </c>
      <c r="B580" s="9">
        <v>45676</v>
      </c>
      <c r="C580" s="10">
        <v>2</v>
      </c>
      <c r="D580" s="11">
        <v>154871.76438044669</v>
      </c>
      <c r="E580" s="11">
        <v>112990.50576867801</v>
      </c>
      <c r="F580" s="11">
        <v>192011.39993952369</v>
      </c>
      <c r="G580" s="11">
        <v>42976.184708715002</v>
      </c>
      <c r="H580" s="12">
        <v>3.9676042870599178E-2</v>
      </c>
      <c r="I580" s="13">
        <v>1415</v>
      </c>
      <c r="J580" s="13">
        <v>1222399</v>
      </c>
      <c r="K580" s="12">
        <v>6.94195582480365E-2</v>
      </c>
      <c r="L580" s="14">
        <v>268.95322916666669</v>
      </c>
      <c r="M580" s="15"/>
      <c r="N580" s="16">
        <f t="shared" si="153"/>
        <v>111895.57967173168</v>
      </c>
      <c r="O580" s="17">
        <f t="shared" si="154"/>
        <v>459873.67008864833</v>
      </c>
      <c r="P580" s="18">
        <f t="shared" si="155"/>
        <v>123684508.5790683</v>
      </c>
      <c r="Q580" s="19">
        <f t="shared" si="156"/>
        <v>0.24569901065850802</v>
      </c>
      <c r="R580" s="20">
        <f t="shared" si="157"/>
        <v>3.9676042870599178E-2</v>
      </c>
      <c r="S580" s="20">
        <f t="shared" si="158"/>
        <v>5.0646746539385057E-2</v>
      </c>
      <c r="T580" s="20">
        <f t="shared" si="159"/>
        <v>8.6066989781590497E-2</v>
      </c>
      <c r="U580" s="20">
        <f t="shared" si="160"/>
        <v>0.20613329456901205</v>
      </c>
      <c r="V580" s="21">
        <f t="shared" si="161"/>
        <v>407427772.28460771</v>
      </c>
      <c r="W580" s="21" t="str">
        <f t="shared" si="162"/>
        <v/>
      </c>
      <c r="X580" s="19" t="str">
        <f t="shared" si="163"/>
        <v/>
      </c>
      <c r="Y580" s="17" t="str">
        <f t="shared" si="164"/>
        <v/>
      </c>
      <c r="Z580" s="17" t="str">
        <f t="shared" si="165"/>
        <v/>
      </c>
      <c r="AA580" s="20">
        <f t="shared" si="166"/>
        <v>3.6396061555227024E-2</v>
      </c>
      <c r="AB580" s="17" t="str">
        <f t="shared" si="167"/>
        <v/>
      </c>
      <c r="AC580" s="18" t="str">
        <f t="shared" si="168"/>
        <v/>
      </c>
      <c r="AD580" s="19" t="str">
        <f t="shared" si="169"/>
        <v/>
      </c>
    </row>
    <row r="581" spans="1:30" x14ac:dyDescent="0.25">
      <c r="A581" s="8">
        <v>730</v>
      </c>
      <c r="B581" s="9">
        <v>45678</v>
      </c>
      <c r="C581" s="10">
        <v>2</v>
      </c>
      <c r="D581" s="11">
        <v>154744.94132979339</v>
      </c>
      <c r="E581" s="11">
        <v>44133.921622141017</v>
      </c>
      <c r="F581" s="11">
        <v>109371.300973183</v>
      </c>
      <c r="G581" s="11">
        <v>43090.781081615998</v>
      </c>
      <c r="H581" s="12">
        <v>3.9656667088667337E-2</v>
      </c>
      <c r="I581" s="13">
        <v>1413</v>
      </c>
      <c r="J581" s="13">
        <v>1203742</v>
      </c>
      <c r="K581" s="12">
        <v>6.9723246820714027E-2</v>
      </c>
      <c r="L581" s="14">
        <v>242.51045138888841</v>
      </c>
      <c r="M581" s="15"/>
      <c r="N581" s="16">
        <f t="shared" si="153"/>
        <v>111654.16024817739</v>
      </c>
      <c r="O581" s="17">
        <f t="shared" si="154"/>
        <v>308250.16392511741</v>
      </c>
      <c r="P581" s="18">
        <f t="shared" si="155"/>
        <v>74753886.394179076</v>
      </c>
      <c r="Q581" s="19">
        <f t="shared" si="156"/>
        <v>0.14317566310479687</v>
      </c>
      <c r="R581" s="20">
        <f t="shared" si="157"/>
        <v>3.9656667088667337E-2</v>
      </c>
      <c r="S581" s="20">
        <f t="shared" si="158"/>
        <v>1.9885369330868929E-2</v>
      </c>
      <c r="T581" s="20">
        <f t="shared" si="159"/>
        <v>4.9279298872871392E-2</v>
      </c>
      <c r="U581" s="20">
        <f t="shared" si="160"/>
        <v>0.13888791502445436</v>
      </c>
      <c r="V581" s="21">
        <f t="shared" si="161"/>
        <v>405320982.58450133</v>
      </c>
      <c r="W581" s="21" t="str">
        <f t="shared" si="162"/>
        <v/>
      </c>
      <c r="X581" s="19" t="str">
        <f t="shared" si="163"/>
        <v/>
      </c>
      <c r="Y581" s="17" t="str">
        <f t="shared" si="164"/>
        <v/>
      </c>
      <c r="Z581" s="17" t="str">
        <f t="shared" si="165"/>
        <v/>
      </c>
      <c r="AA581" s="20">
        <f t="shared" si="166"/>
        <v>3.6363686919628692E-2</v>
      </c>
      <c r="AB581" s="17" t="str">
        <f t="shared" si="167"/>
        <v/>
      </c>
      <c r="AC581" s="18" t="str">
        <f t="shared" si="168"/>
        <v/>
      </c>
      <c r="AD581" s="19" t="str">
        <f t="shared" si="169"/>
        <v/>
      </c>
    </row>
    <row r="582" spans="1:30" x14ac:dyDescent="0.25">
      <c r="A582" s="8">
        <v>731</v>
      </c>
      <c r="B582" s="9">
        <v>45680</v>
      </c>
      <c r="C582" s="10">
        <v>2</v>
      </c>
      <c r="D582" s="11">
        <v>154636.1583211736</v>
      </c>
      <c r="E582" s="11">
        <v>51417.749517978998</v>
      </c>
      <c r="F582" s="11">
        <v>137301.14748475759</v>
      </c>
      <c r="G582" s="11">
        <v>43336.654999177001</v>
      </c>
      <c r="H582" s="12">
        <v>3.9205025475401792E-2</v>
      </c>
      <c r="I582" s="13">
        <v>1413</v>
      </c>
      <c r="J582" s="13">
        <v>1195780</v>
      </c>
      <c r="K582" s="12">
        <v>6.9775147117562997E-2</v>
      </c>
      <c r="L582" s="14">
        <v>249.33364583333281</v>
      </c>
      <c r="M582" s="15"/>
      <c r="N582" s="16">
        <f t="shared" si="153"/>
        <v>111299.5033219966</v>
      </c>
      <c r="O582" s="17">
        <f t="shared" si="154"/>
        <v>343355.0553239102</v>
      </c>
      <c r="P582" s="18">
        <f t="shared" si="155"/>
        <v>85609967.759216219</v>
      </c>
      <c r="Q582" s="19">
        <f t="shared" si="156"/>
        <v>0.1497509610553808</v>
      </c>
      <c r="R582" s="20">
        <f t="shared" si="157"/>
        <v>3.9205025475401792E-2</v>
      </c>
      <c r="S582" s="20">
        <f t="shared" si="158"/>
        <v>2.3200790009407161E-2</v>
      </c>
      <c r="T582" s="20">
        <f t="shared" si="159"/>
        <v>6.1953218892449702E-2</v>
      </c>
      <c r="U582" s="20">
        <f t="shared" si="160"/>
        <v>0.15492915601941987</v>
      </c>
      <c r="V582" s="21">
        <f t="shared" si="161"/>
        <v>404734774.20008153</v>
      </c>
      <c r="W582" s="21" t="str">
        <f t="shared" si="162"/>
        <v/>
      </c>
      <c r="X582" s="19" t="str">
        <f t="shared" si="163"/>
        <v/>
      </c>
      <c r="Y582" s="17" t="str">
        <f t="shared" si="164"/>
        <v/>
      </c>
      <c r="Z582" s="17" t="str">
        <f t="shared" si="165"/>
        <v/>
      </c>
      <c r="AA582" s="20">
        <f t="shared" si="166"/>
        <v>3.6331341081570136E-2</v>
      </c>
      <c r="AB582" s="17" t="str">
        <f t="shared" si="167"/>
        <v/>
      </c>
      <c r="AC582" s="18" t="str">
        <f t="shared" si="168"/>
        <v/>
      </c>
      <c r="AD582" s="19" t="str">
        <f t="shared" si="169"/>
        <v/>
      </c>
    </row>
    <row r="583" spans="1:30" x14ac:dyDescent="0.25">
      <c r="A583" s="8">
        <v>732</v>
      </c>
      <c r="B583" s="9">
        <v>45682</v>
      </c>
      <c r="C583" s="10">
        <v>2</v>
      </c>
      <c r="D583" s="11">
        <v>154525.51867143149</v>
      </c>
      <c r="E583" s="11">
        <v>37183.074614118021</v>
      </c>
      <c r="F583" s="11">
        <v>91037.1031202257</v>
      </c>
      <c r="G583" s="11">
        <v>42753.032670417</v>
      </c>
      <c r="H583" s="12">
        <v>3.9180309868436312E-2</v>
      </c>
      <c r="I583" s="13">
        <v>1415</v>
      </c>
      <c r="J583" s="13">
        <v>1194410</v>
      </c>
      <c r="K583" s="12">
        <v>6.9605173007483187E-2</v>
      </c>
      <c r="L583" s="14">
        <v>252.5084375000001</v>
      </c>
      <c r="M583" s="15"/>
      <c r="N583" s="16">
        <f t="shared" si="153"/>
        <v>111772.48600101449</v>
      </c>
      <c r="O583" s="17">
        <f t="shared" si="154"/>
        <v>282745.6964057752</v>
      </c>
      <c r="P583" s="18">
        <f t="shared" si="155"/>
        <v>71395674.009271696</v>
      </c>
      <c r="Q583" s="19">
        <f t="shared" si="156"/>
        <v>0.13150712844363044</v>
      </c>
      <c r="R583" s="20">
        <f t="shared" si="157"/>
        <v>3.9180309868436312E-2</v>
      </c>
      <c r="S583" s="20">
        <f t="shared" si="158"/>
        <v>1.6748912177858507E-2</v>
      </c>
      <c r="T583" s="20">
        <f t="shared" si="159"/>
        <v>4.1007164171097593E-2</v>
      </c>
      <c r="U583" s="20">
        <f t="shared" si="160"/>
        <v>0.12736124935643928</v>
      </c>
      <c r="V583" s="21">
        <f t="shared" si="161"/>
        <v>405432838.22218567</v>
      </c>
      <c r="W583" s="21" t="str">
        <f t="shared" si="162"/>
        <v/>
      </c>
      <c r="X583" s="19" t="str">
        <f t="shared" si="163"/>
        <v/>
      </c>
      <c r="Y583" s="17" t="str">
        <f t="shared" si="164"/>
        <v/>
      </c>
      <c r="Z583" s="17" t="str">
        <f t="shared" si="165"/>
        <v/>
      </c>
      <c r="AA583" s="20">
        <f t="shared" si="166"/>
        <v>3.6299024015435666E-2</v>
      </c>
      <c r="AB583" s="17" t="str">
        <f t="shared" si="167"/>
        <v/>
      </c>
      <c r="AC583" s="18" t="str">
        <f t="shared" si="168"/>
        <v/>
      </c>
      <c r="AD583" s="19" t="str">
        <f t="shared" si="169"/>
        <v/>
      </c>
    </row>
    <row r="584" spans="1:30" x14ac:dyDescent="0.25">
      <c r="A584" s="8">
        <v>733</v>
      </c>
      <c r="B584" s="9">
        <v>45684</v>
      </c>
      <c r="C584" s="10">
        <v>2</v>
      </c>
      <c r="D584" s="11">
        <v>154418.63311500539</v>
      </c>
      <c r="E584" s="11">
        <v>32912.643132258978</v>
      </c>
      <c r="F584" s="11">
        <v>82482.407783572038</v>
      </c>
      <c r="G584" s="11">
        <v>42656.692476056996</v>
      </c>
      <c r="H584" s="12">
        <v>3.9094645438220089E-2</v>
      </c>
      <c r="I584" s="13">
        <v>1413</v>
      </c>
      <c r="J584" s="13">
        <v>1215063</v>
      </c>
      <c r="K584" s="12">
        <v>6.9545488198032607E-2</v>
      </c>
      <c r="L584" s="14">
        <v>231.14444444444479</v>
      </c>
      <c r="M584" s="15"/>
      <c r="N584" s="16">
        <f t="shared" si="153"/>
        <v>111761.94063894839</v>
      </c>
      <c r="O584" s="17">
        <f t="shared" si="154"/>
        <v>269813.68403083639</v>
      </c>
      <c r="P584" s="18">
        <f t="shared" si="155"/>
        <v>62365934.098816641</v>
      </c>
      <c r="Q584" s="19">
        <f t="shared" si="156"/>
        <v>0.12198285365132729</v>
      </c>
      <c r="R584" s="20">
        <f t="shared" si="157"/>
        <v>3.9094645438220089E-2</v>
      </c>
      <c r="S584" s="20">
        <f t="shared" si="158"/>
        <v>1.482286035271318E-2</v>
      </c>
      <c r="T584" s="20">
        <f t="shared" si="159"/>
        <v>3.7147585115492827E-2</v>
      </c>
      <c r="U584" s="20">
        <f t="shared" si="160"/>
        <v>0.12151593366623861</v>
      </c>
      <c r="V584" s="21">
        <f t="shared" si="161"/>
        <v>405500106.52489221</v>
      </c>
      <c r="W584" s="21" t="str">
        <f t="shared" si="162"/>
        <v/>
      </c>
      <c r="X584" s="19" t="str">
        <f t="shared" si="163"/>
        <v/>
      </c>
      <c r="Y584" s="17" t="str">
        <f t="shared" si="164"/>
        <v/>
      </c>
      <c r="Z584" s="17" t="str">
        <f t="shared" si="165"/>
        <v/>
      </c>
      <c r="AA584" s="20">
        <f t="shared" si="166"/>
        <v>3.62667356956324E-2</v>
      </c>
      <c r="AB584" s="17" t="str">
        <f t="shared" si="167"/>
        <v/>
      </c>
      <c r="AC584" s="18" t="str">
        <f t="shared" si="168"/>
        <v/>
      </c>
      <c r="AD584" s="19" t="str">
        <f t="shared" si="169"/>
        <v/>
      </c>
    </row>
    <row r="585" spans="1:30" x14ac:dyDescent="0.25">
      <c r="A585" s="8">
        <v>734</v>
      </c>
      <c r="B585" s="9">
        <v>45686</v>
      </c>
      <c r="C585" s="10">
        <v>2</v>
      </c>
      <c r="D585" s="11">
        <v>154312.89901465751</v>
      </c>
      <c r="E585" s="11">
        <v>39222.961339215013</v>
      </c>
      <c r="F585" s="11">
        <v>98260.633105736211</v>
      </c>
      <c r="G585" s="11">
        <v>42629.272788593</v>
      </c>
      <c r="H585" s="12">
        <v>3.9174586425043283E-2</v>
      </c>
      <c r="I585" s="13">
        <v>1415</v>
      </c>
      <c r="J585" s="13">
        <v>1207725</v>
      </c>
      <c r="K585" s="12">
        <v>6.9345636296202121E-2</v>
      </c>
      <c r="L585" s="14">
        <v>230.857534722222</v>
      </c>
      <c r="M585" s="15"/>
      <c r="N585" s="16">
        <f t="shared" si="153"/>
        <v>111683.62622606452</v>
      </c>
      <c r="O585" s="17">
        <f t="shared" si="154"/>
        <v>291796.49345960876</v>
      </c>
      <c r="P585" s="18">
        <f t="shared" si="155"/>
        <v>67363419.120674253</v>
      </c>
      <c r="Q585" s="19">
        <f t="shared" si="156"/>
        <v>0.13441889199619309</v>
      </c>
      <c r="R585" s="20">
        <f t="shared" si="157"/>
        <v>3.9174586425043283E-2</v>
      </c>
      <c r="S585" s="20">
        <f t="shared" si="158"/>
        <v>1.7626142913891116E-2</v>
      </c>
      <c r="T585" s="20">
        <f t="shared" si="159"/>
        <v>4.4156685339296967E-2</v>
      </c>
      <c r="U585" s="20">
        <f t="shared" si="160"/>
        <v>0.1311284645493902</v>
      </c>
      <c r="V585" s="21">
        <f t="shared" si="161"/>
        <v>406390289.10453951</v>
      </c>
      <c r="W585" s="21" t="str">
        <f t="shared" si="162"/>
        <v/>
      </c>
      <c r="X585" s="19" t="str">
        <f t="shared" si="163"/>
        <v/>
      </c>
      <c r="Y585" s="17" t="str">
        <f t="shared" si="164"/>
        <v/>
      </c>
      <c r="Z585" s="17" t="str">
        <f t="shared" si="165"/>
        <v/>
      </c>
      <c r="AA585" s="20">
        <f t="shared" si="166"/>
        <v>3.6234476096590196E-2</v>
      </c>
      <c r="AB585" s="17" t="str">
        <f t="shared" si="167"/>
        <v/>
      </c>
      <c r="AC585" s="18" t="str">
        <f t="shared" si="168"/>
        <v/>
      </c>
      <c r="AD585" s="19" t="str">
        <f t="shared" si="169"/>
        <v/>
      </c>
    </row>
    <row r="586" spans="1:30" x14ac:dyDescent="0.25">
      <c r="A586" s="8">
        <v>735</v>
      </c>
      <c r="B586" s="9">
        <v>45688</v>
      </c>
      <c r="C586" s="10">
        <v>2</v>
      </c>
      <c r="D586" s="11">
        <v>154205.562461491</v>
      </c>
      <c r="E586" s="11">
        <v>25379.93240779201</v>
      </c>
      <c r="F586" s="11">
        <v>60566.899147369113</v>
      </c>
      <c r="G586" s="11">
        <v>42263.954037156996</v>
      </c>
      <c r="H586" s="12">
        <v>3.7921389728438303E-2</v>
      </c>
      <c r="I586" s="13">
        <v>1416</v>
      </c>
      <c r="J586" s="13">
        <v>1207002</v>
      </c>
      <c r="K586" s="12">
        <v>6.9089125875099092E-2</v>
      </c>
      <c r="L586" s="14">
        <v>236.01142361111209</v>
      </c>
      <c r="M586" s="15"/>
      <c r="N586" s="16">
        <f t="shared" si="153"/>
        <v>111941.608424334</v>
      </c>
      <c r="O586" s="17">
        <f t="shared" si="154"/>
        <v>240152.39401665214</v>
      </c>
      <c r="P586" s="18">
        <f t="shared" si="155"/>
        <v>56678708.395486787</v>
      </c>
      <c r="Q586" s="19">
        <f t="shared" si="156"/>
        <v>0.10568261254156879</v>
      </c>
      <c r="R586" s="20">
        <f t="shared" si="157"/>
        <v>3.7921389728438303E-2</v>
      </c>
      <c r="S586" s="20">
        <f t="shared" si="158"/>
        <v>1.1371038222186934E-2</v>
      </c>
      <c r="T586" s="20">
        <f t="shared" si="159"/>
        <v>2.7135947966222002E-2</v>
      </c>
      <c r="U586" s="20">
        <f t="shared" si="160"/>
        <v>0.10759611206350803</v>
      </c>
      <c r="V586" s="21">
        <f t="shared" si="161"/>
        <v>407615387.91851741</v>
      </c>
      <c r="W586" s="21" t="str">
        <f t="shared" si="162"/>
        <v/>
      </c>
      <c r="X586" s="19" t="str">
        <f t="shared" si="163"/>
        <v/>
      </c>
      <c r="Y586" s="17" t="str">
        <f t="shared" si="164"/>
        <v/>
      </c>
      <c r="Z586" s="17" t="str">
        <f t="shared" si="165"/>
        <v/>
      </c>
      <c r="AA586" s="20">
        <f t="shared" si="166"/>
        <v>3.6202245192761676E-2</v>
      </c>
      <c r="AB586" s="17" t="str">
        <f t="shared" si="167"/>
        <v/>
      </c>
      <c r="AC586" s="18" t="str">
        <f t="shared" si="168"/>
        <v/>
      </c>
      <c r="AD586" s="19" t="str">
        <f t="shared" si="169"/>
        <v/>
      </c>
    </row>
    <row r="587" spans="1:30" x14ac:dyDescent="0.25">
      <c r="A587" s="8">
        <v>736</v>
      </c>
      <c r="B587" s="9">
        <v>45690</v>
      </c>
      <c r="C587" s="10">
        <v>2</v>
      </c>
      <c r="D587" s="11">
        <v>154101.86349714879</v>
      </c>
      <c r="E587" s="11">
        <v>19299.663944247</v>
      </c>
      <c r="F587" s="11">
        <v>49589.082312841601</v>
      </c>
      <c r="G587" s="11">
        <v>42358.567344231997</v>
      </c>
      <c r="H587" s="12">
        <v>3.7839768951477427E-2</v>
      </c>
      <c r="I587" s="13">
        <v>1415</v>
      </c>
      <c r="J587" s="13">
        <v>1210636</v>
      </c>
      <c r="K587" s="12">
        <v>6.8976936184996146E-2</v>
      </c>
      <c r="L587" s="14">
        <v>209.65128472222219</v>
      </c>
      <c r="M587" s="15"/>
      <c r="N587" s="16">
        <f t="shared" si="153"/>
        <v>111743.2961529168</v>
      </c>
      <c r="O587" s="17">
        <f t="shared" si="154"/>
        <v>222990.6097542374</v>
      </c>
      <c r="P587" s="18">
        <f t="shared" si="155"/>
        <v>46750267.81596756</v>
      </c>
      <c r="Q587" s="19">
        <f t="shared" si="156"/>
        <v>8.6549222702774625E-2</v>
      </c>
      <c r="R587" s="20">
        <f t="shared" si="157"/>
        <v>3.7839768951477427E-2</v>
      </c>
      <c r="S587" s="20">
        <f t="shared" si="158"/>
        <v>8.6386475676773818E-3</v>
      </c>
      <c r="T587" s="20">
        <f t="shared" si="159"/>
        <v>2.2196376400267753E-2</v>
      </c>
      <c r="U587" s="20">
        <f t="shared" si="160"/>
        <v>9.9811960152941276E-2</v>
      </c>
      <c r="V587" s="21">
        <f t="shared" si="161"/>
        <v>408003810.80550849</v>
      </c>
      <c r="W587" s="21" t="str">
        <f t="shared" si="162"/>
        <v/>
      </c>
      <c r="X587" s="19" t="str">
        <f t="shared" si="163"/>
        <v/>
      </c>
      <c r="Y587" s="17" t="str">
        <f t="shared" si="164"/>
        <v/>
      </c>
      <c r="Z587" s="17" t="str">
        <f t="shared" si="165"/>
        <v/>
      </c>
      <c r="AA587" s="20">
        <f t="shared" si="166"/>
        <v>3.6170042958622174E-2</v>
      </c>
      <c r="AB587" s="17" t="str">
        <f t="shared" si="167"/>
        <v/>
      </c>
      <c r="AC587" s="18" t="str">
        <f t="shared" si="168"/>
        <v/>
      </c>
      <c r="AD587" s="19" t="str">
        <f t="shared" si="169"/>
        <v/>
      </c>
    </row>
    <row r="588" spans="1:30" x14ac:dyDescent="0.25">
      <c r="A588" s="8">
        <v>737</v>
      </c>
      <c r="B588" s="9">
        <v>45692</v>
      </c>
      <c r="C588" s="10">
        <v>2</v>
      </c>
      <c r="D588" s="11">
        <v>153999.77847952759</v>
      </c>
      <c r="E588" s="11">
        <v>22446.411288198</v>
      </c>
      <c r="F588" s="11">
        <v>53012.105909674487</v>
      </c>
      <c r="G588" s="11">
        <v>42259.236536728</v>
      </c>
      <c r="H588" s="12">
        <v>3.8122175441855102E-2</v>
      </c>
      <c r="I588" s="13">
        <v>1414</v>
      </c>
      <c r="J588" s="13">
        <v>1234266</v>
      </c>
      <c r="K588" s="12">
        <v>6.8960540573972634E-2</v>
      </c>
      <c r="L588" s="14">
        <v>210.88510416666671</v>
      </c>
      <c r="M588" s="15"/>
      <c r="N588" s="16">
        <f t="shared" si="153"/>
        <v>111740.54194279959</v>
      </c>
      <c r="O588" s="17">
        <f t="shared" si="154"/>
        <v>229458.29567740008</v>
      </c>
      <c r="P588" s="18">
        <f t="shared" si="155"/>
        <v>48389336.585834324</v>
      </c>
      <c r="Q588" s="19">
        <f t="shared" si="156"/>
        <v>9.7823489980749481E-2</v>
      </c>
      <c r="R588" s="20">
        <f t="shared" si="157"/>
        <v>3.8122175441855102E-2</v>
      </c>
      <c r="S588" s="20">
        <f t="shared" si="158"/>
        <v>1.0051421318022431E-2</v>
      </c>
      <c r="T588" s="20">
        <f t="shared" si="159"/>
        <v>2.3738628175895907E-2</v>
      </c>
      <c r="U588" s="20">
        <f t="shared" si="160"/>
        <v>0.10275059006789097</v>
      </c>
      <c r="V588" s="21">
        <f t="shared" si="161"/>
        <v>407830468.13061792</v>
      </c>
      <c r="W588" s="21" t="str">
        <f t="shared" si="162"/>
        <v/>
      </c>
      <c r="X588" s="19" t="str">
        <f t="shared" si="163"/>
        <v/>
      </c>
      <c r="Y588" s="17" t="str">
        <f t="shared" si="164"/>
        <v/>
      </c>
      <c r="Z588" s="17" t="str">
        <f t="shared" si="165"/>
        <v/>
      </c>
      <c r="AA588" s="20">
        <f t="shared" si="166"/>
        <v>3.6137869368669751E-2</v>
      </c>
      <c r="AB588" s="17" t="str">
        <f t="shared" si="167"/>
        <v/>
      </c>
      <c r="AC588" s="18" t="str">
        <f t="shared" si="168"/>
        <v/>
      </c>
      <c r="AD588" s="19" t="str">
        <f t="shared" si="169"/>
        <v/>
      </c>
    </row>
    <row r="589" spans="1:30" x14ac:dyDescent="0.25">
      <c r="A589" s="8">
        <v>738</v>
      </c>
      <c r="B589" s="9">
        <v>45694</v>
      </c>
      <c r="C589" s="10">
        <v>1.958333333333333</v>
      </c>
      <c r="D589" s="11">
        <v>153896.91042858479</v>
      </c>
      <c r="E589" s="11">
        <v>18324.114656763999</v>
      </c>
      <c r="F589" s="11">
        <v>44135.812316100462</v>
      </c>
      <c r="G589" s="11">
        <v>42444.419150041002</v>
      </c>
      <c r="H589" s="12">
        <v>3.7994375260732328E-2</v>
      </c>
      <c r="I589" s="13">
        <v>1418</v>
      </c>
      <c r="J589" s="13">
        <v>1229072</v>
      </c>
      <c r="K589" s="12">
        <v>7.0464500828317109E-2</v>
      </c>
      <c r="L589" s="14">
        <v>197.2186111111119</v>
      </c>
      <c r="M589" s="15"/>
      <c r="N589" s="16">
        <f t="shared" si="153"/>
        <v>111452.49127854378</v>
      </c>
      <c r="O589" s="17">
        <f t="shared" si="154"/>
        <v>216356.83740144924</v>
      </c>
      <c r="P589" s="18">
        <f t="shared" si="155"/>
        <v>42669594.97670649</v>
      </c>
      <c r="Q589" s="19">
        <f t="shared" si="156"/>
        <v>8.4693947632279706E-2</v>
      </c>
      <c r="R589" s="20">
        <f t="shared" si="157"/>
        <v>3.7994375260732328E-2</v>
      </c>
      <c r="S589" s="20">
        <f t="shared" si="158"/>
        <v>8.3900293307635973E-3</v>
      </c>
      <c r="T589" s="20">
        <f t="shared" si="159"/>
        <v>2.020838478722739E-2</v>
      </c>
      <c r="U589" s="20">
        <f t="shared" si="160"/>
        <v>9.9062914946308089E-2</v>
      </c>
      <c r="V589" s="21">
        <f t="shared" si="161"/>
        <v>407345694.05437392</v>
      </c>
      <c r="W589" s="21" t="str">
        <f t="shared" si="162"/>
        <v/>
      </c>
      <c r="X589" s="19" t="str">
        <f t="shared" si="163"/>
        <v/>
      </c>
      <c r="Y589" s="17" t="str">
        <f t="shared" si="164"/>
        <v/>
      </c>
      <c r="Z589" s="17" t="str">
        <f t="shared" si="165"/>
        <v/>
      </c>
      <c r="AA589" s="20">
        <f t="shared" si="166"/>
        <v>3.6105724397425112E-2</v>
      </c>
      <c r="AB589" s="17" t="str">
        <f t="shared" si="167"/>
        <v/>
      </c>
      <c r="AC589" s="18" t="str">
        <f t="shared" si="168"/>
        <v/>
      </c>
      <c r="AD589" s="19" t="str">
        <f t="shared" si="169"/>
        <v/>
      </c>
    </row>
    <row r="590" spans="1:30" x14ac:dyDescent="0.25">
      <c r="A590" s="8">
        <v>739</v>
      </c>
      <c r="B590" s="9">
        <v>45696</v>
      </c>
      <c r="C590" s="10">
        <v>1.958333333333333</v>
      </c>
      <c r="D590" s="11">
        <v>153795.14526950871</v>
      </c>
      <c r="E590" s="11">
        <v>22790.033843867019</v>
      </c>
      <c r="F590" s="11">
        <v>51931.678126202489</v>
      </c>
      <c r="G590" s="11">
        <v>42436.876105998999</v>
      </c>
      <c r="H590" s="12">
        <v>3.7760470766996762E-2</v>
      </c>
      <c r="I590" s="13">
        <v>1427</v>
      </c>
      <c r="J590" s="13">
        <v>1252554</v>
      </c>
      <c r="K590" s="12">
        <v>7.0303492319895522E-2</v>
      </c>
      <c r="L590" s="14">
        <v>194.57065972222159</v>
      </c>
      <c r="M590" s="15"/>
      <c r="N590" s="16">
        <f t="shared" si="153"/>
        <v>111358.26916350971</v>
      </c>
      <c r="O590" s="17">
        <f t="shared" si="154"/>
        <v>228516.85723957821</v>
      </c>
      <c r="P590" s="18">
        <f t="shared" si="155"/>
        <v>44462675.670753464</v>
      </c>
      <c r="Q590" s="19">
        <f t="shared" si="156"/>
        <v>9.973020861202303E-2</v>
      </c>
      <c r="R590" s="20">
        <f t="shared" si="157"/>
        <v>3.7760470766996762E-2</v>
      </c>
      <c r="S590" s="20">
        <f t="shared" si="158"/>
        <v>1.0417877407669503E-2</v>
      </c>
      <c r="T590" s="20">
        <f t="shared" si="159"/>
        <v>2.3739230051162109E-2</v>
      </c>
      <c r="U590" s="20">
        <f t="shared" si="160"/>
        <v>0.10446059977872713</v>
      </c>
      <c r="V590" s="21">
        <f t="shared" si="161"/>
        <v>408008617.56354785</v>
      </c>
      <c r="W590" s="21" t="str">
        <f t="shared" si="162"/>
        <v/>
      </c>
      <c r="X590" s="19" t="str">
        <f t="shared" si="163"/>
        <v/>
      </c>
      <c r="Y590" s="17" t="str">
        <f t="shared" si="164"/>
        <v/>
      </c>
      <c r="Z590" s="17" t="str">
        <f t="shared" si="165"/>
        <v/>
      </c>
      <c r="AA590" s="20">
        <f t="shared" si="166"/>
        <v>3.6073608019431672E-2</v>
      </c>
      <c r="AB590" s="17" t="str">
        <f t="shared" si="167"/>
        <v/>
      </c>
      <c r="AC590" s="18" t="str">
        <f t="shared" si="168"/>
        <v/>
      </c>
      <c r="AD590" s="19" t="str">
        <f t="shared" si="169"/>
        <v/>
      </c>
    </row>
    <row r="591" spans="1:30" x14ac:dyDescent="0.25">
      <c r="A591" s="8">
        <v>740</v>
      </c>
      <c r="B591" s="9">
        <v>45698</v>
      </c>
      <c r="C591" s="10">
        <v>1.958333333333333</v>
      </c>
      <c r="D591" s="11">
        <v>153692.25661497351</v>
      </c>
      <c r="E591" s="11">
        <v>27670.081482566002</v>
      </c>
      <c r="F591" s="11">
        <v>78071.37061885983</v>
      </c>
      <c r="G591" s="11">
        <v>42568.844970765</v>
      </c>
      <c r="H591" s="12">
        <v>3.8096721972060273E-2</v>
      </c>
      <c r="I591" s="13">
        <v>1426</v>
      </c>
      <c r="J591" s="13">
        <v>1252063</v>
      </c>
      <c r="K591" s="12">
        <v>7.0205390483698754E-2</v>
      </c>
      <c r="L591" s="14">
        <v>202.84284722222239</v>
      </c>
      <c r="M591" s="15"/>
      <c r="N591" s="16">
        <f t="shared" si="153"/>
        <v>111123.41164420851</v>
      </c>
      <c r="O591" s="17">
        <f t="shared" si="154"/>
        <v>259433.70871639933</v>
      </c>
      <c r="P591" s="18">
        <f t="shared" si="155"/>
        <v>52624272.141455136</v>
      </c>
      <c r="Q591" s="19">
        <f t="shared" si="156"/>
        <v>0.10665569104134277</v>
      </c>
      <c r="R591" s="20">
        <f t="shared" si="157"/>
        <v>3.8096721972060273E-2</v>
      </c>
      <c r="S591" s="20">
        <f t="shared" si="158"/>
        <v>1.263947135649026E-2</v>
      </c>
      <c r="T591" s="20">
        <f t="shared" si="159"/>
        <v>3.5662376105424623E-2</v>
      </c>
      <c r="U591" s="20">
        <f t="shared" si="160"/>
        <v>0.11850723794561364</v>
      </c>
      <c r="V591" s="21">
        <f t="shared" si="161"/>
        <v>408305411.95202088</v>
      </c>
      <c r="W591" s="21" t="str">
        <f t="shared" si="162"/>
        <v/>
      </c>
      <c r="X591" s="19" t="str">
        <f t="shared" si="163"/>
        <v/>
      </c>
      <c r="Y591" s="17" t="str">
        <f t="shared" si="164"/>
        <v/>
      </c>
      <c r="Z591" s="17" t="str">
        <f t="shared" si="165"/>
        <v/>
      </c>
      <c r="AA591" s="20">
        <f t="shared" si="166"/>
        <v>3.6041520209255454E-2</v>
      </c>
      <c r="AB591" s="17" t="str">
        <f t="shared" si="167"/>
        <v/>
      </c>
      <c r="AC591" s="18" t="str">
        <f t="shared" si="168"/>
        <v/>
      </c>
      <c r="AD591" s="19" t="str">
        <f t="shared" si="169"/>
        <v/>
      </c>
    </row>
    <row r="592" spans="1:30" x14ac:dyDescent="0.25">
      <c r="A592" s="8">
        <v>741</v>
      </c>
      <c r="B592" s="9">
        <v>45700</v>
      </c>
      <c r="C592" s="10">
        <v>1.958333333333333</v>
      </c>
      <c r="D592" s="11">
        <v>153588.14052969619</v>
      </c>
      <c r="E592" s="11">
        <v>34131.775566737007</v>
      </c>
      <c r="F592" s="11">
        <v>55301.580648239607</v>
      </c>
      <c r="G592" s="11">
        <v>42956.300521867997</v>
      </c>
      <c r="H592" s="12">
        <v>3.8400318420798683E-2</v>
      </c>
      <c r="I592" s="13">
        <v>1425</v>
      </c>
      <c r="J592" s="13">
        <v>1270157</v>
      </c>
      <c r="K592" s="12">
        <v>7.0168339474363267E-2</v>
      </c>
      <c r="L592" s="14">
        <v>195.26354166666661</v>
      </c>
      <c r="M592" s="15"/>
      <c r="N592" s="16">
        <f t="shared" si="153"/>
        <v>110631.8400078282</v>
      </c>
      <c r="O592" s="17">
        <f t="shared" si="154"/>
        <v>243021.4967446728</v>
      </c>
      <c r="P592" s="18">
        <f t="shared" si="155"/>
        <v>47453238.155499101</v>
      </c>
      <c r="Q592" s="19">
        <f t="shared" si="156"/>
        <v>0.14044755720765348</v>
      </c>
      <c r="R592" s="20">
        <f t="shared" si="157"/>
        <v>3.8400318420798683E-2</v>
      </c>
      <c r="S592" s="20">
        <f t="shared" si="158"/>
        <v>1.5593456672955253E-2</v>
      </c>
      <c r="T592" s="20">
        <f t="shared" si="159"/>
        <v>2.5265102312012677E-2</v>
      </c>
      <c r="U592" s="20">
        <f t="shared" si="160"/>
        <v>0.1110268984593312</v>
      </c>
      <c r="V592" s="21">
        <f t="shared" si="161"/>
        <v>408244264.29020745</v>
      </c>
      <c r="W592" s="21" t="str">
        <f t="shared" si="162"/>
        <v/>
      </c>
      <c r="X592" s="19" t="str">
        <f t="shared" si="163"/>
        <v/>
      </c>
      <c r="Y592" s="17" t="str">
        <f t="shared" si="164"/>
        <v/>
      </c>
      <c r="Z592" s="17" t="str">
        <f t="shared" si="165"/>
        <v/>
      </c>
      <c r="AA592" s="20">
        <f t="shared" si="166"/>
        <v>3.6009460941485119E-2</v>
      </c>
      <c r="AB592" s="17" t="str">
        <f t="shared" si="167"/>
        <v/>
      </c>
      <c r="AC592" s="18" t="str">
        <f t="shared" si="168"/>
        <v/>
      </c>
      <c r="AD592" s="19" t="str">
        <f t="shared" si="169"/>
        <v/>
      </c>
    </row>
    <row r="593" spans="1:30" x14ac:dyDescent="0.25">
      <c r="A593" s="8">
        <v>742</v>
      </c>
      <c r="B593" s="9">
        <v>45702</v>
      </c>
      <c r="C593" s="10">
        <v>1.958333333333333</v>
      </c>
      <c r="D593" s="11">
        <v>153490.6805495274</v>
      </c>
      <c r="E593" s="11">
        <v>28063.61519811301</v>
      </c>
      <c r="F593" s="11">
        <v>47251.915658378188</v>
      </c>
      <c r="G593" s="11">
        <v>42982.134379315001</v>
      </c>
      <c r="H593" s="12">
        <v>3.7846965525381721E-2</v>
      </c>
      <c r="I593" s="13">
        <v>1429</v>
      </c>
      <c r="J593" s="13">
        <v>1260614</v>
      </c>
      <c r="K593" s="12">
        <v>7.0090875946801856E-2</v>
      </c>
      <c r="L593" s="14">
        <v>198.7869097222223</v>
      </c>
      <c r="M593" s="15"/>
      <c r="N593" s="16">
        <f t="shared" si="153"/>
        <v>110508.5461702124</v>
      </c>
      <c r="O593" s="17">
        <f t="shared" si="154"/>
        <v>228806.21140601861</v>
      </c>
      <c r="P593" s="18">
        <f t="shared" si="155"/>
        <v>45483679.690651931</v>
      </c>
      <c r="Q593" s="19">
        <f t="shared" si="156"/>
        <v>0.12265233109565317</v>
      </c>
      <c r="R593" s="20">
        <f t="shared" si="157"/>
        <v>3.7846965525381721E-2</v>
      </c>
      <c r="S593" s="20">
        <f t="shared" si="158"/>
        <v>1.2815132257069001E-2</v>
      </c>
      <c r="T593" s="20">
        <f t="shared" si="159"/>
        <v>2.1577389238244062E-2</v>
      </c>
      <c r="U593" s="20">
        <f t="shared" si="160"/>
        <v>0.10448339744211492</v>
      </c>
      <c r="V593" s="21">
        <f t="shared" si="161"/>
        <v>408436111.19648755</v>
      </c>
      <c r="W593" s="21" t="str">
        <f t="shared" si="162"/>
        <v/>
      </c>
      <c r="X593" s="19" t="str">
        <f t="shared" si="163"/>
        <v/>
      </c>
      <c r="Y593" s="17" t="str">
        <f t="shared" si="164"/>
        <v/>
      </c>
      <c r="Z593" s="17" t="str">
        <f t="shared" si="165"/>
        <v/>
      </c>
      <c r="AA593" s="20">
        <f t="shared" si="166"/>
        <v>3.5977430190731942E-2</v>
      </c>
      <c r="AB593" s="17" t="str">
        <f t="shared" si="167"/>
        <v/>
      </c>
      <c r="AC593" s="18" t="str">
        <f t="shared" si="168"/>
        <v/>
      </c>
      <c r="AD593" s="19" t="str">
        <f t="shared" si="169"/>
        <v/>
      </c>
    </row>
    <row r="594" spans="1:30" x14ac:dyDescent="0.25">
      <c r="A594" s="8">
        <v>743</v>
      </c>
      <c r="B594" s="9">
        <v>45704</v>
      </c>
      <c r="C594" s="10">
        <v>1.958333333333333</v>
      </c>
      <c r="D594" s="11">
        <v>153393.26738936841</v>
      </c>
      <c r="E594" s="11">
        <v>19830.630629345</v>
      </c>
      <c r="F594" s="11">
        <v>28268.525122453189</v>
      </c>
      <c r="G594" s="11">
        <v>42550.662989060998</v>
      </c>
      <c r="H594" s="12">
        <v>3.7874350450118908E-2</v>
      </c>
      <c r="I594" s="13">
        <v>1395</v>
      </c>
      <c r="J594" s="13">
        <v>1272110</v>
      </c>
      <c r="K594" s="12">
        <v>6.991061471266985E-2</v>
      </c>
      <c r="L594" s="14">
        <v>192.2503819444446</v>
      </c>
      <c r="M594" s="15"/>
      <c r="N594" s="16">
        <f t="shared" si="153"/>
        <v>110842.60440030741</v>
      </c>
      <c r="O594" s="17">
        <f t="shared" si="154"/>
        <v>201492.4231411666</v>
      </c>
      <c r="P594" s="18">
        <f t="shared" si="155"/>
        <v>38736995.307800926</v>
      </c>
      <c r="Q594" s="19">
        <f t="shared" si="156"/>
        <v>9.8418741112917985E-2</v>
      </c>
      <c r="R594" s="20">
        <f t="shared" si="157"/>
        <v>3.7874350450118908E-2</v>
      </c>
      <c r="S594" s="20">
        <f t="shared" si="158"/>
        <v>9.0380210359447405E-3</v>
      </c>
      <c r="T594" s="20">
        <f t="shared" si="159"/>
        <v>1.2883681285142423E-2</v>
      </c>
      <c r="U594" s="20">
        <f t="shared" si="160"/>
        <v>9.1832317033757008E-2</v>
      </c>
      <c r="V594" s="21">
        <f t="shared" si="161"/>
        <v>409229361.36338156</v>
      </c>
      <c r="W594" s="21" t="str">
        <f t="shared" si="162"/>
        <v/>
      </c>
      <c r="X594" s="19" t="str">
        <f t="shared" si="163"/>
        <v/>
      </c>
      <c r="Y594" s="17" t="str">
        <f t="shared" si="164"/>
        <v/>
      </c>
      <c r="Z594" s="17" t="str">
        <f t="shared" si="165"/>
        <v/>
      </c>
      <c r="AA594" s="20">
        <f t="shared" si="166"/>
        <v>3.5945427931629761E-2</v>
      </c>
      <c r="AB594" s="17" t="str">
        <f t="shared" si="167"/>
        <v/>
      </c>
      <c r="AC594" s="18" t="str">
        <f t="shared" si="168"/>
        <v/>
      </c>
      <c r="AD594" s="19" t="str">
        <f t="shared" si="169"/>
        <v/>
      </c>
    </row>
    <row r="595" spans="1:30" x14ac:dyDescent="0.25">
      <c r="A595" s="8">
        <v>744</v>
      </c>
      <c r="B595" s="9">
        <v>45706</v>
      </c>
      <c r="C595" s="10">
        <v>1.958333333333333</v>
      </c>
      <c r="D595" s="11">
        <v>153295.89080320939</v>
      </c>
      <c r="E595" s="11">
        <v>26732.082103089</v>
      </c>
      <c r="F595" s="11">
        <v>32022.73655393891</v>
      </c>
      <c r="G595" s="11">
        <v>42425.442418527004</v>
      </c>
      <c r="H595" s="12">
        <v>3.7668361954332603E-2</v>
      </c>
      <c r="I595" s="13">
        <v>1366</v>
      </c>
      <c r="J595" s="13">
        <v>1281286</v>
      </c>
      <c r="K595" s="12">
        <v>7.0035046738926118E-2</v>
      </c>
      <c r="L595" s="14">
        <v>169.59656249999989</v>
      </c>
      <c r="M595" s="15"/>
      <c r="N595" s="16">
        <f t="shared" si="153"/>
        <v>110870.44838468239</v>
      </c>
      <c r="O595" s="17">
        <f t="shared" si="154"/>
        <v>212050.7094602373</v>
      </c>
      <c r="P595" s="18">
        <f t="shared" si="155"/>
        <v>35963071.400142454</v>
      </c>
      <c r="Q595" s="19">
        <f t="shared" si="156"/>
        <v>0.12606457281437047</v>
      </c>
      <c r="R595" s="20">
        <f t="shared" si="157"/>
        <v>3.7668361954332603E-2</v>
      </c>
      <c r="S595" s="20">
        <f t="shared" si="158"/>
        <v>1.2212868914549226E-2</v>
      </c>
      <c r="T595" s="20">
        <f t="shared" si="159"/>
        <v>1.4629967179893099E-2</v>
      </c>
      <c r="U595" s="20">
        <f t="shared" si="160"/>
        <v>9.6877882833368442E-2</v>
      </c>
      <c r="V595" s="21">
        <f t="shared" si="161"/>
        <v>408242955.11258948</v>
      </c>
      <c r="W595" s="21" t="str">
        <f t="shared" si="162"/>
        <v/>
      </c>
      <c r="X595" s="19" t="str">
        <f t="shared" si="163"/>
        <v/>
      </c>
      <c r="Y595" s="17" t="str">
        <f t="shared" si="164"/>
        <v/>
      </c>
      <c r="Z595" s="17" t="str">
        <f t="shared" si="165"/>
        <v/>
      </c>
      <c r="AA595" s="20">
        <f t="shared" si="166"/>
        <v>3.591345413883499E-2</v>
      </c>
      <c r="AB595" s="17" t="str">
        <f t="shared" si="167"/>
        <v/>
      </c>
      <c r="AC595" s="18" t="str">
        <f t="shared" si="168"/>
        <v/>
      </c>
      <c r="AD595" s="19" t="str">
        <f t="shared" si="169"/>
        <v/>
      </c>
    </row>
    <row r="596" spans="1:30" x14ac:dyDescent="0.25">
      <c r="A596" s="8">
        <v>745</v>
      </c>
      <c r="B596" s="9">
        <v>45708</v>
      </c>
      <c r="C596" s="10">
        <v>1.958333333333333</v>
      </c>
      <c r="D596" s="11">
        <v>153198.55632730789</v>
      </c>
      <c r="E596" s="11">
        <v>19756.917423667011</v>
      </c>
      <c r="F596" s="11">
        <v>27007.788109947342</v>
      </c>
      <c r="G596" s="11">
        <v>42422.500481210001</v>
      </c>
      <c r="H596" s="12">
        <v>3.7624074332870683E-2</v>
      </c>
      <c r="I596" s="13">
        <v>1331</v>
      </c>
      <c r="J596" s="13">
        <v>1286017</v>
      </c>
      <c r="K596" s="12">
        <v>6.9839252986447026E-2</v>
      </c>
      <c r="L596" s="14">
        <v>172.8669097222222</v>
      </c>
      <c r="M596" s="15"/>
      <c r="N596" s="16">
        <f t="shared" si="153"/>
        <v>110776.05584609788</v>
      </c>
      <c r="O596" s="17">
        <f t="shared" si="154"/>
        <v>199963.26186092224</v>
      </c>
      <c r="P596" s="18">
        <f t="shared" si="155"/>
        <v>34567031.135873124</v>
      </c>
      <c r="Q596" s="19">
        <f t="shared" si="156"/>
        <v>9.8802736261665275E-2</v>
      </c>
      <c r="R596" s="20">
        <f t="shared" si="157"/>
        <v>3.7624074332870683E-2</v>
      </c>
      <c r="S596" s="20">
        <f t="shared" si="158"/>
        <v>9.0066668202529957E-3</v>
      </c>
      <c r="T596" s="20">
        <f t="shared" si="159"/>
        <v>1.231215092122085E-2</v>
      </c>
      <c r="U596" s="20">
        <f t="shared" si="160"/>
        <v>9.115807072792087E-2</v>
      </c>
      <c r="V596" s="21">
        <f t="shared" si="161"/>
        <v>409127522.20393366</v>
      </c>
      <c r="W596" s="21" t="str">
        <f t="shared" si="162"/>
        <v/>
      </c>
      <c r="X596" s="19" t="str">
        <f t="shared" si="163"/>
        <v/>
      </c>
      <c r="Y596" s="17" t="str">
        <f t="shared" si="164"/>
        <v/>
      </c>
      <c r="Z596" s="17" t="str">
        <f t="shared" si="165"/>
        <v/>
      </c>
      <c r="AA596" s="20">
        <f t="shared" si="166"/>
        <v>3.5881508787026589E-2</v>
      </c>
      <c r="AB596" s="17" t="str">
        <f t="shared" si="167"/>
        <v/>
      </c>
      <c r="AC596" s="18" t="str">
        <f t="shared" si="168"/>
        <v/>
      </c>
      <c r="AD596" s="19" t="str">
        <f t="shared" si="169"/>
        <v/>
      </c>
    </row>
    <row r="597" spans="1:30" x14ac:dyDescent="0.25">
      <c r="A597" s="8">
        <v>746</v>
      </c>
      <c r="B597" s="9">
        <v>45710</v>
      </c>
      <c r="C597" s="10">
        <v>1.958333333333333</v>
      </c>
      <c r="D597" s="11">
        <v>153101.25003223581</v>
      </c>
      <c r="E597" s="11">
        <v>16873.100605213</v>
      </c>
      <c r="F597" s="11">
        <v>20726.77197978078</v>
      </c>
      <c r="G597" s="11">
        <v>42997.031771613001</v>
      </c>
      <c r="H597" s="12">
        <v>3.768710854522777E-2</v>
      </c>
      <c r="I597" s="13">
        <v>1339</v>
      </c>
      <c r="J597" s="13">
        <v>1248754</v>
      </c>
      <c r="K597" s="12">
        <v>6.9789106827271699E-2</v>
      </c>
      <c r="L597" s="14">
        <v>172.5926041666668</v>
      </c>
      <c r="M597" s="15"/>
      <c r="N597" s="16">
        <f t="shared" si="153"/>
        <v>110104.21826062282</v>
      </c>
      <c r="O597" s="17">
        <f t="shared" si="154"/>
        <v>190701.12261722959</v>
      </c>
      <c r="P597" s="18">
        <f t="shared" si="155"/>
        <v>32913603.370014496</v>
      </c>
      <c r="Q597" s="19">
        <f t="shared" si="156"/>
        <v>8.8479293533474654E-2</v>
      </c>
      <c r="R597" s="20">
        <f t="shared" si="157"/>
        <v>3.768710854522777E-2</v>
      </c>
      <c r="S597" s="20">
        <f t="shared" si="158"/>
        <v>7.691371692893266E-3</v>
      </c>
      <c r="T597" s="20">
        <f t="shared" si="159"/>
        <v>9.4480149807846647E-3</v>
      </c>
      <c r="U597" s="20">
        <f t="shared" si="160"/>
        <v>8.6928493500949625E-2</v>
      </c>
      <c r="V597" s="21">
        <f t="shared" si="161"/>
        <v>409161446.04613173</v>
      </c>
      <c r="W597" s="21" t="str">
        <f t="shared" si="162"/>
        <v/>
      </c>
      <c r="X597" s="19" t="str">
        <f t="shared" si="163"/>
        <v/>
      </c>
      <c r="Y597" s="17" t="str">
        <f t="shared" si="164"/>
        <v/>
      </c>
      <c r="Z597" s="17" t="str">
        <f t="shared" si="165"/>
        <v/>
      </c>
      <c r="AA597" s="20">
        <f t="shared" si="166"/>
        <v>3.5849591850906026E-2</v>
      </c>
      <c r="AB597" s="17" t="str">
        <f t="shared" si="167"/>
        <v/>
      </c>
      <c r="AC597" s="18" t="str">
        <f t="shared" si="168"/>
        <v/>
      </c>
      <c r="AD597" s="19" t="str">
        <f t="shared" si="169"/>
        <v/>
      </c>
    </row>
    <row r="598" spans="1:30" x14ac:dyDescent="0.25">
      <c r="A598" s="8">
        <v>747</v>
      </c>
      <c r="B598" s="9">
        <v>45712</v>
      </c>
      <c r="C598" s="10">
        <v>1.958333333333333</v>
      </c>
      <c r="D598" s="11">
        <v>153003.9738003723</v>
      </c>
      <c r="E598" s="11">
        <v>17061.626346207999</v>
      </c>
      <c r="F598" s="11">
        <v>23551.422541786309</v>
      </c>
      <c r="G598" s="11">
        <v>42794.456770778001</v>
      </c>
      <c r="H598" s="12">
        <v>3.7657400360791973E-2</v>
      </c>
      <c r="I598" s="13">
        <v>1332</v>
      </c>
      <c r="J598" s="13">
        <v>1260436</v>
      </c>
      <c r="K598" s="12">
        <v>7.0571180596379443E-2</v>
      </c>
      <c r="L598" s="14">
        <v>157.07899305555549</v>
      </c>
      <c r="M598" s="15"/>
      <c r="N598" s="16">
        <f t="shared" si="153"/>
        <v>110209.51702959431</v>
      </c>
      <c r="O598" s="17">
        <f t="shared" si="154"/>
        <v>193617.02268836662</v>
      </c>
      <c r="P598" s="18">
        <f t="shared" si="155"/>
        <v>30413166.96230327</v>
      </c>
      <c r="Q598" s="19">
        <f t="shared" si="156"/>
        <v>8.8120487079637017E-2</v>
      </c>
      <c r="R598" s="20">
        <f t="shared" si="157"/>
        <v>3.7657400360791973E-2</v>
      </c>
      <c r="S598" s="20">
        <f t="shared" si="158"/>
        <v>7.8694630226869341E-3</v>
      </c>
      <c r="T598" s="20">
        <f t="shared" si="159"/>
        <v>1.0862800829386036E-2</v>
      </c>
      <c r="U598" s="20">
        <f t="shared" si="160"/>
        <v>8.930344444845241E-2</v>
      </c>
      <c r="V598" s="21">
        <f t="shared" si="161"/>
        <v>404370007.33812892</v>
      </c>
      <c r="W598" s="21" t="str">
        <f t="shared" si="162"/>
        <v/>
      </c>
      <c r="X598" s="19" t="str">
        <f t="shared" si="163"/>
        <v/>
      </c>
      <c r="Y598" s="17" t="str">
        <f t="shared" si="164"/>
        <v/>
      </c>
      <c r="Z598" s="17" t="str">
        <f t="shared" si="165"/>
        <v/>
      </c>
      <c r="AA598" s="20">
        <f t="shared" si="166"/>
        <v>3.581770330519729E-2</v>
      </c>
      <c r="AB598" s="17" t="str">
        <f t="shared" si="167"/>
        <v/>
      </c>
      <c r="AC598" s="18" t="str">
        <f t="shared" si="168"/>
        <v/>
      </c>
      <c r="AD598" s="19" t="str">
        <f t="shared" si="169"/>
        <v/>
      </c>
    </row>
    <row r="599" spans="1:30" x14ac:dyDescent="0.25">
      <c r="A599" s="8">
        <v>748</v>
      </c>
      <c r="B599" s="9">
        <v>45714</v>
      </c>
      <c r="C599" s="10">
        <v>1.958333333333333</v>
      </c>
      <c r="D599" s="11">
        <v>152906.71704092811</v>
      </c>
      <c r="E599" s="11">
        <v>14895.798774987001</v>
      </c>
      <c r="F599" s="11">
        <v>19386.77238012664</v>
      </c>
      <c r="G599" s="11">
        <v>42891.577235320001</v>
      </c>
      <c r="H599" s="12">
        <v>3.7618966143526278E-2</v>
      </c>
      <c r="I599" s="13">
        <v>1338</v>
      </c>
      <c r="J599" s="13">
        <v>1255798</v>
      </c>
      <c r="K599" s="12">
        <v>7.1195708598629975E-2</v>
      </c>
      <c r="L599" s="14">
        <v>138.88864583333341</v>
      </c>
      <c r="M599" s="15"/>
      <c r="N599" s="16">
        <f t="shared" si="153"/>
        <v>110015.13980560811</v>
      </c>
      <c r="O599" s="17">
        <f t="shared" si="154"/>
        <v>187189.28819604174</v>
      </c>
      <c r="P599" s="18">
        <f t="shared" si="155"/>
        <v>25998466.75205382</v>
      </c>
      <c r="Q599" s="19">
        <f t="shared" si="156"/>
        <v>7.9576128092258988E-2</v>
      </c>
      <c r="R599" s="20">
        <f t="shared" si="157"/>
        <v>3.7618966143526278E-2</v>
      </c>
      <c r="S599" s="20">
        <f t="shared" si="158"/>
        <v>6.9357119781986972E-3</v>
      </c>
      <c r="T599" s="20">
        <f t="shared" si="159"/>
        <v>9.0267780497439842E-3</v>
      </c>
      <c r="U599" s="20">
        <f t="shared" si="160"/>
        <v>8.7158198626572661E-2</v>
      </c>
      <c r="V599" s="21">
        <f t="shared" si="161"/>
        <v>400568095.4186675</v>
      </c>
      <c r="W599" s="21" t="str">
        <f t="shared" si="162"/>
        <v/>
      </c>
      <c r="X599" s="19" t="str">
        <f t="shared" si="163"/>
        <v/>
      </c>
      <c r="Y599" s="17" t="str">
        <f t="shared" si="164"/>
        <v/>
      </c>
      <c r="Z599" s="17" t="str">
        <f t="shared" si="165"/>
        <v/>
      </c>
      <c r="AA599" s="20">
        <f t="shared" si="166"/>
        <v>3.5785843124646839E-2</v>
      </c>
      <c r="AB599" s="17" t="str">
        <f t="shared" si="167"/>
        <v/>
      </c>
      <c r="AC599" s="18" t="str">
        <f t="shared" si="168"/>
        <v/>
      </c>
      <c r="AD599" s="19" t="str">
        <f t="shared" si="169"/>
        <v/>
      </c>
    </row>
    <row r="600" spans="1:30" x14ac:dyDescent="0.25">
      <c r="A600" s="8">
        <v>749</v>
      </c>
      <c r="B600" s="9">
        <v>45716</v>
      </c>
      <c r="C600" s="10">
        <v>1.958333333333333</v>
      </c>
      <c r="D600" s="11">
        <v>152809.48772544839</v>
      </c>
      <c r="E600" s="11">
        <v>11306.871996799009</v>
      </c>
      <c r="F600" s="11">
        <v>14491.689475068461</v>
      </c>
      <c r="G600" s="11">
        <v>43051.849075373</v>
      </c>
      <c r="H600" s="12">
        <v>3.7420884725248578E-2</v>
      </c>
      <c r="I600" s="13">
        <v>1341</v>
      </c>
      <c r="J600" s="13">
        <v>1252486</v>
      </c>
      <c r="K600" s="12">
        <v>7.0822094902104005E-2</v>
      </c>
      <c r="L600" s="14">
        <v>137.38038194444479</v>
      </c>
      <c r="M600" s="15"/>
      <c r="N600" s="16">
        <f t="shared" si="153"/>
        <v>109757.63865007539</v>
      </c>
      <c r="O600" s="17">
        <f t="shared" si="154"/>
        <v>178608.04919731588</v>
      </c>
      <c r="P600" s="18">
        <f t="shared" si="155"/>
        <v>24537242.017079443</v>
      </c>
      <c r="Q600" s="19">
        <f t="shared" si="156"/>
        <v>6.3305500774535797E-2</v>
      </c>
      <c r="R600" s="20">
        <f t="shared" si="157"/>
        <v>3.7420884725248578E-2</v>
      </c>
      <c r="S600" s="20">
        <f t="shared" si="158"/>
        <v>5.2403576081741093E-3</v>
      </c>
      <c r="T600" s="20">
        <f t="shared" si="159"/>
        <v>6.7164141610049945E-3</v>
      </c>
      <c r="U600" s="20">
        <f t="shared" si="160"/>
        <v>8.2778866671283105E-2</v>
      </c>
      <c r="V600" s="21">
        <f t="shared" si="161"/>
        <v>402425191.36210364</v>
      </c>
      <c r="W600" s="21" t="str">
        <f t="shared" si="162"/>
        <v/>
      </c>
      <c r="X600" s="19" t="str">
        <f t="shared" si="163"/>
        <v/>
      </c>
      <c r="Y600" s="17" t="str">
        <f t="shared" si="164"/>
        <v/>
      </c>
      <c r="Z600" s="17" t="str">
        <f t="shared" si="165"/>
        <v/>
      </c>
      <c r="AA600" s="20">
        <f t="shared" si="166"/>
        <v>3.5754011284023605E-2</v>
      </c>
      <c r="AB600" s="17" t="str">
        <f t="shared" si="167"/>
        <v/>
      </c>
      <c r="AC600" s="18" t="str">
        <f t="shared" si="168"/>
        <v/>
      </c>
      <c r="AD600" s="19" t="str">
        <f t="shared" si="169"/>
        <v/>
      </c>
    </row>
    <row r="601" spans="1:30" x14ac:dyDescent="0.25">
      <c r="A601" s="8">
        <v>750</v>
      </c>
      <c r="B601" s="9">
        <v>45718</v>
      </c>
      <c r="C601" s="10">
        <v>1.958333333333333</v>
      </c>
      <c r="D601" s="11">
        <v>152712.29723340209</v>
      </c>
      <c r="E601" s="11">
        <v>15353.18916662101</v>
      </c>
      <c r="F601" s="11">
        <v>24983.914777139398</v>
      </c>
      <c r="G601" s="11">
        <v>43415.955183612998</v>
      </c>
      <c r="H601" s="12">
        <v>3.720856380576943E-2</v>
      </c>
      <c r="I601" s="13">
        <v>1332</v>
      </c>
      <c r="J601" s="13">
        <v>1234076</v>
      </c>
      <c r="K601" s="12">
        <v>7.1215091708713235E-2</v>
      </c>
      <c r="L601" s="14">
        <v>153.56562499999981</v>
      </c>
      <c r="M601" s="15"/>
      <c r="N601" s="16">
        <f t="shared" si="153"/>
        <v>109296.34204978909</v>
      </c>
      <c r="O601" s="17">
        <f t="shared" si="154"/>
        <v>193049.40117716251</v>
      </c>
      <c r="P601" s="18">
        <f t="shared" si="155"/>
        <v>29645751.947646659</v>
      </c>
      <c r="Q601" s="19">
        <f t="shared" si="156"/>
        <v>7.9529846106755356E-2</v>
      </c>
      <c r="R601" s="20">
        <f t="shared" si="157"/>
        <v>3.720856380576943E-2</v>
      </c>
      <c r="S601" s="20">
        <f t="shared" si="158"/>
        <v>7.1597297292374682E-3</v>
      </c>
      <c r="T601" s="20">
        <f t="shared" si="159"/>
        <v>1.1650874319422487E-2</v>
      </c>
      <c r="U601" s="20">
        <f t="shared" si="160"/>
        <v>9.0025695757373181E-2</v>
      </c>
      <c r="V601" s="21">
        <f t="shared" si="161"/>
        <v>399949889.12513572</v>
      </c>
      <c r="W601" s="21" t="str">
        <f t="shared" si="162"/>
        <v/>
      </c>
      <c r="X601" s="19" t="str">
        <f t="shared" si="163"/>
        <v/>
      </c>
      <c r="Y601" s="17" t="str">
        <f t="shared" si="164"/>
        <v/>
      </c>
      <c r="Z601" s="17" t="str">
        <f t="shared" si="165"/>
        <v/>
      </c>
      <c r="AA601" s="20">
        <f t="shared" si="166"/>
        <v>3.5722207758118955E-2</v>
      </c>
      <c r="AB601" s="17" t="str">
        <f t="shared" si="167"/>
        <v/>
      </c>
      <c r="AC601" s="18" t="str">
        <f t="shared" si="168"/>
        <v/>
      </c>
      <c r="AD601" s="19" t="str">
        <f t="shared" si="169"/>
        <v/>
      </c>
    </row>
    <row r="602" spans="1:30" x14ac:dyDescent="0.25">
      <c r="A602" s="8">
        <v>751</v>
      </c>
      <c r="B602" s="9">
        <v>45720</v>
      </c>
      <c r="C602" s="10">
        <v>1.958333333333333</v>
      </c>
      <c r="D602" s="11">
        <v>152615.12307089579</v>
      </c>
      <c r="E602" s="11">
        <v>14573.035549558001</v>
      </c>
      <c r="F602" s="11">
        <v>20707.90256534527</v>
      </c>
      <c r="G602" s="11">
        <v>43852.721696408997</v>
      </c>
      <c r="H602" s="12">
        <v>3.6816047466191597E-2</v>
      </c>
      <c r="I602" s="13">
        <v>1335</v>
      </c>
      <c r="J602" s="13">
        <v>1261657</v>
      </c>
      <c r="K602" s="12">
        <v>7.2105756375134694E-2</v>
      </c>
      <c r="L602" s="14">
        <v>142.51410000000001</v>
      </c>
      <c r="M602" s="15">
        <v>79116115025</v>
      </c>
      <c r="N602" s="16">
        <f t="shared" si="153"/>
        <v>108762.4013744868</v>
      </c>
      <c r="O602" s="17">
        <f t="shared" si="154"/>
        <v>187896.06118579907</v>
      </c>
      <c r="P602" s="18">
        <f t="shared" si="155"/>
        <v>26777838.053439092</v>
      </c>
      <c r="Q602" s="19">
        <f t="shared" si="156"/>
        <v>7.7559026291389929E-2</v>
      </c>
      <c r="R602" s="20">
        <f t="shared" si="157"/>
        <v>3.6816047466191597E-2</v>
      </c>
      <c r="S602" s="20">
        <f t="shared" si="158"/>
        <v>6.8852924260623116E-3</v>
      </c>
      <c r="T602" s="20">
        <f t="shared" si="159"/>
        <v>9.7838205504914549E-3</v>
      </c>
      <c r="U602" s="20">
        <f t="shared" si="160"/>
        <v>8.8774869351688462E-2</v>
      </c>
      <c r="V602" s="21">
        <f t="shared" si="161"/>
        <v>394758275.18920398</v>
      </c>
      <c r="W602" s="21">
        <f t="shared" si="162"/>
        <v>555145876.96936643</v>
      </c>
      <c r="X602" s="19">
        <f t="shared" si="163"/>
        <v>0.71108926782318005</v>
      </c>
      <c r="Y602" s="17" t="str">
        <f t="shared" si="164"/>
        <v/>
      </c>
      <c r="Z602" s="17" t="str">
        <f t="shared" si="165"/>
        <v/>
      </c>
      <c r="AA602" s="20">
        <f t="shared" si="166"/>
        <v>3.5690432521746696E-2</v>
      </c>
      <c r="AB602" s="17" t="str">
        <f t="shared" si="167"/>
        <v/>
      </c>
      <c r="AC602" s="18" t="str">
        <f t="shared" si="168"/>
        <v/>
      </c>
      <c r="AD602" s="19" t="str">
        <f t="shared" si="169"/>
        <v/>
      </c>
    </row>
    <row r="603" spans="1:30" x14ac:dyDescent="0.25">
      <c r="A603" s="8">
        <v>752</v>
      </c>
      <c r="B603" s="9">
        <v>45722</v>
      </c>
      <c r="C603" s="10">
        <v>1.958333333333333</v>
      </c>
      <c r="D603" s="11">
        <v>152517.96379028651</v>
      </c>
      <c r="E603" s="11">
        <v>17214.957819065021</v>
      </c>
      <c r="F603" s="11">
        <v>24412.759895479361</v>
      </c>
      <c r="G603" s="11">
        <v>43313.026902737001</v>
      </c>
      <c r="H603" s="12">
        <v>3.668261111857174E-2</v>
      </c>
      <c r="I603" s="13">
        <v>1334</v>
      </c>
      <c r="J603" s="13">
        <v>1251862</v>
      </c>
      <c r="K603" s="12">
        <v>7.1746573836840716E-2</v>
      </c>
      <c r="L603" s="14">
        <v>146.1816</v>
      </c>
      <c r="M603" s="15">
        <v>80975578929</v>
      </c>
      <c r="N603" s="16">
        <f t="shared" si="153"/>
        <v>109204.9368875495</v>
      </c>
      <c r="O603" s="17">
        <f t="shared" si="154"/>
        <v>194145.68150483089</v>
      </c>
      <c r="P603" s="18">
        <f t="shared" si="155"/>
        <v>28380526.355466589</v>
      </c>
      <c r="Q603" s="19">
        <f t="shared" si="156"/>
        <v>8.867031028262487E-2</v>
      </c>
      <c r="R603" s="20">
        <f t="shared" si="157"/>
        <v>3.668261111857174E-2</v>
      </c>
      <c r="S603" s="20">
        <f t="shared" si="158"/>
        <v>8.0981558602627266E-3</v>
      </c>
      <c r="T603" s="20">
        <f t="shared" si="159"/>
        <v>1.1484102179664848E-2</v>
      </c>
      <c r="U603" s="20">
        <f t="shared" si="160"/>
        <v>9.1328831876768296E-2</v>
      </c>
      <c r="V603" s="21">
        <f t="shared" si="161"/>
        <v>396481967.80947107</v>
      </c>
      <c r="W603" s="21">
        <f t="shared" si="162"/>
        <v>553938244.82014155</v>
      </c>
      <c r="X603" s="19">
        <f t="shared" si="163"/>
        <v>0.71575120785928936</v>
      </c>
      <c r="Y603" s="17" t="str">
        <f t="shared" si="164"/>
        <v/>
      </c>
      <c r="Z603" s="17" t="str">
        <f t="shared" si="165"/>
        <v/>
      </c>
      <c r="AA603" s="20">
        <f t="shared" si="166"/>
        <v>3.5658685549743004E-2</v>
      </c>
      <c r="AB603" s="17" t="str">
        <f t="shared" si="167"/>
        <v/>
      </c>
      <c r="AC603" s="18" t="str">
        <f t="shared" si="168"/>
        <v/>
      </c>
      <c r="AD603" s="19" t="str">
        <f t="shared" si="169"/>
        <v/>
      </c>
    </row>
    <row r="604" spans="1:30" x14ac:dyDescent="0.25">
      <c r="A604" s="8">
        <v>753</v>
      </c>
      <c r="B604" s="9">
        <v>45724</v>
      </c>
      <c r="C604" s="10">
        <v>1.958333333333333</v>
      </c>
      <c r="D604" s="11">
        <v>152420.8324127892</v>
      </c>
      <c r="E604" s="11">
        <v>12047.819905409</v>
      </c>
      <c r="F604" s="11">
        <v>17819.366862786472</v>
      </c>
      <c r="G604" s="11">
        <v>43161.773953641998</v>
      </c>
      <c r="H604" s="12">
        <v>3.6657862559006708E-2</v>
      </c>
      <c r="I604" s="13">
        <v>1345</v>
      </c>
      <c r="J604" s="13">
        <v>1269168</v>
      </c>
      <c r="K604" s="12">
        <v>7.1714558260937949E-2</v>
      </c>
      <c r="L604" s="14">
        <v>139.18270000000001</v>
      </c>
      <c r="M604" s="15">
        <v>77197009894</v>
      </c>
      <c r="N604" s="16">
        <f t="shared" si="153"/>
        <v>109259.0584591472</v>
      </c>
      <c r="O604" s="17">
        <f t="shared" si="154"/>
        <v>182288.01918098467</v>
      </c>
      <c r="P604" s="18">
        <f t="shared" si="155"/>
        <v>25371338.687261239</v>
      </c>
      <c r="Q604" s="19">
        <f t="shared" si="156"/>
        <v>6.609222021029984E-2</v>
      </c>
      <c r="R604" s="20">
        <f t="shared" si="157"/>
        <v>3.6657862559006708E-2</v>
      </c>
      <c r="S604" s="20">
        <f t="shared" si="158"/>
        <v>5.6685432617493408E-3</v>
      </c>
      <c r="T604" s="20">
        <f t="shared" si="159"/>
        <v>8.3840771817429195E-3</v>
      </c>
      <c r="U604" s="20">
        <f t="shared" si="160"/>
        <v>8.5767178704430208E-2</v>
      </c>
      <c r="V604" s="21">
        <f t="shared" si="161"/>
        <v>396406356.42995787</v>
      </c>
      <c r="W604" s="21">
        <f t="shared" si="162"/>
        <v>554645152.69498289</v>
      </c>
      <c r="X604" s="19">
        <f t="shared" si="163"/>
        <v>0.71470264276870799</v>
      </c>
      <c r="Y604" s="17" t="str">
        <f t="shared" si="164"/>
        <v/>
      </c>
      <c r="Z604" s="17" t="str">
        <f t="shared" si="165"/>
        <v/>
      </c>
      <c r="AA604" s="20">
        <f t="shared" si="166"/>
        <v>3.5626966816966477E-2</v>
      </c>
      <c r="AB604" s="17" t="str">
        <f t="shared" si="167"/>
        <v/>
      </c>
      <c r="AC604" s="18" t="str">
        <f t="shared" si="168"/>
        <v/>
      </c>
      <c r="AD604" s="19" t="str">
        <f t="shared" si="169"/>
        <v/>
      </c>
    </row>
    <row r="605" spans="1:30" x14ac:dyDescent="0.25">
      <c r="A605" s="8">
        <v>754</v>
      </c>
      <c r="B605" s="9">
        <v>45726</v>
      </c>
      <c r="C605" s="10">
        <v>1.958333333333333</v>
      </c>
      <c r="D605" s="11">
        <v>152323.74109437541</v>
      </c>
      <c r="E605" s="11">
        <v>12523.085083713009</v>
      </c>
      <c r="F605" s="11">
        <v>17802.44672721214</v>
      </c>
      <c r="G605" s="11">
        <v>42938.070405049002</v>
      </c>
      <c r="H605" s="12">
        <v>3.639881247418314E-2</v>
      </c>
      <c r="I605" s="13">
        <v>1354</v>
      </c>
      <c r="J605" s="13">
        <v>1263334</v>
      </c>
      <c r="K605" s="12">
        <v>7.1658552565601094E-2</v>
      </c>
      <c r="L605" s="14">
        <v>126.6343</v>
      </c>
      <c r="M605" s="15">
        <v>70276846368</v>
      </c>
      <c r="N605" s="16">
        <f t="shared" si="153"/>
        <v>109385.67068932641</v>
      </c>
      <c r="O605" s="17">
        <f t="shared" si="154"/>
        <v>182649.27290530055</v>
      </c>
      <c r="P605" s="18">
        <f t="shared" si="155"/>
        <v>23129662.819871701</v>
      </c>
      <c r="Q605" s="19">
        <f t="shared" si="156"/>
        <v>6.8563563842961153E-2</v>
      </c>
      <c r="R605" s="20">
        <f t="shared" si="157"/>
        <v>3.639881247418314E-2</v>
      </c>
      <c r="S605" s="20">
        <f t="shared" si="158"/>
        <v>5.8913085006148122E-3</v>
      </c>
      <c r="T605" s="20">
        <f t="shared" si="159"/>
        <v>8.3749096196886266E-3</v>
      </c>
      <c r="U605" s="20">
        <f t="shared" si="160"/>
        <v>8.5924770685904539E-2</v>
      </c>
      <c r="V605" s="21">
        <f t="shared" si="161"/>
        <v>396463466.84749693</v>
      </c>
      <c r="W605" s="21">
        <f t="shared" si="162"/>
        <v>554959014.80088735</v>
      </c>
      <c r="X605" s="19">
        <f t="shared" si="163"/>
        <v>0.71440134545745382</v>
      </c>
      <c r="Y605" s="17" t="str">
        <f t="shared" si="164"/>
        <v/>
      </c>
      <c r="Z605" s="17" t="str">
        <f t="shared" si="165"/>
        <v/>
      </c>
      <c r="AA605" s="20">
        <f t="shared" si="166"/>
        <v>3.5595276298298048E-2</v>
      </c>
      <c r="AB605" s="17" t="str">
        <f t="shared" si="167"/>
        <v/>
      </c>
      <c r="AC605" s="18" t="str">
        <f t="shared" si="168"/>
        <v/>
      </c>
      <c r="AD605" s="19" t="str">
        <f t="shared" si="169"/>
        <v/>
      </c>
    </row>
    <row r="606" spans="1:30" x14ac:dyDescent="0.25">
      <c r="A606" s="8">
        <v>755</v>
      </c>
      <c r="B606" s="9">
        <v>45728</v>
      </c>
      <c r="C606" s="10">
        <v>1.958333333333333</v>
      </c>
      <c r="D606" s="11">
        <v>152226.67655657281</v>
      </c>
      <c r="E606" s="11">
        <v>13247.670168524</v>
      </c>
      <c r="F606" s="11">
        <v>18773.658911278981</v>
      </c>
      <c r="G606" s="11">
        <v>42927.458456840999</v>
      </c>
      <c r="H606" s="12">
        <v>3.645922310780543E-2</v>
      </c>
      <c r="I606" s="13">
        <v>1339</v>
      </c>
      <c r="J606" s="13">
        <v>1276512</v>
      </c>
      <c r="K606" s="12">
        <v>7.176073354427781E-2</v>
      </c>
      <c r="L606" s="14">
        <v>125.4288</v>
      </c>
      <c r="M606" s="15">
        <v>69649609888</v>
      </c>
      <c r="N606" s="16">
        <f t="shared" si="153"/>
        <v>109299.21809973181</v>
      </c>
      <c r="O606" s="17">
        <f t="shared" si="154"/>
        <v>184248.0056363758</v>
      </c>
      <c r="P606" s="18">
        <f t="shared" si="155"/>
        <v>23110006.249363855</v>
      </c>
      <c r="Q606" s="19">
        <f t="shared" si="156"/>
        <v>7.1901294794305945E-2</v>
      </c>
      <c r="R606" s="20">
        <f t="shared" si="157"/>
        <v>3.645922310780543E-2</v>
      </c>
      <c r="S606" s="20">
        <f t="shared" si="158"/>
        <v>6.2450455501643232E-3</v>
      </c>
      <c r="T606" s="20">
        <f t="shared" si="159"/>
        <v>8.8500357838580037E-3</v>
      </c>
      <c r="U606" s="20">
        <f t="shared" si="160"/>
        <v>8.685581487830013E-2</v>
      </c>
      <c r="V606" s="21">
        <f t="shared" si="161"/>
        <v>395646660.90002811</v>
      </c>
      <c r="W606" s="21">
        <f t="shared" si="162"/>
        <v>555292005.40864623</v>
      </c>
      <c r="X606" s="19">
        <f t="shared" si="163"/>
        <v>0.71250199362922007</v>
      </c>
      <c r="Y606" s="17" t="str">
        <f t="shared" si="164"/>
        <v/>
      </c>
      <c r="Z606" s="17" t="str">
        <f t="shared" si="165"/>
        <v/>
      </c>
      <c r="AA606" s="20">
        <f t="shared" si="166"/>
        <v>3.5563613968641015E-2</v>
      </c>
      <c r="AB606" s="17" t="str">
        <f t="shared" si="167"/>
        <v/>
      </c>
      <c r="AC606" s="18" t="str">
        <f t="shared" si="168"/>
        <v/>
      </c>
      <c r="AD606" s="19" t="str">
        <f t="shared" si="169"/>
        <v/>
      </c>
    </row>
    <row r="607" spans="1:30" x14ac:dyDescent="0.25">
      <c r="A607" s="8">
        <v>756</v>
      </c>
      <c r="B607" s="9">
        <v>45730</v>
      </c>
      <c r="C607" s="10">
        <v>1.958333333333333</v>
      </c>
      <c r="D607" s="11">
        <v>152129.63722563171</v>
      </c>
      <c r="E607" s="11">
        <v>12535.08210590401</v>
      </c>
      <c r="F607" s="11">
        <v>17388.488415847671</v>
      </c>
      <c r="G607" s="11">
        <v>43130.064259270002</v>
      </c>
      <c r="H607" s="12">
        <v>3.6198913414677507E-2</v>
      </c>
      <c r="I607" s="13">
        <v>1371</v>
      </c>
      <c r="J607" s="13">
        <v>1252030</v>
      </c>
      <c r="K607" s="12">
        <v>7.1281822193480532E-2</v>
      </c>
      <c r="L607" s="14">
        <v>123.2377</v>
      </c>
      <c r="M607" s="15">
        <v>68430540082</v>
      </c>
      <c r="N607" s="16">
        <f t="shared" si="153"/>
        <v>108999.57296636171</v>
      </c>
      <c r="O607" s="17">
        <f t="shared" si="154"/>
        <v>182053.20774738339</v>
      </c>
      <c r="P607" s="18">
        <f t="shared" si="155"/>
        <v>22435818.600409713</v>
      </c>
      <c r="Q607" s="19">
        <f t="shared" si="156"/>
        <v>6.8853948035332943E-2</v>
      </c>
      <c r="R607" s="20">
        <f t="shared" si="157"/>
        <v>3.6198913414677507E-2</v>
      </c>
      <c r="S607" s="20">
        <f t="shared" si="158"/>
        <v>5.8734347241523755E-3</v>
      </c>
      <c r="T607" s="20">
        <f t="shared" si="159"/>
        <v>8.1475454886775611E-3</v>
      </c>
      <c r="U607" s="20">
        <f t="shared" si="160"/>
        <v>8.5302802406310468E-2</v>
      </c>
      <c r="V607" s="21">
        <f t="shared" si="161"/>
        <v>398050931.77838844</v>
      </c>
      <c r="W607" s="21">
        <f t="shared" si="162"/>
        <v>555272778.39492297</v>
      </c>
      <c r="X607" s="19">
        <f t="shared" si="163"/>
        <v>0.71685655639197443</v>
      </c>
      <c r="Y607" s="17" t="str">
        <f t="shared" si="164"/>
        <v/>
      </c>
      <c r="Z607" s="17" t="str">
        <f t="shared" si="165"/>
        <v/>
      </c>
      <c r="AA607" s="20">
        <f t="shared" si="166"/>
        <v>3.5531979802920985E-2</v>
      </c>
      <c r="AB607" s="17" t="str">
        <f t="shared" si="167"/>
        <v/>
      </c>
      <c r="AC607" s="18" t="str">
        <f t="shared" si="168"/>
        <v/>
      </c>
      <c r="AD607" s="19" t="str">
        <f t="shared" si="169"/>
        <v/>
      </c>
    </row>
    <row r="608" spans="1:30" x14ac:dyDescent="0.25">
      <c r="A608" s="8">
        <v>757</v>
      </c>
      <c r="B608" s="9">
        <v>45732</v>
      </c>
      <c r="C608" s="10">
        <v>1.958333333333333</v>
      </c>
      <c r="D608" s="11">
        <v>152032.62708939321</v>
      </c>
      <c r="E608" s="11">
        <v>12166.175105281</v>
      </c>
      <c r="F608" s="11">
        <v>16004.52396659443</v>
      </c>
      <c r="G608" s="11">
        <v>43208.214421949997</v>
      </c>
      <c r="H608" s="12">
        <v>3.5866419770530088E-2</v>
      </c>
      <c r="I608" s="13">
        <v>1343</v>
      </c>
      <c r="J608" s="13">
        <v>1258451</v>
      </c>
      <c r="K608" s="12">
        <v>7.1118292521615584E-2</v>
      </c>
      <c r="L608" s="14">
        <v>135.8381</v>
      </c>
      <c r="M608" s="15">
        <v>75432884115</v>
      </c>
      <c r="N608" s="16">
        <f t="shared" si="153"/>
        <v>108824.41266744322</v>
      </c>
      <c r="O608" s="17">
        <f t="shared" si="154"/>
        <v>180203.32616126863</v>
      </c>
      <c r="P608" s="18">
        <f t="shared" si="155"/>
        <v>24478477.439427026</v>
      </c>
      <c r="Q608" s="19">
        <f t="shared" si="156"/>
        <v>6.7513599024210988E-2</v>
      </c>
      <c r="R608" s="20">
        <f t="shared" si="157"/>
        <v>3.5866419770530088E-2</v>
      </c>
      <c r="S608" s="20">
        <f t="shared" si="158"/>
        <v>5.6911310195134814E-3</v>
      </c>
      <c r="T608" s="20">
        <f t="shared" si="159"/>
        <v>7.4866457214885504E-3</v>
      </c>
      <c r="U608" s="20">
        <f t="shared" si="160"/>
        <v>8.4296069262617609E-2</v>
      </c>
      <c r="V608" s="21">
        <f t="shared" si="161"/>
        <v>398711798.54222095</v>
      </c>
      <c r="W608" s="21">
        <f t="shared" si="162"/>
        <v>555314629.06945848</v>
      </c>
      <c r="X608" s="19">
        <f t="shared" si="163"/>
        <v>0.71799260756076766</v>
      </c>
      <c r="Y608" s="17" t="str">
        <f t="shared" si="164"/>
        <v/>
      </c>
      <c r="Z608" s="17" t="str">
        <f t="shared" si="165"/>
        <v/>
      </c>
      <c r="AA608" s="20">
        <f t="shared" si="166"/>
        <v>3.5500373776085885E-2</v>
      </c>
      <c r="AB608" s="17" t="str">
        <f t="shared" si="167"/>
        <v/>
      </c>
      <c r="AC608" s="18" t="str">
        <f t="shared" si="168"/>
        <v/>
      </c>
      <c r="AD608" s="19" t="str">
        <f t="shared" si="169"/>
        <v/>
      </c>
    </row>
    <row r="609" spans="1:30" x14ac:dyDescent="0.25">
      <c r="A609" s="8">
        <v>758</v>
      </c>
      <c r="B609" s="9">
        <v>45733</v>
      </c>
      <c r="C609" s="10">
        <v>1.958333333333333</v>
      </c>
      <c r="D609" s="11">
        <v>151935.64595087341</v>
      </c>
      <c r="E609" s="11">
        <v>11730.973012662</v>
      </c>
      <c r="F609" s="11">
        <v>16325.455770013459</v>
      </c>
      <c r="G609" s="11">
        <v>42913.863577951997</v>
      </c>
      <c r="H609" s="12">
        <v>3.6304672835013499E-2</v>
      </c>
      <c r="I609" s="13">
        <v>1362</v>
      </c>
      <c r="J609" s="13">
        <v>1246985</v>
      </c>
      <c r="K609" s="12">
        <v>7.1028383094522154E-2</v>
      </c>
      <c r="L609" s="14">
        <v>126.1651</v>
      </c>
      <c r="M609" s="15">
        <v>70158430074</v>
      </c>
      <c r="N609" s="16">
        <f t="shared" si="153"/>
        <v>109021.78237292141</v>
      </c>
      <c r="O609" s="17">
        <f t="shared" si="154"/>
        <v>179992.07473354886</v>
      </c>
      <c r="P609" s="18">
        <f t="shared" si="155"/>
        <v>22708718.107965663</v>
      </c>
      <c r="Q609" s="19">
        <f t="shared" si="156"/>
        <v>6.5174941896902608E-2</v>
      </c>
      <c r="R609" s="20">
        <f t="shared" si="157"/>
        <v>3.6304672835013499E-2</v>
      </c>
      <c r="S609" s="20">
        <f t="shared" si="158"/>
        <v>5.4841116447701347E-3</v>
      </c>
      <c r="T609" s="20">
        <f t="shared" si="159"/>
        <v>7.6319860251894186E-3</v>
      </c>
      <c r="U609" s="20">
        <f t="shared" si="160"/>
        <v>8.4144480764481708E-2</v>
      </c>
      <c r="V609" s="21">
        <f t="shared" si="161"/>
        <v>398961838.52004933</v>
      </c>
      <c r="W609" s="21">
        <f t="shared" si="162"/>
        <v>556084290.14045882</v>
      </c>
      <c r="X609" s="19">
        <f t="shared" si="163"/>
        <v>0.71744849763563245</v>
      </c>
      <c r="Y609" s="17" t="str">
        <f t="shared" si="164"/>
        <v/>
      </c>
      <c r="Z609" s="17" t="str">
        <f t="shared" si="165"/>
        <v/>
      </c>
      <c r="AA609" s="20">
        <f t="shared" si="166"/>
        <v>3.5484581306927492E-2</v>
      </c>
      <c r="AB609" s="17" t="str">
        <f t="shared" si="167"/>
        <v/>
      </c>
      <c r="AC609" s="18" t="str">
        <f t="shared" si="168"/>
        <v/>
      </c>
      <c r="AD609" s="19" t="str">
        <f t="shared" si="169"/>
        <v/>
      </c>
    </row>
    <row r="610" spans="1:30" x14ac:dyDescent="0.25">
      <c r="A610" s="8">
        <v>759</v>
      </c>
      <c r="B610" s="9">
        <v>45735</v>
      </c>
      <c r="C610" s="10">
        <v>1.958333333333333</v>
      </c>
      <c r="D610" s="11">
        <v>151838.67866096081</v>
      </c>
      <c r="E610" s="11">
        <v>9966.7513838160012</v>
      </c>
      <c r="F610" s="11">
        <v>12884.837927589841</v>
      </c>
      <c r="G610" s="11">
        <v>42685.582199616998</v>
      </c>
      <c r="H610" s="12">
        <v>3.6147316833451203E-2</v>
      </c>
      <c r="I610" s="13">
        <v>1360</v>
      </c>
      <c r="J610" s="13">
        <v>1267107</v>
      </c>
      <c r="K610" s="12">
        <v>7.0800980567106361E-2</v>
      </c>
      <c r="L610" s="14">
        <v>125.3441</v>
      </c>
      <c r="M610" s="15">
        <v>69665835885</v>
      </c>
      <c r="N610" s="16">
        <f t="shared" si="153"/>
        <v>109153.09646134381</v>
      </c>
      <c r="O610" s="17">
        <f t="shared" si="154"/>
        <v>174690.26797236665</v>
      </c>
      <c r="P610" s="18">
        <f t="shared" si="155"/>
        <v>21896394.417755123</v>
      </c>
      <c r="Q610" s="19">
        <f t="shared" si="156"/>
        <v>5.7053844495748268E-2</v>
      </c>
      <c r="R610" s="20">
        <f t="shared" si="157"/>
        <v>3.6147316833451203E-2</v>
      </c>
      <c r="S610" s="20">
        <f t="shared" si="158"/>
        <v>4.647404582717618E-3</v>
      </c>
      <c r="T610" s="20">
        <f t="shared" si="159"/>
        <v>6.0080815228811257E-3</v>
      </c>
      <c r="U610" s="20">
        <f t="shared" si="160"/>
        <v>8.1456466672705105E-2</v>
      </c>
      <c r="V610" s="21">
        <f t="shared" si="161"/>
        <v>399987805.93892491</v>
      </c>
      <c r="W610" s="21">
        <f t="shared" si="162"/>
        <v>555796689.95190036</v>
      </c>
      <c r="X610" s="19">
        <f t="shared" si="163"/>
        <v>0.71966568561885569</v>
      </c>
      <c r="Y610" s="17" t="str">
        <f t="shared" si="164"/>
        <v/>
      </c>
      <c r="Z610" s="17" t="str">
        <f t="shared" si="165"/>
        <v/>
      </c>
      <c r="AA610" s="20">
        <f t="shared" si="166"/>
        <v>3.545301744149585E-2</v>
      </c>
      <c r="AB610" s="17" t="str">
        <f t="shared" si="167"/>
        <v/>
      </c>
      <c r="AC610" s="18" t="str">
        <f t="shared" si="168"/>
        <v/>
      </c>
      <c r="AD610" s="19" t="str">
        <f t="shared" si="169"/>
        <v/>
      </c>
    </row>
    <row r="611" spans="1:30" x14ac:dyDescent="0.25">
      <c r="A611" s="8">
        <v>760</v>
      </c>
      <c r="B611" s="9">
        <v>45737</v>
      </c>
      <c r="C611" s="10">
        <v>1.958333333333333</v>
      </c>
      <c r="D611" s="11">
        <v>151741.75953820301</v>
      </c>
      <c r="E611" s="11">
        <v>8948.6200919269995</v>
      </c>
      <c r="F611" s="11">
        <v>10638.87331164613</v>
      </c>
      <c r="G611" s="11">
        <v>42692.350861453</v>
      </c>
      <c r="H611" s="12">
        <v>3.6168053789976312E-2</v>
      </c>
      <c r="I611" s="13">
        <v>1374</v>
      </c>
      <c r="J611" s="13">
        <v>1268876</v>
      </c>
      <c r="K611" s="12">
        <v>7.053875821697761E-2</v>
      </c>
      <c r="L611" s="14">
        <v>127.6763</v>
      </c>
      <c r="M611" s="15">
        <v>71107360181</v>
      </c>
      <c r="N611" s="16">
        <f t="shared" si="153"/>
        <v>109049.40867675001</v>
      </c>
      <c r="O611" s="17">
        <f t="shared" si="154"/>
        <v>171329.25294177615</v>
      </c>
      <c r="P611" s="18">
        <f t="shared" si="155"/>
        <v>21874685.097370096</v>
      </c>
      <c r="Q611" s="19">
        <f t="shared" si="156"/>
        <v>5.2230544044735094E-2</v>
      </c>
      <c r="R611" s="20">
        <f t="shared" si="157"/>
        <v>3.6168053789976312E-2</v>
      </c>
      <c r="S611" s="20">
        <f t="shared" si="158"/>
        <v>4.159860482447532E-3</v>
      </c>
      <c r="T611" s="20">
        <f t="shared" si="159"/>
        <v>4.9455925284847225E-3</v>
      </c>
      <c r="U611" s="20">
        <f t="shared" si="160"/>
        <v>7.9644211227909864E-2</v>
      </c>
      <c r="V611" s="21">
        <f t="shared" si="161"/>
        <v>401218466.88677287</v>
      </c>
      <c r="W611" s="21">
        <f t="shared" si="162"/>
        <v>556934687.02492166</v>
      </c>
      <c r="X611" s="19">
        <f t="shared" si="163"/>
        <v>0.72040488092065846</v>
      </c>
      <c r="Y611" s="17" t="str">
        <f t="shared" si="164"/>
        <v/>
      </c>
      <c r="Z611" s="17" t="str">
        <f t="shared" si="165"/>
        <v/>
      </c>
      <c r="AA611" s="20">
        <f t="shared" si="166"/>
        <v>3.5421481652416362E-2</v>
      </c>
      <c r="AB611" s="17" t="str">
        <f t="shared" si="167"/>
        <v/>
      </c>
      <c r="AC611" s="18" t="str">
        <f t="shared" si="168"/>
        <v/>
      </c>
      <c r="AD611" s="19" t="str">
        <f t="shared" si="169"/>
        <v/>
      </c>
    </row>
    <row r="612" spans="1:30" x14ac:dyDescent="0.25">
      <c r="A612" s="8">
        <v>761</v>
      </c>
      <c r="B612" s="9">
        <v>45739</v>
      </c>
      <c r="C612" s="10">
        <v>1.958333333333333</v>
      </c>
      <c r="D612" s="11">
        <v>151644.86126078729</v>
      </c>
      <c r="E612" s="11">
        <v>16014.80496943001</v>
      </c>
      <c r="F612" s="11">
        <v>25767.52918539396</v>
      </c>
      <c r="G612" s="11">
        <v>42776.444045124998</v>
      </c>
      <c r="H612" s="12">
        <v>3.6474269540476563E-2</v>
      </c>
      <c r="I612" s="13">
        <v>1334</v>
      </c>
      <c r="J612" s="13">
        <v>1281766</v>
      </c>
      <c r="K612" s="12">
        <v>7.0510401763978908E-2</v>
      </c>
      <c r="L612" s="14">
        <v>128.39189999999999</v>
      </c>
      <c r="M612" s="15">
        <v>71470090938</v>
      </c>
      <c r="N612" s="16">
        <f t="shared" si="153"/>
        <v>108868.4172156623</v>
      </c>
      <c r="O612" s="17">
        <f t="shared" si="154"/>
        <v>193427.19541561126</v>
      </c>
      <c r="P612" s="18">
        <f t="shared" si="155"/>
        <v>24834485.131081618</v>
      </c>
      <c r="Q612" s="19">
        <f t="shared" si="156"/>
        <v>8.2795001680190189E-2</v>
      </c>
      <c r="R612" s="20">
        <f t="shared" si="157"/>
        <v>3.6474269540476563E-2</v>
      </c>
      <c r="S612" s="20">
        <f t="shared" si="158"/>
        <v>7.4464134371447369E-3</v>
      </c>
      <c r="T612" s="20">
        <f t="shared" si="159"/>
        <v>1.1981143444106888E-2</v>
      </c>
      <c r="U612" s="20">
        <f t="shared" si="160"/>
        <v>8.9937958645230534E-2</v>
      </c>
      <c r="V612" s="21">
        <f t="shared" si="161"/>
        <v>401123510.30157715</v>
      </c>
      <c r="W612" s="21">
        <f t="shared" si="162"/>
        <v>556655762.06910253</v>
      </c>
      <c r="X612" s="19">
        <f t="shared" si="163"/>
        <v>0.72059527204136298</v>
      </c>
      <c r="Y612" s="17" t="str">
        <f t="shared" si="164"/>
        <v/>
      </c>
      <c r="Z612" s="17" t="str">
        <f t="shared" si="165"/>
        <v/>
      </c>
      <c r="AA612" s="20">
        <f t="shared" si="166"/>
        <v>3.5389973914714858E-2</v>
      </c>
      <c r="AB612" s="17" t="str">
        <f t="shared" si="167"/>
        <v/>
      </c>
      <c r="AC612" s="18" t="str">
        <f t="shared" si="168"/>
        <v/>
      </c>
      <c r="AD612" s="19" t="str">
        <f t="shared" si="169"/>
        <v/>
      </c>
    </row>
    <row r="613" spans="1:30" x14ac:dyDescent="0.25">
      <c r="A613" s="8">
        <v>762</v>
      </c>
      <c r="B613" s="9">
        <v>45741</v>
      </c>
      <c r="C613" s="10">
        <v>1.958333333333333</v>
      </c>
      <c r="D613" s="11">
        <v>151547.9852311349</v>
      </c>
      <c r="E613" s="11">
        <v>15275.59235821</v>
      </c>
      <c r="F613" s="11">
        <v>21286.371643108971</v>
      </c>
      <c r="G613" s="11">
        <v>42699.931302094003</v>
      </c>
      <c r="H613" s="12">
        <v>3.619351579477393E-2</v>
      </c>
      <c r="I613" s="13">
        <v>1352</v>
      </c>
      <c r="J613" s="13">
        <v>1275035</v>
      </c>
      <c r="K613" s="12">
        <v>7.0769078064039329E-2</v>
      </c>
      <c r="L613" s="14">
        <v>140.57939999999999</v>
      </c>
      <c r="M613" s="15">
        <v>78315984113</v>
      </c>
      <c r="N613" s="16">
        <f t="shared" si="153"/>
        <v>108848.05392904089</v>
      </c>
      <c r="O613" s="17">
        <f t="shared" si="154"/>
        <v>188109.94923245389</v>
      </c>
      <c r="P613" s="18">
        <f t="shared" si="155"/>
        <v>26444383.797128826</v>
      </c>
      <c r="Q613" s="19">
        <f t="shared" si="156"/>
        <v>8.1205658821019766E-2</v>
      </c>
      <c r="R613" s="20">
        <f t="shared" si="157"/>
        <v>3.619351579477393E-2</v>
      </c>
      <c r="S613" s="20">
        <f t="shared" si="158"/>
        <v>7.1333154738009094E-3</v>
      </c>
      <c r="T613" s="20">
        <f t="shared" si="159"/>
        <v>9.9401974510832675E-3</v>
      </c>
      <c r="U613" s="20">
        <f t="shared" si="160"/>
        <v>8.7842590988923497E-2</v>
      </c>
      <c r="V613" s="21">
        <f t="shared" si="161"/>
        <v>399402001.99638134</v>
      </c>
      <c r="W613" s="21">
        <f t="shared" si="162"/>
        <v>557094311.91910052</v>
      </c>
      <c r="X613" s="19">
        <f t="shared" si="163"/>
        <v>0.71693785675266641</v>
      </c>
      <c r="Y613" s="17" t="str">
        <f t="shared" si="164"/>
        <v/>
      </c>
      <c r="Z613" s="17" t="str">
        <f t="shared" si="165"/>
        <v/>
      </c>
      <c r="AA613" s="20">
        <f t="shared" si="166"/>
        <v>3.5358494203439374E-2</v>
      </c>
      <c r="AB613" s="17" t="str">
        <f t="shared" si="167"/>
        <v/>
      </c>
      <c r="AC613" s="18" t="str">
        <f t="shared" si="168"/>
        <v/>
      </c>
      <c r="AD613" s="19" t="str">
        <f t="shared" si="169"/>
        <v/>
      </c>
    </row>
    <row r="614" spans="1:30" x14ac:dyDescent="0.25">
      <c r="A614" s="8">
        <v>763</v>
      </c>
      <c r="B614" s="9">
        <v>45743</v>
      </c>
      <c r="C614" s="10">
        <v>1.958333333333333</v>
      </c>
      <c r="D614" s="11">
        <v>151451.14210965499</v>
      </c>
      <c r="E614" s="11">
        <v>15507.458989537001</v>
      </c>
      <c r="F614" s="11">
        <v>21354.986048371531</v>
      </c>
      <c r="G614" s="11">
        <v>42284.482422353001</v>
      </c>
      <c r="H614" s="12">
        <v>3.6406743509592117E-2</v>
      </c>
      <c r="I614" s="13">
        <v>1347</v>
      </c>
      <c r="J614" s="13">
        <v>1294239</v>
      </c>
      <c r="K614" s="12">
        <v>7.0876583953835573E-2</v>
      </c>
      <c r="L614" s="14">
        <v>137.0933</v>
      </c>
      <c r="M614" s="15">
        <v>76336885374</v>
      </c>
      <c r="N614" s="16">
        <f t="shared" si="153"/>
        <v>109166.65968730199</v>
      </c>
      <c r="O614" s="17">
        <f t="shared" si="154"/>
        <v>188313.58714756352</v>
      </c>
      <c r="P614" s="18">
        <f t="shared" si="155"/>
        <v>25816531.096897069</v>
      </c>
      <c r="Q614" s="19">
        <f t="shared" si="156"/>
        <v>8.2349124268899801E-2</v>
      </c>
      <c r="R614" s="20">
        <f t="shared" si="157"/>
        <v>3.6406743509592117E-2</v>
      </c>
      <c r="S614" s="20">
        <f t="shared" si="158"/>
        <v>7.2572296495908234E-3</v>
      </c>
      <c r="T614" s="20">
        <f t="shared" si="159"/>
        <v>9.9937738362813073E-3</v>
      </c>
      <c r="U614" s="20">
        <f t="shared" si="160"/>
        <v>8.8127587439707708E-2</v>
      </c>
      <c r="V614" s="21">
        <f t="shared" si="161"/>
        <v>398541346.23942882</v>
      </c>
      <c r="W614" s="21">
        <f t="shared" si="162"/>
        <v>556824333.31169355</v>
      </c>
      <c r="X614" s="19">
        <f t="shared" si="163"/>
        <v>0.71573981666555031</v>
      </c>
      <c r="Y614" s="17" t="str">
        <f t="shared" si="164"/>
        <v/>
      </c>
      <c r="Z614" s="17" t="str">
        <f t="shared" si="165"/>
        <v/>
      </c>
      <c r="AA614" s="20">
        <f t="shared" si="166"/>
        <v>3.5327042493660143E-2</v>
      </c>
      <c r="AB614" s="17" t="str">
        <f t="shared" si="167"/>
        <v/>
      </c>
      <c r="AC614" s="18" t="str">
        <f t="shared" si="168"/>
        <v/>
      </c>
      <c r="AD614" s="19" t="str">
        <f t="shared" si="169"/>
        <v/>
      </c>
    </row>
    <row r="615" spans="1:30" x14ac:dyDescent="0.25">
      <c r="A615" s="8">
        <v>764</v>
      </c>
      <c r="B615" s="9">
        <v>45745</v>
      </c>
      <c r="C615" s="10">
        <v>1.958333333333333</v>
      </c>
      <c r="D615" s="11">
        <v>151354.3269453012</v>
      </c>
      <c r="E615" s="11">
        <v>13608.186312086</v>
      </c>
      <c r="F615" s="11">
        <v>18407.23352524943</v>
      </c>
      <c r="G615" s="11">
        <v>42302.488196849998</v>
      </c>
      <c r="H615" s="12">
        <v>3.6661993223422222E-2</v>
      </c>
      <c r="I615" s="13">
        <v>1334</v>
      </c>
      <c r="J615" s="13">
        <v>1262978</v>
      </c>
      <c r="K615" s="12">
        <v>7.0483196955373403E-2</v>
      </c>
      <c r="L615" s="14">
        <v>129.4462</v>
      </c>
      <c r="M615" s="15">
        <v>72243193469</v>
      </c>
      <c r="N615" s="16">
        <f t="shared" si="153"/>
        <v>109051.83874845121</v>
      </c>
      <c r="O615" s="17">
        <f t="shared" si="154"/>
        <v>183369.74678263665</v>
      </c>
      <c r="P615" s="18">
        <f t="shared" si="155"/>
        <v>23736516.915974542</v>
      </c>
      <c r="Q615" s="19">
        <f t="shared" si="156"/>
        <v>7.4211730947182419E-2</v>
      </c>
      <c r="R615" s="20">
        <f t="shared" si="157"/>
        <v>3.6661993223422222E-2</v>
      </c>
      <c r="S615" s="20">
        <f t="shared" si="158"/>
        <v>6.3371064137915665E-3</v>
      </c>
      <c r="T615" s="20">
        <f t="shared" si="159"/>
        <v>8.5719430170805942E-3</v>
      </c>
      <c r="U615" s="20">
        <f t="shared" si="160"/>
        <v>8.5392246386245568E-2</v>
      </c>
      <c r="V615" s="21">
        <f t="shared" si="161"/>
        <v>400509530.59899324</v>
      </c>
      <c r="W615" s="21">
        <f t="shared" si="162"/>
        <v>558094354.78986633</v>
      </c>
      <c r="X615" s="19">
        <f t="shared" si="163"/>
        <v>0.71763766675223417</v>
      </c>
      <c r="Y615" s="17" t="str">
        <f t="shared" si="164"/>
        <v/>
      </c>
      <c r="Z615" s="17" t="str">
        <f t="shared" si="165"/>
        <v/>
      </c>
      <c r="AA615" s="20">
        <f t="shared" si="166"/>
        <v>3.5295618760469577E-2</v>
      </c>
      <c r="AB615" s="17" t="str">
        <f t="shared" si="167"/>
        <v/>
      </c>
      <c r="AC615" s="18" t="str">
        <f t="shared" si="168"/>
        <v/>
      </c>
      <c r="AD615" s="19" t="str">
        <f t="shared" si="169"/>
        <v/>
      </c>
    </row>
    <row r="616" spans="1:30" x14ac:dyDescent="0.25">
      <c r="A616" s="8">
        <v>765</v>
      </c>
      <c r="B616" s="9">
        <v>45747</v>
      </c>
      <c r="C616" s="10">
        <v>2</v>
      </c>
      <c r="D616" s="11">
        <v>151257.54281478081</v>
      </c>
      <c r="E616" s="11">
        <v>16741.196942103001</v>
      </c>
      <c r="F616" s="11">
        <v>25685.9334744773</v>
      </c>
      <c r="G616" s="11">
        <v>42105.217369161997</v>
      </c>
      <c r="H616" s="12">
        <v>3.6779774874370147E-2</v>
      </c>
      <c r="I616" s="13">
        <v>1316</v>
      </c>
      <c r="J616" s="13">
        <v>1268881</v>
      </c>
      <c r="K616" s="12">
        <v>6.889950813652701E-2</v>
      </c>
      <c r="L616" s="14">
        <v>124.5806</v>
      </c>
      <c r="M616" s="15">
        <v>69541492444</v>
      </c>
      <c r="N616" s="16">
        <f t="shared" si="153"/>
        <v>109152.32544561882</v>
      </c>
      <c r="O616" s="17">
        <f t="shared" si="154"/>
        <v>193684.67323136111</v>
      </c>
      <c r="P616" s="18">
        <f t="shared" si="155"/>
        <v>24129352.801966906</v>
      </c>
      <c r="Q616" s="19">
        <f t="shared" si="156"/>
        <v>8.6435321199139117E-2</v>
      </c>
      <c r="R616" s="20">
        <f t="shared" si="157"/>
        <v>3.6779774874370147E-2</v>
      </c>
      <c r="S616" s="20">
        <f t="shared" si="158"/>
        <v>7.6258030737685048E-3</v>
      </c>
      <c r="T616" s="20">
        <f t="shared" si="159"/>
        <v>1.170023094045728E-2</v>
      </c>
      <c r="U616" s="20">
        <f t="shared" si="160"/>
        <v>8.8225542150752789E-2</v>
      </c>
      <c r="V616" s="21">
        <f t="shared" si="161"/>
        <v>400923163.36732775</v>
      </c>
      <c r="W616" s="21">
        <f t="shared" si="162"/>
        <v>558204828.39222157</v>
      </c>
      <c r="X616" s="19">
        <f t="shared" si="163"/>
        <v>0.71823664535846665</v>
      </c>
      <c r="Y616" s="17" t="str">
        <f t="shared" si="164"/>
        <v/>
      </c>
      <c r="Z616" s="17" t="str">
        <f t="shared" si="165"/>
        <v/>
      </c>
      <c r="AA616" s="20">
        <f t="shared" si="166"/>
        <v>3.5264222978982233E-2</v>
      </c>
      <c r="AB616" s="17" t="str">
        <f t="shared" si="167"/>
        <v/>
      </c>
      <c r="AC616" s="18" t="str">
        <f t="shared" si="168"/>
        <v/>
      </c>
      <c r="AD616" s="19" t="str">
        <f t="shared" si="169"/>
        <v/>
      </c>
    </row>
    <row r="617" spans="1:30" x14ac:dyDescent="0.25">
      <c r="A617" s="8">
        <v>766</v>
      </c>
      <c r="B617" s="9">
        <v>45750</v>
      </c>
      <c r="C617" s="10">
        <v>2</v>
      </c>
      <c r="D617" s="11">
        <v>151160.78196436079</v>
      </c>
      <c r="E617" s="11">
        <v>12973.6925785</v>
      </c>
      <c r="F617" s="11">
        <v>18603.985708538668</v>
      </c>
      <c r="G617" s="11">
        <v>42157.769832935002</v>
      </c>
      <c r="H617" s="12">
        <v>3.6831107300179217E-2</v>
      </c>
      <c r="I617" s="13">
        <v>1319</v>
      </c>
      <c r="J617" s="13">
        <v>1268818</v>
      </c>
      <c r="K617" s="12">
        <v>6.875978259009953E-2</v>
      </c>
      <c r="L617" s="14">
        <v>118.0855</v>
      </c>
      <c r="M617" s="15">
        <v>66035241351</v>
      </c>
      <c r="N617" s="16">
        <f t="shared" si="153"/>
        <v>109003.01213142578</v>
      </c>
      <c r="O617" s="17">
        <f t="shared" si="154"/>
        <v>182738.46025139946</v>
      </c>
      <c r="P617" s="18">
        <f t="shared" si="155"/>
        <v>21578762.448016629</v>
      </c>
      <c r="Q617" s="19">
        <f t="shared" si="156"/>
        <v>7.099596089762196E-2</v>
      </c>
      <c r="R617" s="20">
        <f t="shared" si="157"/>
        <v>3.6831107300179217E-2</v>
      </c>
      <c r="S617" s="20">
        <f t="shared" si="158"/>
        <v>5.9014532043024943E-3</v>
      </c>
      <c r="T617" s="20">
        <f t="shared" si="159"/>
        <v>8.4625522308427598E-3</v>
      </c>
      <c r="U617" s="20">
        <f t="shared" si="160"/>
        <v>8.3123788025244782E-2</v>
      </c>
      <c r="V617" s="21">
        <f t="shared" si="161"/>
        <v>401480876.84931451</v>
      </c>
      <c r="W617" s="21">
        <f t="shared" si="162"/>
        <v>559215495.13699818</v>
      </c>
      <c r="X617" s="19">
        <f t="shared" si="163"/>
        <v>0.71793589473224195</v>
      </c>
      <c r="Y617" s="17" t="str">
        <f t="shared" si="164"/>
        <v/>
      </c>
      <c r="Z617" s="17" t="str">
        <f t="shared" si="165"/>
        <v/>
      </c>
      <c r="AA617" s="20">
        <f t="shared" si="166"/>
        <v>3.5217181661812348E-2</v>
      </c>
      <c r="AB617" s="17" t="str">
        <f t="shared" si="167"/>
        <v/>
      </c>
      <c r="AC617" s="18" t="str">
        <f t="shared" si="168"/>
        <v/>
      </c>
      <c r="AD617" s="19" t="str">
        <f t="shared" si="169"/>
        <v/>
      </c>
    </row>
    <row r="618" spans="1:30" x14ac:dyDescent="0.25">
      <c r="A618" s="8">
        <v>767</v>
      </c>
      <c r="B618" s="9">
        <v>45752</v>
      </c>
      <c r="C618" s="10">
        <v>1.958333333333333</v>
      </c>
      <c r="D618" s="11">
        <v>151064.0541299739</v>
      </c>
      <c r="E618" s="11">
        <v>11572.03288370599</v>
      </c>
      <c r="F618" s="11">
        <v>16021.82293566623</v>
      </c>
      <c r="G618" s="11">
        <v>41957.785103529997</v>
      </c>
      <c r="H618" s="12">
        <v>3.6837676526126267E-2</v>
      </c>
      <c r="I618" s="13">
        <v>1322</v>
      </c>
      <c r="J618" s="13">
        <v>1270583</v>
      </c>
      <c r="K618" s="12">
        <v>7.0352086551916812E-2</v>
      </c>
      <c r="L618" s="14">
        <v>122.7131</v>
      </c>
      <c r="M618" s="15">
        <v>68833049985</v>
      </c>
      <c r="N618" s="16">
        <f t="shared" si="153"/>
        <v>109106.2690264439</v>
      </c>
      <c r="O618" s="17">
        <f t="shared" si="154"/>
        <v>178657.9099493461</v>
      </c>
      <c r="P618" s="18">
        <f t="shared" si="155"/>
        <v>21923665.969405103</v>
      </c>
      <c r="Q618" s="19">
        <f t="shared" si="156"/>
        <v>6.4772015339186181E-2</v>
      </c>
      <c r="R618" s="20">
        <f t="shared" si="157"/>
        <v>3.6837676526126267E-2</v>
      </c>
      <c r="S618" s="20">
        <f t="shared" si="158"/>
        <v>5.3892149506040267E-3</v>
      </c>
      <c r="T618" s="20">
        <f t="shared" si="159"/>
        <v>7.4615280278369379E-3</v>
      </c>
      <c r="U618" s="20">
        <f t="shared" si="160"/>
        <v>8.3202829530357778E-2</v>
      </c>
      <c r="V618" s="21">
        <f t="shared" si="161"/>
        <v>400486389.82233733</v>
      </c>
      <c r="W618" s="21">
        <f t="shared" si="162"/>
        <v>560926665.40899062</v>
      </c>
      <c r="X618" s="19">
        <f t="shared" si="163"/>
        <v>0.71397281412950686</v>
      </c>
      <c r="Y618" s="17" t="str">
        <f t="shared" si="164"/>
        <v/>
      </c>
      <c r="Z618" s="17" t="str">
        <f t="shared" si="165"/>
        <v/>
      </c>
      <c r="AA618" s="20">
        <f t="shared" si="166"/>
        <v>3.5185855650854511E-2</v>
      </c>
      <c r="AB618" s="17" t="str">
        <f t="shared" si="167"/>
        <v/>
      </c>
      <c r="AC618" s="18" t="str">
        <f t="shared" si="168"/>
        <v/>
      </c>
      <c r="AD618" s="19" t="str">
        <f t="shared" si="169"/>
        <v/>
      </c>
    </row>
    <row r="619" spans="1:30" x14ac:dyDescent="0.25">
      <c r="A619" s="8">
        <v>768</v>
      </c>
      <c r="B619" s="9">
        <v>45753</v>
      </c>
      <c r="C619" s="10">
        <v>1.958333333333333</v>
      </c>
      <c r="D619" s="11">
        <v>150967.35555703181</v>
      </c>
      <c r="E619" s="11">
        <v>16447.601391806998</v>
      </c>
      <c r="F619" s="11">
        <v>25302.73793262109</v>
      </c>
      <c r="G619" s="11">
        <v>42181.931527143002</v>
      </c>
      <c r="H619" s="12">
        <v>3.7033361678109049E-2</v>
      </c>
      <c r="I619" s="13">
        <v>1323</v>
      </c>
      <c r="J619" s="13">
        <v>1240170</v>
      </c>
      <c r="K619" s="12">
        <v>7.0537265491744383E-2</v>
      </c>
      <c r="L619" s="14">
        <v>120.16840000000001</v>
      </c>
      <c r="M619" s="15">
        <v>67188740464</v>
      </c>
      <c r="N619" s="16">
        <f t="shared" si="153"/>
        <v>108785.42402988882</v>
      </c>
      <c r="O619" s="17">
        <f t="shared" si="154"/>
        <v>192717.6948814599</v>
      </c>
      <c r="P619" s="18">
        <f t="shared" si="155"/>
        <v>23158577.045593228</v>
      </c>
      <c r="Q619" s="19">
        <f t="shared" si="156"/>
        <v>8.5345569341330446E-2</v>
      </c>
      <c r="R619" s="20">
        <f t="shared" si="157"/>
        <v>3.7033361678109049E-2</v>
      </c>
      <c r="S619" s="20">
        <f t="shared" si="158"/>
        <v>7.6848986444489377E-3</v>
      </c>
      <c r="T619" s="20">
        <f t="shared" si="159"/>
        <v>1.1822330308667799E-2</v>
      </c>
      <c r="U619" s="20">
        <f t="shared" si="160"/>
        <v>9.0044494444861123E-2</v>
      </c>
      <c r="V619" s="21">
        <f t="shared" si="161"/>
        <v>399179322.45869839</v>
      </c>
      <c r="W619" s="21">
        <f t="shared" si="162"/>
        <v>559121536.64357686</v>
      </c>
      <c r="X619" s="19">
        <f t="shared" si="163"/>
        <v>0.71394016559437812</v>
      </c>
      <c r="Y619" s="17" t="str">
        <f t="shared" si="164"/>
        <v/>
      </c>
      <c r="Z619" s="17" t="str">
        <f t="shared" si="165"/>
        <v/>
      </c>
      <c r="AA619" s="20">
        <f t="shared" si="166"/>
        <v>3.5170203096217122E-2</v>
      </c>
      <c r="AB619" s="17" t="str">
        <f t="shared" si="167"/>
        <v/>
      </c>
      <c r="AC619" s="18" t="str">
        <f t="shared" si="168"/>
        <v/>
      </c>
      <c r="AD619" s="19" t="str">
        <f t="shared" si="169"/>
        <v/>
      </c>
    </row>
    <row r="620" spans="1:30" x14ac:dyDescent="0.25">
      <c r="A620" s="8">
        <v>769</v>
      </c>
      <c r="B620" s="9">
        <v>45755</v>
      </c>
      <c r="C620" s="10">
        <v>1.958333333333333</v>
      </c>
      <c r="D620" s="11">
        <v>150870.67713041179</v>
      </c>
      <c r="E620" s="11">
        <v>18712.939963339981</v>
      </c>
      <c r="F620" s="11">
        <v>29924.991158966481</v>
      </c>
      <c r="G620" s="11">
        <v>42221.128416623003</v>
      </c>
      <c r="H620" s="12">
        <v>3.6952256549634598E-2</v>
      </c>
      <c r="I620" s="13">
        <v>1343</v>
      </c>
      <c r="J620" s="13">
        <v>1250026</v>
      </c>
      <c r="K620" s="12">
        <v>7.0435658789317665E-2</v>
      </c>
      <c r="L620" s="14">
        <v>106.7968</v>
      </c>
      <c r="M620" s="15">
        <v>60291903132</v>
      </c>
      <c r="N620" s="16">
        <f t="shared" si="153"/>
        <v>108649.54871378878</v>
      </c>
      <c r="O620" s="17">
        <f t="shared" si="154"/>
        <v>199508.60825271823</v>
      </c>
      <c r="P620" s="18">
        <f t="shared" si="155"/>
        <v>21306880.9338439</v>
      </c>
      <c r="Q620" s="19">
        <f t="shared" si="156"/>
        <v>9.3795150631476698E-2</v>
      </c>
      <c r="R620" s="20">
        <f t="shared" si="157"/>
        <v>3.6952256549634598E-2</v>
      </c>
      <c r="S620" s="20">
        <f t="shared" si="158"/>
        <v>8.7363447906015496E-3</v>
      </c>
      <c r="T620" s="20">
        <f t="shared" si="159"/>
        <v>1.397081597721174E-2</v>
      </c>
      <c r="U620" s="20">
        <f t="shared" si="160"/>
        <v>9.3142819557130954E-2</v>
      </c>
      <c r="V620" s="21">
        <f t="shared" si="161"/>
        <v>399499156.75798154</v>
      </c>
      <c r="W620" s="21">
        <f t="shared" si="162"/>
        <v>564547843.49343801</v>
      </c>
      <c r="X620" s="19">
        <f t="shared" si="163"/>
        <v>0.70764446514553925</v>
      </c>
      <c r="Y620" s="17" t="str">
        <f t="shared" si="164"/>
        <v/>
      </c>
      <c r="Z620" s="17" t="str">
        <f t="shared" si="165"/>
        <v/>
      </c>
      <c r="AA620" s="20">
        <f t="shared" si="166"/>
        <v>3.5138918873130746E-2</v>
      </c>
      <c r="AB620" s="17" t="str">
        <f t="shared" si="167"/>
        <v/>
      </c>
      <c r="AC620" s="18" t="str">
        <f t="shared" si="168"/>
        <v/>
      </c>
      <c r="AD620" s="19" t="str">
        <f t="shared" si="169"/>
        <v/>
      </c>
    </row>
    <row r="621" spans="1:30" x14ac:dyDescent="0.25">
      <c r="A621" s="8">
        <v>770</v>
      </c>
      <c r="B621" s="9">
        <v>45757</v>
      </c>
      <c r="C621" s="10">
        <v>1.958333333333333</v>
      </c>
      <c r="D621" s="11">
        <v>150774.02528427911</v>
      </c>
      <c r="E621" s="11">
        <v>16683.503966972999</v>
      </c>
      <c r="F621" s="11">
        <v>26031.46898458053</v>
      </c>
      <c r="G621" s="11">
        <v>42276.059186660998</v>
      </c>
      <c r="H621" s="12">
        <v>3.6853642100978412E-2</v>
      </c>
      <c r="I621" s="13">
        <v>1327</v>
      </c>
      <c r="J621" s="13">
        <v>1232563</v>
      </c>
      <c r="K621" s="12">
        <v>7.0177124943611321E-2</v>
      </c>
      <c r="L621" s="14">
        <v>118.9629</v>
      </c>
      <c r="M621" s="15">
        <v>66899630932</v>
      </c>
      <c r="N621" s="16">
        <f t="shared" si="153"/>
        <v>108497.9660976181</v>
      </c>
      <c r="O621" s="17">
        <f t="shared" si="154"/>
        <v>193488.99823583264</v>
      </c>
      <c r="P621" s="18">
        <f t="shared" si="155"/>
        <v>23018012.348229535</v>
      </c>
      <c r="Q621" s="19">
        <f t="shared" si="156"/>
        <v>8.6224561184809242E-2</v>
      </c>
      <c r="R621" s="20">
        <f t="shared" si="157"/>
        <v>3.6853642100978412E-2</v>
      </c>
      <c r="S621" s="20">
        <f t="shared" si="158"/>
        <v>7.7652655368190679E-3</v>
      </c>
      <c r="T621" s="20">
        <f t="shared" si="159"/>
        <v>1.211623585662224E-2</v>
      </c>
      <c r="U621" s="20">
        <f t="shared" si="160"/>
        <v>9.0058626337052625E-2</v>
      </c>
      <c r="V621" s="21">
        <f t="shared" si="161"/>
        <v>400714046.30933768</v>
      </c>
      <c r="W621" s="21">
        <f t="shared" si="162"/>
        <v>562357095.63233578</v>
      </c>
      <c r="X621" s="19">
        <f t="shared" si="163"/>
        <v>0.71256155460928172</v>
      </c>
      <c r="Y621" s="17" t="str">
        <f t="shared" si="164"/>
        <v/>
      </c>
      <c r="Z621" s="17" t="str">
        <f t="shared" si="165"/>
        <v/>
      </c>
      <c r="AA621" s="20">
        <f t="shared" si="166"/>
        <v>3.5107662477652062E-2</v>
      </c>
      <c r="AB621" s="17" t="str">
        <f t="shared" si="167"/>
        <v/>
      </c>
      <c r="AC621" s="18" t="str">
        <f t="shared" si="168"/>
        <v/>
      </c>
      <c r="AD621" s="19" t="str">
        <f t="shared" si="169"/>
        <v/>
      </c>
    </row>
    <row r="622" spans="1:30" x14ac:dyDescent="0.25">
      <c r="A622" s="8">
        <v>771</v>
      </c>
      <c r="B622" s="9">
        <v>45759</v>
      </c>
      <c r="C622" s="10">
        <v>1.958333333333333</v>
      </c>
      <c r="D622" s="11">
        <v>150677.39823802281</v>
      </c>
      <c r="E622" s="11">
        <v>16592.801344493</v>
      </c>
      <c r="F622" s="11">
        <v>26888.04181623178</v>
      </c>
      <c r="G622" s="11">
        <v>42216.343130752</v>
      </c>
      <c r="H622" s="12">
        <v>3.7088713566354313E-2</v>
      </c>
      <c r="I622" s="13">
        <v>1317</v>
      </c>
      <c r="J622" s="13">
        <v>1244873</v>
      </c>
      <c r="K622" s="12">
        <v>7.0062239180591054E-2</v>
      </c>
      <c r="L622" s="14">
        <v>121.3925</v>
      </c>
      <c r="M622" s="15">
        <v>68243350190</v>
      </c>
      <c r="N622" s="16">
        <f t="shared" si="153"/>
        <v>108461.0551072708</v>
      </c>
      <c r="O622" s="17">
        <f t="shared" si="154"/>
        <v>194158.2413987476</v>
      </c>
      <c r="P622" s="18">
        <f t="shared" si="155"/>
        <v>23569354.318997469</v>
      </c>
      <c r="Q622" s="19">
        <f t="shared" si="156"/>
        <v>8.5460195894625723E-2</v>
      </c>
      <c r="R622" s="20">
        <f t="shared" si="157"/>
        <v>3.7088713566354313E-2</v>
      </c>
      <c r="S622" s="20">
        <f t="shared" si="158"/>
        <v>7.7153496812937539E-3</v>
      </c>
      <c r="T622" s="20">
        <f t="shared" si="159"/>
        <v>1.2502448534787526E-2</v>
      </c>
      <c r="U622" s="20">
        <f t="shared" si="160"/>
        <v>9.0280037396672341E-2</v>
      </c>
      <c r="V622" s="21">
        <f t="shared" si="161"/>
        <v>401113896.0317663</v>
      </c>
      <c r="W622" s="21">
        <f t="shared" si="162"/>
        <v>562171058.26142478</v>
      </c>
      <c r="X622" s="19">
        <f t="shared" si="163"/>
        <v>0.7135086200848807</v>
      </c>
      <c r="Y622" s="17" t="str">
        <f t="shared" si="164"/>
        <v/>
      </c>
      <c r="Z622" s="17" t="str">
        <f t="shared" si="165"/>
        <v/>
      </c>
      <c r="AA622" s="20">
        <f t="shared" si="166"/>
        <v>3.5076433885028145E-2</v>
      </c>
      <c r="AB622" s="17" t="str">
        <f t="shared" si="167"/>
        <v/>
      </c>
      <c r="AC622" s="18" t="str">
        <f t="shared" si="168"/>
        <v/>
      </c>
      <c r="AD622" s="19" t="str">
        <f t="shared" si="169"/>
        <v/>
      </c>
    </row>
    <row r="623" spans="1:30" x14ac:dyDescent="0.25">
      <c r="A623" s="8">
        <v>772</v>
      </c>
      <c r="B623" s="9">
        <v>45761</v>
      </c>
      <c r="C623" s="10">
        <v>1.958333333333333</v>
      </c>
      <c r="D623" s="11">
        <v>150580.80659843431</v>
      </c>
      <c r="E623" s="11">
        <v>20904.135097341001</v>
      </c>
      <c r="F623" s="11">
        <v>35139.584602472882</v>
      </c>
      <c r="G623" s="11">
        <v>41960.967235263997</v>
      </c>
      <c r="H623" s="12">
        <v>3.6980622231991632E-2</v>
      </c>
      <c r="I623" s="13">
        <v>1316</v>
      </c>
      <c r="J623" s="13">
        <v>1233675</v>
      </c>
      <c r="K623" s="12">
        <v>6.9906356074982287E-2</v>
      </c>
      <c r="L623" s="14">
        <v>128.2347</v>
      </c>
      <c r="M623" s="15">
        <v>72169300450</v>
      </c>
      <c r="N623" s="16">
        <f t="shared" si="153"/>
        <v>108619.83936317032</v>
      </c>
      <c r="O623" s="17">
        <f t="shared" si="154"/>
        <v>206624.52629824821</v>
      </c>
      <c r="P623" s="18">
        <f t="shared" si="155"/>
        <v>26496434.142497972</v>
      </c>
      <c r="Q623" s="19">
        <f t="shared" si="156"/>
        <v>0.10116966979596279</v>
      </c>
      <c r="R623" s="20">
        <f t="shared" si="157"/>
        <v>3.6980622231991632E-2</v>
      </c>
      <c r="S623" s="20">
        <f t="shared" si="158"/>
        <v>9.7046359663307113E-3</v>
      </c>
      <c r="T623" s="20">
        <f t="shared" si="159"/>
        <v>1.6313369339947311E-2</v>
      </c>
      <c r="U623" s="20">
        <f t="shared" si="160"/>
        <v>9.5924361381260315E-2</v>
      </c>
      <c r="V623" s="21">
        <f t="shared" si="161"/>
        <v>401750626.56617767</v>
      </c>
      <c r="W623" s="21">
        <f t="shared" si="162"/>
        <v>562790730.20017207</v>
      </c>
      <c r="X623" s="19">
        <f t="shared" si="163"/>
        <v>0.71385437784891015</v>
      </c>
      <c r="Y623" s="17" t="str">
        <f t="shared" si="164"/>
        <v/>
      </c>
      <c r="Z623" s="17" t="str">
        <f t="shared" si="165"/>
        <v/>
      </c>
      <c r="AA623" s="20">
        <f t="shared" si="166"/>
        <v>3.5045233070528099E-2</v>
      </c>
      <c r="AB623" s="17" t="str">
        <f t="shared" si="167"/>
        <v/>
      </c>
      <c r="AC623" s="18" t="str">
        <f t="shared" si="168"/>
        <v/>
      </c>
      <c r="AD623" s="19" t="str">
        <f t="shared" si="169"/>
        <v/>
      </c>
    </row>
    <row r="624" spans="1:30" x14ac:dyDescent="0.25">
      <c r="A624" s="8">
        <v>773</v>
      </c>
      <c r="B624" s="9">
        <v>45763</v>
      </c>
      <c r="C624" s="10">
        <v>1.958333333333333</v>
      </c>
      <c r="D624" s="11">
        <v>150484.236782022</v>
      </c>
      <c r="E624" s="11">
        <v>17320.886623638009</v>
      </c>
      <c r="F624" s="11">
        <v>25506.20022874041</v>
      </c>
      <c r="G624" s="11">
        <v>41888.711404681002</v>
      </c>
      <c r="H624" s="12">
        <v>3.6841555848222747E-2</v>
      </c>
      <c r="I624" s="13">
        <v>1316</v>
      </c>
      <c r="J624" s="13">
        <v>1236456</v>
      </c>
      <c r="K624" s="12">
        <v>6.9760647117414767E-2</v>
      </c>
      <c r="L624" s="14">
        <v>126.3039</v>
      </c>
      <c r="M624" s="15">
        <v>71097260733</v>
      </c>
      <c r="N624" s="16">
        <f t="shared" si="153"/>
        <v>108595.52537734099</v>
      </c>
      <c r="O624" s="17">
        <f t="shared" si="154"/>
        <v>193311.32363440041</v>
      </c>
      <c r="P624" s="18">
        <f t="shared" si="155"/>
        <v>24415974.089186944</v>
      </c>
      <c r="Q624" s="19">
        <f t="shared" si="156"/>
        <v>8.9600993350995292E-2</v>
      </c>
      <c r="R624" s="20">
        <f t="shared" si="157"/>
        <v>3.6841555848222747E-2</v>
      </c>
      <c r="S624" s="20">
        <f t="shared" si="158"/>
        <v>8.0295204690616177E-3</v>
      </c>
      <c r="T624" s="20">
        <f t="shared" si="159"/>
        <v>1.1824022711698771E-2</v>
      </c>
      <c r="U624" s="20">
        <f t="shared" si="160"/>
        <v>8.9614190298175161E-2</v>
      </c>
      <c r="V624" s="21">
        <f t="shared" si="161"/>
        <v>402331575.40444565</v>
      </c>
      <c r="W624" s="21">
        <f t="shared" si="162"/>
        <v>562906297.69152021</v>
      </c>
      <c r="X624" s="19">
        <f t="shared" si="163"/>
        <v>0.71473987243420123</v>
      </c>
      <c r="Y624" s="17" t="str">
        <f t="shared" si="164"/>
        <v/>
      </c>
      <c r="Z624" s="17" t="str">
        <f t="shared" si="165"/>
        <v/>
      </c>
      <c r="AA624" s="20">
        <f t="shared" si="166"/>
        <v>3.5014060009443043E-2</v>
      </c>
      <c r="AB624" s="17" t="str">
        <f t="shared" si="167"/>
        <v/>
      </c>
      <c r="AC624" s="18" t="str">
        <f t="shared" si="168"/>
        <v/>
      </c>
      <c r="AD624" s="19" t="str">
        <f t="shared" si="169"/>
        <v/>
      </c>
    </row>
    <row r="625" spans="1:30" x14ac:dyDescent="0.25">
      <c r="A625" s="8">
        <v>774</v>
      </c>
      <c r="B625" s="9">
        <v>45765</v>
      </c>
      <c r="C625" s="10">
        <v>1.958333333333333</v>
      </c>
      <c r="D625" s="11">
        <v>150387.70674172961</v>
      </c>
      <c r="E625" s="11">
        <v>13468.846255143009</v>
      </c>
      <c r="F625" s="11">
        <v>16750.334110774631</v>
      </c>
      <c r="G625" s="11">
        <v>41591.119270294002</v>
      </c>
      <c r="H625" s="12">
        <v>3.6911148044001148E-2</v>
      </c>
      <c r="I625" s="13">
        <v>1334</v>
      </c>
      <c r="J625" s="13">
        <v>956601</v>
      </c>
      <c r="K625" s="12">
        <v>6.9527809284440134E-2</v>
      </c>
      <c r="L625" s="14">
        <v>134.61519999999999</v>
      </c>
      <c r="M625" s="15">
        <v>75770756292</v>
      </c>
      <c r="N625" s="16">
        <f t="shared" si="153"/>
        <v>108796.5874714356</v>
      </c>
      <c r="O625" s="17">
        <f t="shared" si="154"/>
        <v>180606.88710764723</v>
      </c>
      <c r="P625" s="18">
        <f t="shared" si="155"/>
        <v>24312432.229373351</v>
      </c>
      <c r="Q625" s="19">
        <f t="shared" si="156"/>
        <v>7.4575485303144423E-2</v>
      </c>
      <c r="R625" s="20">
        <f t="shared" si="157"/>
        <v>3.6911148044001148E-2</v>
      </c>
      <c r="S625" s="20">
        <f t="shared" si="158"/>
        <v>6.2269675759952263E-3</v>
      </c>
      <c r="T625" s="20">
        <f t="shared" si="159"/>
        <v>7.744077363348964E-3</v>
      </c>
      <c r="U625" s="20">
        <f t="shared" si="160"/>
        <v>8.3498854223784322E-2</v>
      </c>
      <c r="V625" s="21">
        <f t="shared" si="161"/>
        <v>403419976.34075308</v>
      </c>
      <c r="W625" s="21">
        <f t="shared" si="162"/>
        <v>562869247.24696767</v>
      </c>
      <c r="X625" s="19">
        <f t="shared" si="163"/>
        <v>0.71672058531161187</v>
      </c>
      <c r="Y625" s="17" t="str">
        <f t="shared" si="164"/>
        <v/>
      </c>
      <c r="Z625" s="17" t="str">
        <f t="shared" si="165"/>
        <v/>
      </c>
      <c r="AA625" s="20">
        <f t="shared" si="166"/>
        <v>3.498291467708603E-2</v>
      </c>
      <c r="AB625" s="17" t="str">
        <f t="shared" si="167"/>
        <v/>
      </c>
      <c r="AC625" s="18" t="str">
        <f t="shared" si="168"/>
        <v/>
      </c>
      <c r="AD625" s="19" t="str">
        <f t="shared" si="169"/>
        <v/>
      </c>
    </row>
    <row r="626" spans="1:30" x14ac:dyDescent="0.25">
      <c r="A626" s="8">
        <v>775</v>
      </c>
      <c r="B626" s="9">
        <v>45767</v>
      </c>
      <c r="C626" s="10">
        <v>1.958333333333333</v>
      </c>
      <c r="D626" s="11">
        <v>150291.2046846585</v>
      </c>
      <c r="E626" s="11">
        <v>16709.024703842999</v>
      </c>
      <c r="F626" s="11">
        <v>24385.579092493321</v>
      </c>
      <c r="G626" s="11">
        <v>41587.566840569001</v>
      </c>
      <c r="H626" s="12">
        <v>3.6883599290759773E-2</v>
      </c>
      <c r="I626" s="13">
        <v>1316</v>
      </c>
      <c r="J626" s="13">
        <v>961447</v>
      </c>
      <c r="K626" s="12">
        <v>6.9375994654353693E-2</v>
      </c>
      <c r="L626" s="14">
        <v>139.64250000000001</v>
      </c>
      <c r="M626" s="15">
        <v>78654771940</v>
      </c>
      <c r="N626" s="16">
        <f t="shared" si="153"/>
        <v>108703.63784408951</v>
      </c>
      <c r="O626" s="17">
        <f t="shared" si="154"/>
        <v>191385.8084809948</v>
      </c>
      <c r="P626" s="18">
        <f t="shared" si="155"/>
        <v>26725592.76080732</v>
      </c>
      <c r="Q626" s="19">
        <f t="shared" si="156"/>
        <v>8.7305452982436027E-2</v>
      </c>
      <c r="R626" s="20">
        <f t="shared" si="157"/>
        <v>3.6883599290759773E-2</v>
      </c>
      <c r="S626" s="20">
        <f t="shared" si="158"/>
        <v>7.7130608605175789E-3</v>
      </c>
      <c r="T626" s="20">
        <f t="shared" si="159"/>
        <v>1.1256638792095793E-2</v>
      </c>
      <c r="U626" s="20">
        <f t="shared" si="160"/>
        <v>8.8345694306967065E-2</v>
      </c>
      <c r="V626" s="21">
        <f t="shared" si="161"/>
        <v>404043338.85154265</v>
      </c>
      <c r="W626" s="21">
        <f t="shared" si="162"/>
        <v>563258119.41207004</v>
      </c>
      <c r="X626" s="19">
        <f t="shared" si="163"/>
        <v>0.71733247143118661</v>
      </c>
      <c r="Y626" s="17" t="str">
        <f t="shared" si="164"/>
        <v/>
      </c>
      <c r="Z626" s="17" t="str">
        <f t="shared" si="165"/>
        <v/>
      </c>
      <c r="AA626" s="20">
        <f t="shared" si="166"/>
        <v>3.4951797048792116E-2</v>
      </c>
      <c r="AB626" s="17" t="str">
        <f t="shared" si="167"/>
        <v/>
      </c>
      <c r="AC626" s="18" t="str">
        <f t="shared" si="168"/>
        <v/>
      </c>
      <c r="AD626" s="19" t="str">
        <f t="shared" si="169"/>
        <v/>
      </c>
    </row>
    <row r="627" spans="1:30" x14ac:dyDescent="0.25">
      <c r="A627" s="8">
        <v>776</v>
      </c>
      <c r="B627" s="9">
        <v>45769</v>
      </c>
      <c r="C627" s="10">
        <v>1.958333333333333</v>
      </c>
      <c r="D627" s="11">
        <v>150194.7249734597</v>
      </c>
      <c r="E627" s="11">
        <v>18067.215002441</v>
      </c>
      <c r="F627" s="11">
        <v>27750.917304479739</v>
      </c>
      <c r="G627" s="11">
        <v>41501.764313719003</v>
      </c>
      <c r="H627" s="12">
        <v>3.6862896974029447E-2</v>
      </c>
      <c r="I627" s="13">
        <v>1337</v>
      </c>
      <c r="J627" s="13">
        <v>939719</v>
      </c>
      <c r="K627" s="12">
        <v>6.904361128487263E-2</v>
      </c>
      <c r="L627" s="14">
        <v>136.3304</v>
      </c>
      <c r="M627" s="15">
        <v>76747215795</v>
      </c>
      <c r="N627" s="16">
        <f t="shared" si="153"/>
        <v>108692.9606597407</v>
      </c>
      <c r="O627" s="17">
        <f t="shared" si="154"/>
        <v>196012.85728038044</v>
      </c>
      <c r="P627" s="18">
        <f t="shared" si="155"/>
        <v>26722511.238177177</v>
      </c>
      <c r="Q627" s="19">
        <f t="shared" si="156"/>
        <v>9.2173621940510361E-2</v>
      </c>
      <c r="R627" s="20">
        <f t="shared" si="157"/>
        <v>3.6862896974029447E-2</v>
      </c>
      <c r="S627" s="20">
        <f t="shared" si="158"/>
        <v>8.3053900185188455E-3</v>
      </c>
      <c r="T627" s="20">
        <f t="shared" si="159"/>
        <v>1.2756929695817994E-2</v>
      </c>
      <c r="U627" s="20">
        <f t="shared" si="160"/>
        <v>9.0105930999209466E-2</v>
      </c>
      <c r="V627" s="21">
        <f t="shared" si="161"/>
        <v>405727821.91523278</v>
      </c>
      <c r="W627" s="21">
        <f t="shared" si="162"/>
        <v>562950125.54059839</v>
      </c>
      <c r="X627" s="19">
        <f t="shared" si="163"/>
        <v>0.72071717103822341</v>
      </c>
      <c r="Y627" s="17" t="str">
        <f t="shared" si="164"/>
        <v/>
      </c>
      <c r="Z627" s="17" t="str">
        <f t="shared" si="165"/>
        <v/>
      </c>
      <c r="AA627" s="20">
        <f t="shared" si="166"/>
        <v>3.492070709991827E-2</v>
      </c>
      <c r="AB627" s="17" t="str">
        <f t="shared" si="167"/>
        <v/>
      </c>
      <c r="AC627" s="18" t="str">
        <f t="shared" si="168"/>
        <v/>
      </c>
      <c r="AD627" s="19" t="str">
        <f t="shared" si="169"/>
        <v/>
      </c>
    </row>
    <row r="628" spans="1:30" x14ac:dyDescent="0.25">
      <c r="A628" s="8">
        <v>777</v>
      </c>
      <c r="B628" s="9">
        <v>45771</v>
      </c>
      <c r="C628" s="10">
        <v>1.958333333333333</v>
      </c>
      <c r="D628" s="11">
        <v>150098.2643888811</v>
      </c>
      <c r="E628" s="11">
        <v>18841.529291440002</v>
      </c>
      <c r="F628" s="11">
        <v>27808.17948380678</v>
      </c>
      <c r="G628" s="11">
        <v>41829.218072860996</v>
      </c>
      <c r="H628" s="12">
        <v>3.6677307148457752E-2</v>
      </c>
      <c r="I628" s="13">
        <v>1332</v>
      </c>
      <c r="J628" s="13">
        <v>944203</v>
      </c>
      <c r="K628" s="12">
        <v>6.9027607091166412E-2</v>
      </c>
      <c r="L628" s="14">
        <v>150.9999</v>
      </c>
      <c r="M628" s="15">
        <v>85209332929</v>
      </c>
      <c r="N628" s="16">
        <f t="shared" si="153"/>
        <v>108269.0463160201</v>
      </c>
      <c r="O628" s="17">
        <f t="shared" si="154"/>
        <v>196747.97316412788</v>
      </c>
      <c r="P628" s="18">
        <f t="shared" si="155"/>
        <v>29708924.272985991</v>
      </c>
      <c r="Q628" s="19">
        <f t="shared" si="156"/>
        <v>9.5764794871469036E-2</v>
      </c>
      <c r="R628" s="20">
        <f t="shared" si="157"/>
        <v>3.6677307148457752E-2</v>
      </c>
      <c r="S628" s="20">
        <f t="shared" si="158"/>
        <v>8.6648948688481161E-3</v>
      </c>
      <c r="T628" s="20">
        <f t="shared" si="159"/>
        <v>1.2788502886053647E-2</v>
      </c>
      <c r="U628" s="20">
        <f t="shared" si="160"/>
        <v>9.0481004846068164E-2</v>
      </c>
      <c r="V628" s="21">
        <f t="shared" si="161"/>
        <v>405561256.9851864</v>
      </c>
      <c r="W628" s="21">
        <f t="shared" si="162"/>
        <v>564300591.78184891</v>
      </c>
      <c r="X628" s="19">
        <f t="shared" si="163"/>
        <v>0.71869720303602125</v>
      </c>
      <c r="Y628" s="17" t="str">
        <f t="shared" si="164"/>
        <v/>
      </c>
      <c r="Z628" s="17" t="str">
        <f t="shared" si="165"/>
        <v/>
      </c>
      <c r="AA628" s="20">
        <f t="shared" si="166"/>
        <v>3.4889644805843389E-2</v>
      </c>
      <c r="AB628" s="17" t="str">
        <f t="shared" si="167"/>
        <v/>
      </c>
      <c r="AC628" s="18" t="str">
        <f t="shared" si="168"/>
        <v/>
      </c>
      <c r="AD628" s="19" t="str">
        <f t="shared" si="169"/>
        <v/>
      </c>
    </row>
    <row r="629" spans="1:30" x14ac:dyDescent="0.25">
      <c r="A629" s="8">
        <v>778</v>
      </c>
      <c r="B629" s="9">
        <v>45773</v>
      </c>
      <c r="C629" s="10">
        <v>1.958333333333333</v>
      </c>
      <c r="D629" s="11">
        <v>150001.8296258949</v>
      </c>
      <c r="E629" s="11">
        <v>16962.96177356099</v>
      </c>
      <c r="F629" s="11">
        <v>25705.588948641282</v>
      </c>
      <c r="G629" s="11">
        <v>42096.80038031</v>
      </c>
      <c r="H629" s="12">
        <v>3.682523771318251E-2</v>
      </c>
      <c r="I629" s="13">
        <v>1333</v>
      </c>
      <c r="J629" s="13">
        <v>934279</v>
      </c>
      <c r="K629" s="12">
        <v>6.8925389971726508E-2</v>
      </c>
      <c r="L629" s="14">
        <v>150.92009999999999</v>
      </c>
      <c r="M629" s="15">
        <v>85163749165</v>
      </c>
      <c r="N629" s="16">
        <f t="shared" si="153"/>
        <v>107905.0292455849</v>
      </c>
      <c r="O629" s="17">
        <f t="shared" si="154"/>
        <v>192670.38034809718</v>
      </c>
      <c r="P629" s="18">
        <f t="shared" si="155"/>
        <v>29077833.069172859</v>
      </c>
      <c r="Q629" s="19">
        <f t="shared" si="156"/>
        <v>8.8041357176510696E-2</v>
      </c>
      <c r="R629" s="20">
        <f t="shared" si="157"/>
        <v>3.682523771318251E-2</v>
      </c>
      <c r="S629" s="20">
        <f t="shared" si="158"/>
        <v>7.7944299628485651E-3</v>
      </c>
      <c r="T629" s="20">
        <f t="shared" si="159"/>
        <v>1.18116408790266E-2</v>
      </c>
      <c r="U629" s="20">
        <f t="shared" si="160"/>
        <v>8.8531460813601678E-2</v>
      </c>
      <c r="V629" s="21">
        <f t="shared" si="161"/>
        <v>405901758.42096239</v>
      </c>
      <c r="W629" s="21">
        <f t="shared" si="162"/>
        <v>564296930.39561999</v>
      </c>
      <c r="X629" s="19">
        <f t="shared" si="163"/>
        <v>0.71930527450573023</v>
      </c>
      <c r="Y629" s="17" t="str">
        <f t="shared" si="164"/>
        <v/>
      </c>
      <c r="Z629" s="17" t="str">
        <f t="shared" si="165"/>
        <v/>
      </c>
      <c r="AA629" s="20">
        <f t="shared" si="166"/>
        <v>3.4858610141968283E-2</v>
      </c>
      <c r="AB629" s="17" t="str">
        <f t="shared" si="167"/>
        <v/>
      </c>
      <c r="AC629" s="18" t="str">
        <f t="shared" si="168"/>
        <v/>
      </c>
      <c r="AD629" s="19" t="str">
        <f t="shared" si="169"/>
        <v/>
      </c>
    </row>
    <row r="630" spans="1:30" x14ac:dyDescent="0.25">
      <c r="A630" s="8">
        <v>779</v>
      </c>
      <c r="B630" s="9">
        <v>45775</v>
      </c>
      <c r="C630" s="10">
        <v>1.958333333333333</v>
      </c>
      <c r="D630" s="11">
        <v>149905.43017551969</v>
      </c>
      <c r="E630" s="11">
        <v>19795.430871791999</v>
      </c>
      <c r="F630" s="11">
        <v>29292.528636968629</v>
      </c>
      <c r="G630" s="11">
        <v>41794.661937575002</v>
      </c>
      <c r="H630" s="12">
        <v>3.6898073886321471E-2</v>
      </c>
      <c r="I630" s="13">
        <v>1325</v>
      </c>
      <c r="J630" s="13">
        <v>946489</v>
      </c>
      <c r="K630" s="12">
        <v>6.9012466222811306E-2</v>
      </c>
      <c r="L630" s="14">
        <v>148.2467</v>
      </c>
      <c r="M630" s="15">
        <v>83667553175</v>
      </c>
      <c r="N630" s="16">
        <f t="shared" si="153"/>
        <v>108110.76823794469</v>
      </c>
      <c r="O630" s="17">
        <f t="shared" si="154"/>
        <v>198993.38968428032</v>
      </c>
      <c r="P630" s="18">
        <f t="shared" si="155"/>
        <v>29500113.342508599</v>
      </c>
      <c r="Q630" s="19">
        <f t="shared" si="156"/>
        <v>9.9477831415400828E-2</v>
      </c>
      <c r="R630" s="20">
        <f t="shared" si="157"/>
        <v>3.6898073886321471E-2</v>
      </c>
      <c r="S630" s="20">
        <f t="shared" si="158"/>
        <v>9.113288976963542E-3</v>
      </c>
      <c r="T630" s="20">
        <f t="shared" si="159"/>
        <v>1.3485499763234458E-2</v>
      </c>
      <c r="U630" s="20">
        <f t="shared" si="160"/>
        <v>9.1611254963009314E-2</v>
      </c>
      <c r="V630" s="21">
        <f t="shared" si="161"/>
        <v>405129087.49103349</v>
      </c>
      <c r="W630" s="21">
        <f t="shared" si="162"/>
        <v>564380543.88394475</v>
      </c>
      <c r="X630" s="19">
        <f t="shared" si="163"/>
        <v>0.71782964859671239</v>
      </c>
      <c r="Y630" s="17" t="str">
        <f t="shared" si="164"/>
        <v/>
      </c>
      <c r="Z630" s="17" t="str">
        <f t="shared" si="165"/>
        <v/>
      </c>
      <c r="AA630" s="20">
        <f t="shared" si="166"/>
        <v>3.4827603083715623E-2</v>
      </c>
      <c r="AB630" s="17" t="str">
        <f t="shared" si="167"/>
        <v/>
      </c>
      <c r="AC630" s="18" t="str">
        <f t="shared" si="168"/>
        <v/>
      </c>
      <c r="AD630" s="19" t="str">
        <f t="shared" si="169"/>
        <v/>
      </c>
    </row>
    <row r="631" spans="1:30" x14ac:dyDescent="0.25">
      <c r="A631" s="8">
        <v>780</v>
      </c>
      <c r="B631" s="9">
        <v>45777</v>
      </c>
      <c r="C631" s="10">
        <v>1.958333333333333</v>
      </c>
      <c r="D631" s="11">
        <v>149809.06359767</v>
      </c>
      <c r="E631" s="11">
        <v>25198.08354696403</v>
      </c>
      <c r="F631" s="11">
        <v>35798.831245615067</v>
      </c>
      <c r="G631" s="11">
        <v>41676.454507244001</v>
      </c>
      <c r="H631" s="12">
        <v>3.6669384493153503E-2</v>
      </c>
      <c r="I631" s="13">
        <v>1327</v>
      </c>
      <c r="J631" s="13">
        <v>932596</v>
      </c>
      <c r="K631" s="12">
        <v>6.8863595416550974E-2</v>
      </c>
      <c r="L631" s="14">
        <v>146.4931</v>
      </c>
      <c r="M631" s="15">
        <v>82640476931</v>
      </c>
      <c r="N631" s="16">
        <f t="shared" si="153"/>
        <v>108132.60909042601</v>
      </c>
      <c r="O631" s="17">
        <f t="shared" si="154"/>
        <v>210805.9783902491</v>
      </c>
      <c r="P631" s="18">
        <f t="shared" si="155"/>
        <v>30881621.272920601</v>
      </c>
      <c r="Q631" s="19">
        <f t="shared" si="156"/>
        <v>0.11953211070853376</v>
      </c>
      <c r="R631" s="20">
        <f t="shared" si="157"/>
        <v>3.6669384493153503E-2</v>
      </c>
      <c r="S631" s="20">
        <f t="shared" si="158"/>
        <v>1.1582948247448821E-2</v>
      </c>
      <c r="T631" s="20">
        <f t="shared" si="159"/>
        <v>1.6455855020255004E-2</v>
      </c>
      <c r="U631" s="20">
        <f t="shared" si="160"/>
        <v>9.6902398684254792E-2</v>
      </c>
      <c r="V631" s="21">
        <f t="shared" si="161"/>
        <v>405743904.38656259</v>
      </c>
      <c r="W631" s="21">
        <f t="shared" si="162"/>
        <v>564125388.36982763</v>
      </c>
      <c r="X631" s="19">
        <f t="shared" si="163"/>
        <v>0.71924418356538533</v>
      </c>
      <c r="Y631" s="17" t="str">
        <f t="shared" si="164"/>
        <v/>
      </c>
      <c r="Z631" s="17" t="str">
        <f t="shared" si="165"/>
        <v/>
      </c>
      <c r="AA631" s="20">
        <f t="shared" si="166"/>
        <v>3.4796623606529943E-2</v>
      </c>
      <c r="AB631" s="17" t="str">
        <f t="shared" si="167"/>
        <v/>
      </c>
      <c r="AC631" s="18" t="str">
        <f t="shared" si="168"/>
        <v/>
      </c>
      <c r="AD631" s="19" t="str">
        <f t="shared" si="169"/>
        <v/>
      </c>
    </row>
    <row r="632" spans="1:30" x14ac:dyDescent="0.25">
      <c r="A632" s="8">
        <v>781</v>
      </c>
      <c r="B632" s="9">
        <v>45779</v>
      </c>
      <c r="C632" s="10">
        <v>1.958333333333333</v>
      </c>
      <c r="D632" s="11">
        <v>149712.72189070721</v>
      </c>
      <c r="E632" s="11">
        <v>16801.789480232001</v>
      </c>
      <c r="F632" s="11">
        <v>23765.99203267851</v>
      </c>
      <c r="G632" s="11">
        <v>41767.893664802003</v>
      </c>
      <c r="H632" s="12">
        <v>3.698798332525445E-2</v>
      </c>
      <c r="I632" s="13">
        <v>1326</v>
      </c>
      <c r="J632" s="13">
        <v>940315</v>
      </c>
      <c r="K632" s="12">
        <v>6.8576681310589707E-2</v>
      </c>
      <c r="L632" s="14">
        <v>150.76050000000001</v>
      </c>
      <c r="M632" s="15">
        <v>85094326799</v>
      </c>
      <c r="N632" s="16">
        <f t="shared" si="153"/>
        <v>107944.82822590521</v>
      </c>
      <c r="O632" s="17">
        <f t="shared" si="154"/>
        <v>190280.50340361771</v>
      </c>
      <c r="P632" s="18">
        <f t="shared" si="155"/>
        <v>28686783.833381109</v>
      </c>
      <c r="Q632" s="19">
        <f t="shared" si="156"/>
        <v>8.8300110519428848E-2</v>
      </c>
      <c r="R632" s="20">
        <f t="shared" si="157"/>
        <v>3.698798332525445E-2</v>
      </c>
      <c r="S632" s="20">
        <f t="shared" si="158"/>
        <v>7.6961459793284765E-3</v>
      </c>
      <c r="T632" s="20">
        <f t="shared" si="159"/>
        <v>1.0886134732389571E-2</v>
      </c>
      <c r="U632" s="20">
        <f t="shared" si="160"/>
        <v>8.7158962022307759E-2</v>
      </c>
      <c r="V632" s="21">
        <f t="shared" si="161"/>
        <v>407179449.15826279</v>
      </c>
      <c r="W632" s="21">
        <f t="shared" si="162"/>
        <v>564433832.46274722</v>
      </c>
      <c r="X632" s="19">
        <f t="shared" si="163"/>
        <v>0.72139447662385958</v>
      </c>
      <c r="Y632" s="17" t="str">
        <f t="shared" si="164"/>
        <v/>
      </c>
      <c r="Z632" s="17" t="str">
        <f t="shared" si="165"/>
        <v/>
      </c>
      <c r="AA632" s="20">
        <f t="shared" si="166"/>
        <v>3.4765671685877637E-2</v>
      </c>
      <c r="AB632" s="17" t="str">
        <f t="shared" si="167"/>
        <v/>
      </c>
      <c r="AC632" s="18" t="str">
        <f t="shared" si="168"/>
        <v/>
      </c>
      <c r="AD632" s="19" t="str">
        <f t="shared" si="169"/>
        <v/>
      </c>
    </row>
    <row r="633" spans="1:30" x14ac:dyDescent="0.25">
      <c r="A633" s="8">
        <v>782</v>
      </c>
      <c r="B633" s="9">
        <v>45781</v>
      </c>
      <c r="C633" s="10">
        <v>1.958333333333333</v>
      </c>
      <c r="D633" s="11">
        <v>149616.4168552006</v>
      </c>
      <c r="E633" s="11">
        <v>17509.502967048</v>
      </c>
      <c r="F633" s="11">
        <v>25773.2657535207</v>
      </c>
      <c r="G633" s="11">
        <v>41482.057940364997</v>
      </c>
      <c r="H633" s="12">
        <v>3.6858747088173709E-2</v>
      </c>
      <c r="I633" s="13">
        <v>1323</v>
      </c>
      <c r="J633" s="13">
        <v>929984</v>
      </c>
      <c r="K633" s="12">
        <v>6.8443790801828649E-2</v>
      </c>
      <c r="L633" s="14">
        <v>146.79750000000001</v>
      </c>
      <c r="M633" s="15">
        <v>82933932720</v>
      </c>
      <c r="N633" s="16">
        <f t="shared" si="153"/>
        <v>108134.35891483561</v>
      </c>
      <c r="O633" s="17">
        <f t="shared" si="154"/>
        <v>192899.18557576931</v>
      </c>
      <c r="P633" s="18">
        <f t="shared" si="155"/>
        <v>28317118.194558997</v>
      </c>
      <c r="Q633" s="19">
        <f t="shared" si="156"/>
        <v>9.0770227540283743E-2</v>
      </c>
      <c r="R633" s="20">
        <f t="shared" si="157"/>
        <v>3.6858747088173709E-2</v>
      </c>
      <c r="S633" s="20">
        <f t="shared" si="158"/>
        <v>8.0099282104881854E-3</v>
      </c>
      <c r="T633" s="20">
        <f t="shared" si="159"/>
        <v>1.1790283757571414E-2</v>
      </c>
      <c r="U633" s="20">
        <f t="shared" si="160"/>
        <v>8.8244002769888252E-2</v>
      </c>
      <c r="V633" s="21">
        <f t="shared" si="161"/>
        <v>407707595.97901261</v>
      </c>
      <c r="W633" s="21">
        <f t="shared" si="162"/>
        <v>564954666.93915081</v>
      </c>
      <c r="X633" s="19">
        <f t="shared" si="163"/>
        <v>0.72166426766225</v>
      </c>
      <c r="Y633" s="17" t="str">
        <f t="shared" si="164"/>
        <v/>
      </c>
      <c r="Z633" s="17" t="str">
        <f t="shared" si="165"/>
        <v/>
      </c>
      <c r="AA633" s="20">
        <f t="shared" si="166"/>
        <v>3.4734747297246918E-2</v>
      </c>
      <c r="AB633" s="17" t="str">
        <f t="shared" si="167"/>
        <v/>
      </c>
      <c r="AC633" s="18" t="str">
        <f t="shared" si="168"/>
        <v/>
      </c>
      <c r="AD633" s="19" t="str">
        <f t="shared" si="169"/>
        <v/>
      </c>
    </row>
    <row r="634" spans="1:30" x14ac:dyDescent="0.25">
      <c r="A634" s="8">
        <v>783</v>
      </c>
      <c r="B634" s="9">
        <v>45783</v>
      </c>
      <c r="C634" s="10">
        <v>1.958333333333333</v>
      </c>
      <c r="D634" s="11">
        <v>149520.1364802467</v>
      </c>
      <c r="E634" s="11">
        <v>20006.683448215012</v>
      </c>
      <c r="F634" s="11">
        <v>27892.567276524351</v>
      </c>
      <c r="G634" s="11">
        <v>41545.485529534999</v>
      </c>
      <c r="H634" s="12">
        <v>3.6831308189066207E-2</v>
      </c>
      <c r="I634" s="13">
        <v>1319</v>
      </c>
      <c r="J634" s="13">
        <v>942108</v>
      </c>
      <c r="K634" s="12">
        <v>6.8414177638298601E-2</v>
      </c>
      <c r="L634" s="14">
        <v>146.8107</v>
      </c>
      <c r="M634" s="15">
        <v>82968136273</v>
      </c>
      <c r="N634" s="16">
        <f t="shared" si="153"/>
        <v>107974.6509507117</v>
      </c>
      <c r="O634" s="17">
        <f t="shared" si="154"/>
        <v>197419.38720498607</v>
      </c>
      <c r="P634" s="18">
        <f t="shared" si="155"/>
        <v>28983278.429135047</v>
      </c>
      <c r="Q634" s="19">
        <f t="shared" si="156"/>
        <v>0.10134102699569983</v>
      </c>
      <c r="R634" s="20">
        <f t="shared" si="157"/>
        <v>3.6831308189066207E-2</v>
      </c>
      <c r="S634" s="20">
        <f t="shared" si="158"/>
        <v>9.1542238229578958E-3</v>
      </c>
      <c r="T634" s="20">
        <f t="shared" si="159"/>
        <v>1.2762475325164196E-2</v>
      </c>
      <c r="U634" s="20">
        <f t="shared" si="160"/>
        <v>9.0330876786420697E-2</v>
      </c>
      <c r="V634" s="21">
        <f t="shared" si="161"/>
        <v>407621593.3012175</v>
      </c>
      <c r="W634" s="21">
        <f t="shared" si="162"/>
        <v>565136848.15207613</v>
      </c>
      <c r="X634" s="19">
        <f t="shared" si="163"/>
        <v>0.72127944697658097</v>
      </c>
      <c r="Y634" s="17" t="str">
        <f t="shared" si="164"/>
        <v/>
      </c>
      <c r="Z634" s="17" t="str">
        <f t="shared" si="165"/>
        <v/>
      </c>
      <c r="AA634" s="20">
        <f t="shared" si="166"/>
        <v>3.4703850416147798E-2</v>
      </c>
      <c r="AB634" s="17" t="str">
        <f t="shared" si="167"/>
        <v/>
      </c>
      <c r="AC634" s="18" t="str">
        <f t="shared" si="168"/>
        <v/>
      </c>
      <c r="AD634" s="19" t="str">
        <f t="shared" si="169"/>
        <v/>
      </c>
    </row>
    <row r="635" spans="1:30" x14ac:dyDescent="0.25">
      <c r="A635" s="8">
        <v>784</v>
      </c>
      <c r="B635" s="9">
        <v>45785</v>
      </c>
      <c r="C635" s="10">
        <v>1.958333333333333</v>
      </c>
      <c r="D635" s="11">
        <v>149423.88001751041</v>
      </c>
      <c r="E635" s="11">
        <v>18817.067516127001</v>
      </c>
      <c r="F635" s="11">
        <v>28115.202896650579</v>
      </c>
      <c r="G635" s="11">
        <v>41538.770668281002</v>
      </c>
      <c r="H635" s="12">
        <v>3.6772817809802218E-2</v>
      </c>
      <c r="I635" s="13">
        <v>1318</v>
      </c>
      <c r="J635" s="13">
        <v>914788</v>
      </c>
      <c r="K635" s="12">
        <v>6.8361894554458028E-2</v>
      </c>
      <c r="L635" s="14">
        <v>147.20060000000001</v>
      </c>
      <c r="M635" s="15">
        <v>83334280243</v>
      </c>
      <c r="N635" s="16">
        <f t="shared" si="153"/>
        <v>107885.1093492294</v>
      </c>
      <c r="O635" s="17">
        <f t="shared" si="154"/>
        <v>196356.15043028799</v>
      </c>
      <c r="P635" s="18">
        <f t="shared" si="155"/>
        <v>28903743.157028653</v>
      </c>
      <c r="Q635" s="19">
        <f t="shared" si="156"/>
        <v>9.5831312005719899E-2</v>
      </c>
      <c r="R635" s="20">
        <f t="shared" si="157"/>
        <v>3.6772817809802218E-2</v>
      </c>
      <c r="S635" s="20">
        <f t="shared" si="158"/>
        <v>8.6088675063908573E-3</v>
      </c>
      <c r="T635" s="20">
        <f t="shared" si="159"/>
        <v>1.2862793655022121E-2</v>
      </c>
      <c r="U635" s="20">
        <f t="shared" si="160"/>
        <v>8.9833555715870997E-2</v>
      </c>
      <c r="V635" s="21">
        <f t="shared" si="161"/>
        <v>407670726.80833352</v>
      </c>
      <c r="W635" s="21">
        <f t="shared" si="162"/>
        <v>566127313.63187373</v>
      </c>
      <c r="X635" s="19">
        <f t="shared" si="163"/>
        <v>0.72010432457852203</v>
      </c>
      <c r="Y635" s="17" t="str">
        <f t="shared" si="164"/>
        <v/>
      </c>
      <c r="Z635" s="17" t="str">
        <f t="shared" si="165"/>
        <v/>
      </c>
      <c r="AA635" s="20">
        <f t="shared" si="166"/>
        <v>3.4672981018112052E-2</v>
      </c>
      <c r="AB635" s="17" t="str">
        <f t="shared" si="167"/>
        <v/>
      </c>
      <c r="AC635" s="18" t="str">
        <f t="shared" si="168"/>
        <v/>
      </c>
      <c r="AD635" s="19" t="str">
        <f t="shared" si="169"/>
        <v/>
      </c>
    </row>
    <row r="636" spans="1:30" x14ac:dyDescent="0.25">
      <c r="A636" s="8">
        <v>785</v>
      </c>
      <c r="B636" s="9">
        <v>45787</v>
      </c>
      <c r="C636" s="10">
        <v>1.958333333333333</v>
      </c>
      <c r="D636" s="11">
        <v>149327.65163114649</v>
      </c>
      <c r="E636" s="11">
        <v>17582.53311815401</v>
      </c>
      <c r="F636" s="11">
        <v>25219.72835816033</v>
      </c>
      <c r="G636" s="11">
        <v>41937.405879265003</v>
      </c>
      <c r="H636" s="12">
        <v>3.6623491973337231E-2</v>
      </c>
      <c r="I636" s="13">
        <v>1308</v>
      </c>
      <c r="J636" s="13">
        <v>924492</v>
      </c>
      <c r="K636" s="12">
        <v>6.8149430161471486E-2</v>
      </c>
      <c r="L636" s="14">
        <v>172.69710000000001</v>
      </c>
      <c r="M636" s="15">
        <v>97748114889</v>
      </c>
      <c r="N636" s="16">
        <f t="shared" si="153"/>
        <v>107390.24575188149</v>
      </c>
      <c r="O636" s="17">
        <f t="shared" si="154"/>
        <v>192129.91310746083</v>
      </c>
      <c r="P636" s="18">
        <f t="shared" si="155"/>
        <v>33180278.816910475</v>
      </c>
      <c r="Q636" s="19">
        <f t="shared" si="156"/>
        <v>9.1513772289689543E-2</v>
      </c>
      <c r="R636" s="20">
        <f t="shared" si="157"/>
        <v>3.6623491973337231E-2</v>
      </c>
      <c r="S636" s="20">
        <f t="shared" si="158"/>
        <v>8.0242312773870037E-3</v>
      </c>
      <c r="T636" s="20">
        <f t="shared" si="159"/>
        <v>1.1509657438939084E-2</v>
      </c>
      <c r="U636" s="20">
        <f t="shared" si="160"/>
        <v>8.7683318877797581E-2</v>
      </c>
      <c r="V636" s="21">
        <f t="shared" si="161"/>
        <v>408678334.58412725</v>
      </c>
      <c r="W636" s="21">
        <f t="shared" si="162"/>
        <v>566009011.66840672</v>
      </c>
      <c r="X636" s="19">
        <f t="shared" si="163"/>
        <v>0.72203503152622805</v>
      </c>
      <c r="Y636" s="17" t="str">
        <f t="shared" si="164"/>
        <v/>
      </c>
      <c r="Z636" s="17" t="str">
        <f t="shared" si="165"/>
        <v/>
      </c>
      <c r="AA636" s="20">
        <f t="shared" si="166"/>
        <v>3.4642139078693249E-2</v>
      </c>
      <c r="AB636" s="17" t="str">
        <f t="shared" si="167"/>
        <v/>
      </c>
      <c r="AC636" s="18" t="str">
        <f t="shared" si="168"/>
        <v/>
      </c>
      <c r="AD636" s="19" t="str">
        <f t="shared" si="169"/>
        <v/>
      </c>
    </row>
    <row r="637" spans="1:30" x14ac:dyDescent="0.25">
      <c r="A637" s="8">
        <v>786</v>
      </c>
      <c r="B637" s="9">
        <v>45789</v>
      </c>
      <c r="C637" s="10">
        <v>1.958333333333333</v>
      </c>
      <c r="D637" s="11">
        <v>149231.45814662389</v>
      </c>
      <c r="E637" s="11">
        <v>32065.47059243701</v>
      </c>
      <c r="F637" s="11">
        <v>49917.689664613812</v>
      </c>
      <c r="G637" s="11">
        <v>42375.508426503002</v>
      </c>
      <c r="H637" s="12">
        <v>3.6718884968661478E-2</v>
      </c>
      <c r="I637" s="13">
        <v>1306</v>
      </c>
      <c r="J637" s="13">
        <v>911677</v>
      </c>
      <c r="K637" s="12">
        <v>6.8105968961169522E-2</v>
      </c>
      <c r="L637" s="14">
        <v>172.8578</v>
      </c>
      <c r="M637" s="15">
        <v>97906903378</v>
      </c>
      <c r="N637" s="16">
        <f t="shared" si="153"/>
        <v>106855.94972012089</v>
      </c>
      <c r="O637" s="17">
        <f t="shared" si="154"/>
        <v>231214.61840367471</v>
      </c>
      <c r="P637" s="18">
        <f t="shared" si="155"/>
        <v>39967250.265098721</v>
      </c>
      <c r="Q637" s="19">
        <f t="shared" si="156"/>
        <v>0.1386827131165829</v>
      </c>
      <c r="R637" s="20">
        <f t="shared" si="157"/>
        <v>3.6718884968661478E-2</v>
      </c>
      <c r="S637" s="20">
        <f t="shared" si="158"/>
        <v>1.463397846550637E-2</v>
      </c>
      <c r="T637" s="20">
        <f t="shared" si="159"/>
        <v>2.2781340242425244E-2</v>
      </c>
      <c r="U637" s="20">
        <f t="shared" si="160"/>
        <v>0.10552128766910114</v>
      </c>
      <c r="V637" s="21">
        <f t="shared" si="161"/>
        <v>408675699.61332053</v>
      </c>
      <c r="W637" s="21">
        <f t="shared" si="162"/>
        <v>566401419.99956036</v>
      </c>
      <c r="X637" s="19">
        <f t="shared" si="163"/>
        <v>0.72153014661163406</v>
      </c>
      <c r="Y637" s="17" t="str">
        <f t="shared" si="164"/>
        <v/>
      </c>
      <c r="Z637" s="17" t="str">
        <f t="shared" si="165"/>
        <v/>
      </c>
      <c r="AA637" s="20">
        <f t="shared" si="166"/>
        <v>3.4611324573466704E-2</v>
      </c>
      <c r="AB637" s="17" t="str">
        <f t="shared" si="167"/>
        <v/>
      </c>
      <c r="AC637" s="18" t="str">
        <f t="shared" si="168"/>
        <v/>
      </c>
      <c r="AD637" s="19" t="str">
        <f t="shared" si="169"/>
        <v/>
      </c>
    </row>
    <row r="638" spans="1:30" x14ac:dyDescent="0.25">
      <c r="A638" s="8">
        <v>787</v>
      </c>
      <c r="B638" s="9">
        <v>45791</v>
      </c>
      <c r="C638" s="10">
        <v>1.958333333333333</v>
      </c>
      <c r="D638" s="11">
        <v>149135.30297891429</v>
      </c>
      <c r="E638" s="11">
        <v>27243.69413419699</v>
      </c>
      <c r="F638" s="11">
        <v>44648.373613548953</v>
      </c>
      <c r="G638" s="11">
        <v>41827.801267529998</v>
      </c>
      <c r="H638" s="12">
        <v>3.6350301889873572E-2</v>
      </c>
      <c r="I638" s="13">
        <v>1297</v>
      </c>
      <c r="J638" s="13">
        <v>924114</v>
      </c>
      <c r="K638" s="12">
        <v>6.7818959871948123E-2</v>
      </c>
      <c r="L638" s="14">
        <v>184.0538</v>
      </c>
      <c r="M638" s="15">
        <v>104232323294</v>
      </c>
      <c r="N638" s="16">
        <f t="shared" si="153"/>
        <v>107307.50171138429</v>
      </c>
      <c r="O638" s="17">
        <f t="shared" si="154"/>
        <v>221027.37072666024</v>
      </c>
      <c r="P638" s="18">
        <f t="shared" si="155"/>
        <v>40680927.486250579</v>
      </c>
      <c r="Q638" s="19">
        <f t="shared" si="156"/>
        <v>0.1232593684873928</v>
      </c>
      <c r="R638" s="20">
        <f t="shared" si="157"/>
        <v>3.6350301889873572E-2</v>
      </c>
      <c r="S638" s="20">
        <f t="shared" si="158"/>
        <v>1.2389011604529111E-2</v>
      </c>
      <c r="T638" s="20">
        <f t="shared" si="159"/>
        <v>2.0303752350797469E-2</v>
      </c>
      <c r="U638" s="20">
        <f t="shared" si="160"/>
        <v>0.1005117238272747</v>
      </c>
      <c r="V638" s="21">
        <f t="shared" si="161"/>
        <v>410140771.9001174</v>
      </c>
      <c r="W638" s="21">
        <f t="shared" si="162"/>
        <v>566314432.48658812</v>
      </c>
      <c r="X638" s="19">
        <f t="shared" si="163"/>
        <v>0.72422800545495658</v>
      </c>
      <c r="Y638" s="17" t="str">
        <f t="shared" si="164"/>
        <v/>
      </c>
      <c r="Z638" s="17" t="str">
        <f t="shared" si="165"/>
        <v/>
      </c>
      <c r="AA638" s="20">
        <f t="shared" si="166"/>
        <v>3.4580537478029437E-2</v>
      </c>
      <c r="AB638" s="17" t="str">
        <f t="shared" si="167"/>
        <v/>
      </c>
      <c r="AC638" s="18" t="str">
        <f t="shared" si="168"/>
        <v/>
      </c>
      <c r="AD638" s="19" t="str">
        <f t="shared" si="169"/>
        <v/>
      </c>
    </row>
    <row r="639" spans="1:30" x14ac:dyDescent="0.25">
      <c r="A639" s="8">
        <v>788</v>
      </c>
      <c r="B639" s="9">
        <v>45793</v>
      </c>
      <c r="C639" s="10">
        <v>1.958333333333333</v>
      </c>
      <c r="D639" s="11">
        <v>149039.1889419402</v>
      </c>
      <c r="E639" s="11">
        <v>18804.313441343009</v>
      </c>
      <c r="F639" s="11">
        <v>25701.872215775609</v>
      </c>
      <c r="G639" s="11">
        <v>41178.355956068001</v>
      </c>
      <c r="H639" s="12">
        <v>3.5957621013074093E-2</v>
      </c>
      <c r="I639" s="13">
        <v>1240</v>
      </c>
      <c r="J639" s="13">
        <v>938132</v>
      </c>
      <c r="K639" s="12">
        <v>6.7683652221480248E-2</v>
      </c>
      <c r="L639" s="14">
        <v>168.7527</v>
      </c>
      <c r="M639" s="15">
        <v>95641297859</v>
      </c>
      <c r="N639" s="16">
        <f t="shared" si="153"/>
        <v>107860.8329858722</v>
      </c>
      <c r="O639" s="17">
        <f t="shared" si="154"/>
        <v>193545.37459905882</v>
      </c>
      <c r="P639" s="18">
        <f t="shared" si="155"/>
        <v>32661304.536102593</v>
      </c>
      <c r="Q639" s="19">
        <f t="shared" si="156"/>
        <v>9.7157131656064127E-2</v>
      </c>
      <c r="R639" s="20">
        <f t="shared" si="157"/>
        <v>3.5957621013074093E-2</v>
      </c>
      <c r="S639" s="20">
        <f t="shared" si="158"/>
        <v>8.5396640995099461E-3</v>
      </c>
      <c r="T639" s="20">
        <f t="shared" si="159"/>
        <v>1.1672074927696771E-2</v>
      </c>
      <c r="U639" s="20">
        <f t="shared" si="160"/>
        <v>8.7895391248686963E-2</v>
      </c>
      <c r="V639" s="21">
        <f t="shared" si="161"/>
        <v>410695837.89594346</v>
      </c>
      <c r="W639" s="21">
        <f t="shared" si="162"/>
        <v>566754178.5049957</v>
      </c>
      <c r="X639" s="19">
        <f t="shared" si="163"/>
        <v>0.72464545207111053</v>
      </c>
      <c r="Y639" s="17" t="str">
        <f t="shared" si="164"/>
        <v/>
      </c>
      <c r="Z639" s="17" t="str">
        <f t="shared" si="165"/>
        <v/>
      </c>
      <c r="AA639" s="20">
        <f t="shared" si="166"/>
        <v>3.4549777768000188E-2</v>
      </c>
      <c r="AB639" s="17" t="str">
        <f t="shared" si="167"/>
        <v/>
      </c>
      <c r="AC639" s="18" t="str">
        <f t="shared" si="168"/>
        <v/>
      </c>
      <c r="AD639" s="19" t="str">
        <f t="shared" si="169"/>
        <v/>
      </c>
    </row>
    <row r="640" spans="1:30" x14ac:dyDescent="0.25">
      <c r="A640" s="8">
        <v>789</v>
      </c>
      <c r="B640" s="9">
        <v>45795</v>
      </c>
      <c r="C640" s="10">
        <v>1.958333333333333</v>
      </c>
      <c r="D640" s="11">
        <v>148943.1034609534</v>
      </c>
      <c r="E640" s="11">
        <v>17419.005741898989</v>
      </c>
      <c r="F640" s="11">
        <v>24091.533174594821</v>
      </c>
      <c r="G640" s="11">
        <v>40981.960471856997</v>
      </c>
      <c r="H640" s="12">
        <v>3.5959020659447657E-2</v>
      </c>
      <c r="I640" s="13">
        <v>1213</v>
      </c>
      <c r="J640" s="13">
        <v>958279</v>
      </c>
      <c r="K640" s="12">
        <v>6.7609088841485906E-2</v>
      </c>
      <c r="L640" s="14">
        <v>165.93940000000001</v>
      </c>
      <c r="M640" s="15">
        <v>94065481842</v>
      </c>
      <c r="N640" s="16">
        <f t="shared" si="153"/>
        <v>107961.14298909641</v>
      </c>
      <c r="O640" s="17">
        <f t="shared" si="154"/>
        <v>190453.64237744722</v>
      </c>
      <c r="P640" s="18">
        <f t="shared" si="155"/>
        <v>31603763.143928166</v>
      </c>
      <c r="Q640" s="19">
        <f t="shared" si="156"/>
        <v>9.1460607024660814E-2</v>
      </c>
      <c r="R640" s="20">
        <f t="shared" si="157"/>
        <v>3.5959020659447657E-2</v>
      </c>
      <c r="S640" s="20">
        <f t="shared" si="158"/>
        <v>7.9069327774759363E-3</v>
      </c>
      <c r="T640" s="20">
        <f t="shared" si="159"/>
        <v>1.0935763851300377E-2</v>
      </c>
      <c r="U640" s="20">
        <f t="shared" si="160"/>
        <v>8.6451785470262221E-2</v>
      </c>
      <c r="V640" s="21">
        <f t="shared" si="161"/>
        <v>410883710.64575827</v>
      </c>
      <c r="W640" s="21">
        <f t="shared" si="162"/>
        <v>566866469.57865334</v>
      </c>
      <c r="X640" s="19">
        <f t="shared" si="163"/>
        <v>0.72483332971019498</v>
      </c>
      <c r="Y640" s="17" t="str">
        <f t="shared" si="164"/>
        <v/>
      </c>
      <c r="Z640" s="17" t="str">
        <f t="shared" si="165"/>
        <v/>
      </c>
      <c r="AA640" s="20">
        <f t="shared" si="166"/>
        <v>3.451904541901938E-2</v>
      </c>
      <c r="AB640" s="17" t="str">
        <f t="shared" si="167"/>
        <v/>
      </c>
      <c r="AC640" s="18" t="str">
        <f t="shared" si="168"/>
        <v/>
      </c>
      <c r="AD640" s="19" t="str">
        <f t="shared" si="169"/>
        <v/>
      </c>
    </row>
    <row r="641" spans="1:30" x14ac:dyDescent="0.25">
      <c r="A641" s="8">
        <v>790</v>
      </c>
      <c r="B641" s="9">
        <v>45797</v>
      </c>
      <c r="C641" s="10">
        <v>1.958333333333333</v>
      </c>
      <c r="D641" s="11">
        <v>148847.0468543047</v>
      </c>
      <c r="E641" s="11">
        <v>18423.134478352</v>
      </c>
      <c r="F641" s="11">
        <v>25848.700065145291</v>
      </c>
      <c r="G641" s="11">
        <v>40838.219442285001</v>
      </c>
      <c r="H641" s="12">
        <v>3.5896517468285219E-2</v>
      </c>
      <c r="I641" s="13">
        <v>1235</v>
      </c>
      <c r="J641" s="13">
        <v>953342</v>
      </c>
      <c r="K641" s="12">
        <v>6.7494413900078931E-2</v>
      </c>
      <c r="L641" s="14">
        <v>166.7149</v>
      </c>
      <c r="M641" s="15">
        <v>94504014052</v>
      </c>
      <c r="N641" s="16">
        <f t="shared" si="153"/>
        <v>108008.8274120197</v>
      </c>
      <c r="O641" s="17">
        <f t="shared" si="154"/>
        <v>193118.881397802</v>
      </c>
      <c r="P641" s="18">
        <f t="shared" si="155"/>
        <v>32195795.000346422</v>
      </c>
      <c r="Q641" s="19">
        <f t="shared" si="156"/>
        <v>9.5397893489257146E-2</v>
      </c>
      <c r="R641" s="20">
        <f t="shared" si="157"/>
        <v>3.5896517468285219E-2</v>
      </c>
      <c r="S641" s="20">
        <f t="shared" si="158"/>
        <v>8.3539357353581492E-3</v>
      </c>
      <c r="T641" s="20">
        <f t="shared" si="159"/>
        <v>1.1721044507410445E-2</v>
      </c>
      <c r="U641" s="20">
        <f t="shared" si="160"/>
        <v>8.756939414284752E-2</v>
      </c>
      <c r="V641" s="21">
        <f t="shared" si="161"/>
        <v>411316375.88036335</v>
      </c>
      <c r="W641" s="21">
        <f t="shared" si="162"/>
        <v>566860035.01786578</v>
      </c>
      <c r="X641" s="19">
        <f t="shared" si="163"/>
        <v>0.72560482389166814</v>
      </c>
      <c r="Y641" s="17" t="str">
        <f t="shared" si="164"/>
        <v/>
      </c>
      <c r="Z641" s="17" t="str">
        <f t="shared" si="165"/>
        <v/>
      </c>
      <c r="AA641" s="20">
        <f t="shared" si="166"/>
        <v>3.4488340406749106E-2</v>
      </c>
      <c r="AB641" s="17" t="str">
        <f t="shared" si="167"/>
        <v/>
      </c>
      <c r="AC641" s="18" t="str">
        <f t="shared" si="168"/>
        <v/>
      </c>
      <c r="AD641" s="19" t="str">
        <f t="shared" si="169"/>
        <v/>
      </c>
    </row>
    <row r="642" spans="1:30" x14ac:dyDescent="0.25">
      <c r="A642" s="8">
        <v>791</v>
      </c>
      <c r="B642" s="9">
        <v>45799</v>
      </c>
      <c r="C642" s="10">
        <v>1.958333333333333</v>
      </c>
      <c r="D642" s="11">
        <v>148751.02358265131</v>
      </c>
      <c r="E642" s="11">
        <v>16430.062994789991</v>
      </c>
      <c r="F642" s="11">
        <v>22027.24524010719</v>
      </c>
      <c r="G642" s="11">
        <v>41099.069245277999</v>
      </c>
      <c r="H642" s="12">
        <v>3.6117293902772622E-2</v>
      </c>
      <c r="I642" s="13">
        <v>1197</v>
      </c>
      <c r="J642" s="13">
        <v>946396</v>
      </c>
      <c r="K642" s="12">
        <v>6.7463596536627049E-2</v>
      </c>
      <c r="L642" s="14">
        <v>173.96770000000001</v>
      </c>
      <c r="M642" s="15">
        <v>98698142475</v>
      </c>
      <c r="N642" s="16">
        <f t="shared" ref="N642:N705" si="170">D642-G642</f>
        <v>107651.95433737332</v>
      </c>
      <c r="O642" s="17">
        <f t="shared" ref="O642:O705" si="171">D642+E642+F642</f>
        <v>187208.33181754849</v>
      </c>
      <c r="P642" s="18">
        <f t="shared" ref="P642:P705" si="172">O642*L642</f>
        <v>32568202.907135732</v>
      </c>
      <c r="Q642" s="19">
        <f t="shared" ref="Q642:Q705" si="173">IF(O642&gt;0,E642/O642,"")</f>
        <v>8.7763524386310854E-2</v>
      </c>
      <c r="R642" s="20">
        <f t="shared" ref="R642:R705" si="174">IF(H642&lt;&gt;"",H642,IF(D642&gt;0,G642/D642,""))</f>
        <v>3.6117293902772622E-2</v>
      </c>
      <c r="S642" s="20">
        <f t="shared" ref="S642:S705" si="175">IF(AND(K642&lt;&gt;"",D642&gt;0),E642*K642/D642,"")</f>
        <v>7.4515866462995786E-3</v>
      </c>
      <c r="T642" s="20">
        <f t="shared" ref="T642:T705" si="176">IF(AND(K642&lt;&gt;"",D642&gt;0),F642*K642/D642,"")</f>
        <v>9.9900972100957375E-3</v>
      </c>
      <c r="U642" s="20">
        <f t="shared" ref="U642:U705" si="177">IF(K642&lt;&gt;"",K642+S642+T642,"")</f>
        <v>8.4905280393022364E-2</v>
      </c>
      <c r="V642" s="21">
        <f t="shared" ref="V642:V705" si="178">IF(AND(K642&lt;&gt;"",K642&gt;0,C642&gt;0),D642*(365.25/C642)/K642,"")</f>
        <v>411238798.10943216</v>
      </c>
      <c r="W642" s="21">
        <f t="shared" ref="W642:W705" si="179">IF(AND(M642&lt;&gt;"",L642&gt;0),M642/L642,"")</f>
        <v>567336019.70365763</v>
      </c>
      <c r="X642" s="19">
        <f t="shared" ref="X642:X705" si="180">IF(AND(V642&lt;&gt;"",W642&lt;&gt;"",W642&gt;0),V642/W642,"")</f>
        <v>0.72485931410496141</v>
      </c>
      <c r="Y642" s="17" t="str">
        <f t="shared" ref="Y642:Y705" si="181">IF(A642&lt;620,E642*0.5,"")</f>
        <v/>
      </c>
      <c r="Z642" s="17" t="str">
        <f t="shared" ref="Z642:Z705" si="182">IF(Y642&lt;&gt;"",D642-Y642,"")</f>
        <v/>
      </c>
      <c r="AA642" s="20">
        <f t="shared" ref="AA642:AA705" si="183">IF(B642&lt;&gt;"",MAX(0.08*0.85^((B642-DATE(2020,3,16))/365.25),0.015),"")</f>
        <v>3.4457662706873102E-2</v>
      </c>
      <c r="AB642" s="17" t="str">
        <f t="shared" ref="AB642:AB705" si="184">IF(Z642&lt;&gt;"",Z642,"")</f>
        <v/>
      </c>
      <c r="AC642" s="18" t="str">
        <f t="shared" ref="AC642:AC705" si="185">IF(AB642&lt;&gt;"",AB642*L642,"")</f>
        <v/>
      </c>
      <c r="AD642" s="19" t="str">
        <f t="shared" ref="AD642:AD705" si="186">IF(AND(Y642&lt;&gt;"",D642&gt;0),Y642/D642,"")</f>
        <v/>
      </c>
    </row>
    <row r="643" spans="1:30" x14ac:dyDescent="0.25">
      <c r="A643" s="8">
        <v>792</v>
      </c>
      <c r="B643" s="9">
        <v>45801</v>
      </c>
      <c r="C643" s="10">
        <v>1.958333333333333</v>
      </c>
      <c r="D643" s="11">
        <v>148655.03091482629</v>
      </c>
      <c r="E643" s="11">
        <v>10755.258505878999</v>
      </c>
      <c r="F643" s="11">
        <v>13432.62987152122</v>
      </c>
      <c r="G643" s="11">
        <v>40718.193148270999</v>
      </c>
      <c r="H643" s="12">
        <v>3.5809418944724593E-2</v>
      </c>
      <c r="I643" s="13">
        <v>1186</v>
      </c>
      <c r="J643" s="13">
        <v>946004</v>
      </c>
      <c r="K643" s="12">
        <v>6.7313917716017649E-2</v>
      </c>
      <c r="L643" s="14">
        <v>174.4357</v>
      </c>
      <c r="M643" s="15">
        <v>98981711818</v>
      </c>
      <c r="N643" s="16">
        <f t="shared" si="170"/>
        <v>107936.83776655528</v>
      </c>
      <c r="O643" s="17">
        <f t="shared" si="171"/>
        <v>172842.91929222652</v>
      </c>
      <c r="P643" s="18">
        <f t="shared" si="172"/>
        <v>30149975.616783038</v>
      </c>
      <c r="Q643" s="19">
        <f t="shared" si="173"/>
        <v>6.2225623993858961E-2</v>
      </c>
      <c r="R643" s="20">
        <f t="shared" si="174"/>
        <v>3.5809418944724593E-2</v>
      </c>
      <c r="S643" s="20">
        <f t="shared" si="175"/>
        <v>4.8701922943600222E-3</v>
      </c>
      <c r="T643" s="20">
        <f t="shared" si="176"/>
        <v>6.0825586346914436E-3</v>
      </c>
      <c r="U643" s="20">
        <f t="shared" si="177"/>
        <v>7.8266668645069107E-2</v>
      </c>
      <c r="V643" s="21">
        <f t="shared" si="178"/>
        <v>411887253.67438734</v>
      </c>
      <c r="W643" s="21">
        <f t="shared" si="179"/>
        <v>567439531.11662352</v>
      </c>
      <c r="X643" s="19">
        <f t="shared" si="180"/>
        <v>0.72586986117069419</v>
      </c>
      <c r="Y643" s="17" t="str">
        <f t="shared" si="181"/>
        <v/>
      </c>
      <c r="Z643" s="17" t="str">
        <f t="shared" si="182"/>
        <v/>
      </c>
      <c r="AA643" s="20">
        <f t="shared" si="183"/>
        <v>3.4427012295096759E-2</v>
      </c>
      <c r="AB643" s="17" t="str">
        <f t="shared" si="184"/>
        <v/>
      </c>
      <c r="AC643" s="18" t="str">
        <f t="shared" si="185"/>
        <v/>
      </c>
      <c r="AD643" s="19" t="str">
        <f t="shared" si="186"/>
        <v/>
      </c>
    </row>
    <row r="644" spans="1:30" x14ac:dyDescent="0.25">
      <c r="A644" s="8">
        <v>793</v>
      </c>
      <c r="B644" s="9">
        <v>45803</v>
      </c>
      <c r="C644" s="10">
        <v>1.958333333333333</v>
      </c>
      <c r="D644" s="11">
        <v>148559.08028361699</v>
      </c>
      <c r="E644" s="11">
        <v>13760.563859135</v>
      </c>
      <c r="F644" s="11">
        <v>17175.58313283512</v>
      </c>
      <c r="G644" s="11">
        <v>40576.015873390003</v>
      </c>
      <c r="H644" s="12">
        <v>3.5678035201437981E-2</v>
      </c>
      <c r="I644" s="13">
        <v>1183</v>
      </c>
      <c r="J644" s="13">
        <v>967074</v>
      </c>
      <c r="K644" s="12">
        <v>6.7211226394602544E-2</v>
      </c>
      <c r="L644" s="14">
        <v>175.13200000000001</v>
      </c>
      <c r="M644" s="15">
        <v>99356821468</v>
      </c>
      <c r="N644" s="16">
        <f t="shared" si="170"/>
        <v>107983.06441022699</v>
      </c>
      <c r="O644" s="17">
        <f t="shared" si="171"/>
        <v>179495.22727558709</v>
      </c>
      <c r="P644" s="18">
        <f t="shared" si="172"/>
        <v>31435358.143228121</v>
      </c>
      <c r="Q644" s="19">
        <f t="shared" si="173"/>
        <v>7.6662561272494378E-2</v>
      </c>
      <c r="R644" s="20">
        <f t="shared" si="174"/>
        <v>3.5678035201437981E-2</v>
      </c>
      <c r="S644" s="20">
        <f t="shared" si="175"/>
        <v>6.2255660918742349E-3</v>
      </c>
      <c r="T644" s="20">
        <f t="shared" si="176"/>
        <v>7.7705920378372435E-3</v>
      </c>
      <c r="U644" s="20">
        <f t="shared" si="177"/>
        <v>8.1207384524314016E-2</v>
      </c>
      <c r="V644" s="21">
        <f t="shared" si="178"/>
        <v>412250309.58321232</v>
      </c>
      <c r="W644" s="21">
        <f t="shared" si="179"/>
        <v>567325340.13201475</v>
      </c>
      <c r="X644" s="19">
        <f t="shared" si="180"/>
        <v>0.72665590697444082</v>
      </c>
      <c r="Y644" s="17" t="str">
        <f t="shared" si="181"/>
        <v/>
      </c>
      <c r="Z644" s="17" t="str">
        <f t="shared" si="182"/>
        <v/>
      </c>
      <c r="AA644" s="20">
        <f t="shared" si="183"/>
        <v>3.439638914714703E-2</v>
      </c>
      <c r="AB644" s="17" t="str">
        <f t="shared" si="184"/>
        <v/>
      </c>
      <c r="AC644" s="18" t="str">
        <f t="shared" si="185"/>
        <v/>
      </c>
      <c r="AD644" s="19" t="str">
        <f t="shared" si="186"/>
        <v/>
      </c>
    </row>
    <row r="645" spans="1:30" x14ac:dyDescent="0.25">
      <c r="A645" s="8">
        <v>794</v>
      </c>
      <c r="B645" s="9">
        <v>45805</v>
      </c>
      <c r="C645" s="10">
        <v>1.958333333333333</v>
      </c>
      <c r="D645" s="11">
        <v>148463.1545363921</v>
      </c>
      <c r="E645" s="11">
        <v>13366.576378846999</v>
      </c>
      <c r="F645" s="11">
        <v>15032.670133342521</v>
      </c>
      <c r="G645" s="11">
        <v>40545.994105978003</v>
      </c>
      <c r="H645" s="12">
        <v>3.5644927859587588E-2</v>
      </c>
      <c r="I645" s="13">
        <v>1181</v>
      </c>
      <c r="J645" s="13">
        <v>946132</v>
      </c>
      <c r="K645" s="12">
        <v>6.6685543435871283E-2</v>
      </c>
      <c r="L645" s="14">
        <v>176.5778</v>
      </c>
      <c r="M645" s="15">
        <v>100201969659</v>
      </c>
      <c r="N645" s="16">
        <f t="shared" si="170"/>
        <v>107917.16043041411</v>
      </c>
      <c r="O645" s="17">
        <f t="shared" si="171"/>
        <v>176862.40104858164</v>
      </c>
      <c r="P645" s="18">
        <f t="shared" si="172"/>
        <v>31229973.679876238</v>
      </c>
      <c r="Q645" s="19">
        <f t="shared" si="173"/>
        <v>7.5576133195067202E-2</v>
      </c>
      <c r="R645" s="20">
        <f t="shared" si="174"/>
        <v>3.5644927859587588E-2</v>
      </c>
      <c r="S645" s="20">
        <f t="shared" si="175"/>
        <v>6.003896471713446E-3</v>
      </c>
      <c r="T645" s="20">
        <f t="shared" si="176"/>
        <v>6.7522597122803875E-3</v>
      </c>
      <c r="U645" s="20">
        <f t="shared" si="177"/>
        <v>7.9441699619865108E-2</v>
      </c>
      <c r="V645" s="21">
        <f t="shared" si="178"/>
        <v>415231792.22384888</v>
      </c>
      <c r="W645" s="21">
        <f t="shared" si="179"/>
        <v>567466406.64341724</v>
      </c>
      <c r="X645" s="19">
        <f t="shared" si="180"/>
        <v>0.7317292924526736</v>
      </c>
      <c r="Y645" s="17" t="str">
        <f t="shared" si="181"/>
        <v/>
      </c>
      <c r="Z645" s="17" t="str">
        <f t="shared" si="182"/>
        <v/>
      </c>
      <c r="AA645" s="20">
        <f t="shared" si="183"/>
        <v>3.4365793238772507E-2</v>
      </c>
      <c r="AB645" s="17" t="str">
        <f t="shared" si="184"/>
        <v/>
      </c>
      <c r="AC645" s="18" t="str">
        <f t="shared" si="185"/>
        <v/>
      </c>
      <c r="AD645" s="19" t="str">
        <f t="shared" si="186"/>
        <v/>
      </c>
    </row>
    <row r="646" spans="1:30" x14ac:dyDescent="0.25">
      <c r="A646" s="8">
        <v>795</v>
      </c>
      <c r="B646" s="9">
        <v>45807</v>
      </c>
      <c r="C646" s="10">
        <v>1.958333333333333</v>
      </c>
      <c r="D646" s="11">
        <v>148367.2563044682</v>
      </c>
      <c r="E646" s="11">
        <v>11086.345701165001</v>
      </c>
      <c r="F646" s="11">
        <v>11227.417333569099</v>
      </c>
      <c r="G646" s="11">
        <v>40857.796249639003</v>
      </c>
      <c r="H646" s="12">
        <v>3.5327895155835801E-2</v>
      </c>
      <c r="I646" s="13">
        <v>1184</v>
      </c>
      <c r="J646" s="13">
        <v>949190</v>
      </c>
      <c r="K646" s="12">
        <v>6.6538275901095387E-2</v>
      </c>
      <c r="L646" s="14">
        <v>166.8389</v>
      </c>
      <c r="M646" s="15">
        <v>94703848413</v>
      </c>
      <c r="N646" s="16">
        <f t="shared" si="170"/>
        <v>107509.46005482919</v>
      </c>
      <c r="O646" s="17">
        <f t="shared" si="171"/>
        <v>170681.01933920229</v>
      </c>
      <c r="P646" s="18">
        <f t="shared" si="172"/>
        <v>28476233.517431237</v>
      </c>
      <c r="Q646" s="19">
        <f t="shared" si="173"/>
        <v>6.4953594395476349E-2</v>
      </c>
      <c r="R646" s="20">
        <f t="shared" si="174"/>
        <v>3.5327895155835801E-2</v>
      </c>
      <c r="S646" s="20">
        <f t="shared" si="175"/>
        <v>4.9718943881071429E-3</v>
      </c>
      <c r="T646" s="20">
        <f t="shared" si="176"/>
        <v>5.0351607949446417E-3</v>
      </c>
      <c r="U646" s="20">
        <f t="shared" si="177"/>
        <v>7.6545331084147183E-2</v>
      </c>
      <c r="V646" s="21">
        <f t="shared" si="178"/>
        <v>415882006.27535105</v>
      </c>
      <c r="W646" s="21">
        <f t="shared" si="179"/>
        <v>567636494.92414546</v>
      </c>
      <c r="X646" s="19">
        <f t="shared" si="180"/>
        <v>0.73265551104307747</v>
      </c>
      <c r="Y646" s="17" t="str">
        <f t="shared" si="181"/>
        <v/>
      </c>
      <c r="Z646" s="17" t="str">
        <f t="shared" si="182"/>
        <v/>
      </c>
      <c r="AA646" s="20">
        <f t="shared" si="183"/>
        <v>3.433522454574333E-2</v>
      </c>
      <c r="AB646" s="17" t="str">
        <f t="shared" si="184"/>
        <v/>
      </c>
      <c r="AC646" s="18" t="str">
        <f t="shared" si="185"/>
        <v/>
      </c>
      <c r="AD646" s="19" t="str">
        <f t="shared" si="186"/>
        <v/>
      </c>
    </row>
    <row r="647" spans="1:30" x14ac:dyDescent="0.25">
      <c r="A647" s="8">
        <v>796</v>
      </c>
      <c r="B647" s="9">
        <v>45809</v>
      </c>
      <c r="C647" s="10">
        <v>1.958333333333333</v>
      </c>
      <c r="D647" s="11">
        <v>148271.3907875687</v>
      </c>
      <c r="E647" s="11">
        <v>12519.289458234</v>
      </c>
      <c r="F647" s="11">
        <v>13901.29681835404</v>
      </c>
      <c r="G647" s="11">
        <v>40565.182570532001</v>
      </c>
      <c r="H647" s="12">
        <v>3.4926552548507288E-2</v>
      </c>
      <c r="I647" s="13">
        <v>1179</v>
      </c>
      <c r="J647" s="13">
        <v>956131</v>
      </c>
      <c r="K647" s="12">
        <v>6.6562714201030868E-2</v>
      </c>
      <c r="L647" s="14">
        <v>156.86969999999999</v>
      </c>
      <c r="M647" s="15">
        <v>89352596344</v>
      </c>
      <c r="N647" s="16">
        <f t="shared" si="170"/>
        <v>107706.20821703671</v>
      </c>
      <c r="O647" s="17">
        <f t="shared" si="171"/>
        <v>174691.97706415676</v>
      </c>
      <c r="P647" s="18">
        <f t="shared" si="172"/>
        <v>27403878.034461152</v>
      </c>
      <c r="Q647" s="19">
        <f t="shared" si="173"/>
        <v>7.1664936585131261E-2</v>
      </c>
      <c r="R647" s="20">
        <f t="shared" si="174"/>
        <v>3.4926552548507288E-2</v>
      </c>
      <c r="S647" s="20">
        <f t="shared" si="175"/>
        <v>5.6202203390829384E-3</v>
      </c>
      <c r="T647" s="20">
        <f t="shared" si="176"/>
        <v>6.2406378076638293E-3</v>
      </c>
      <c r="U647" s="20">
        <f t="shared" si="177"/>
        <v>7.8423572347777637E-2</v>
      </c>
      <c r="V647" s="21">
        <f t="shared" si="178"/>
        <v>415460698.5163238</v>
      </c>
      <c r="W647" s="21">
        <f t="shared" si="179"/>
        <v>569597547.1617527</v>
      </c>
      <c r="X647" s="19">
        <f t="shared" si="180"/>
        <v>0.72939341221977283</v>
      </c>
      <c r="Y647" s="17" t="str">
        <f t="shared" si="181"/>
        <v/>
      </c>
      <c r="Z647" s="17" t="str">
        <f t="shared" si="182"/>
        <v/>
      </c>
      <c r="AA647" s="20">
        <f t="shared" si="183"/>
        <v>3.4304683043851196E-2</v>
      </c>
      <c r="AB647" s="17" t="str">
        <f t="shared" si="184"/>
        <v/>
      </c>
      <c r="AC647" s="18" t="str">
        <f t="shared" si="185"/>
        <v/>
      </c>
      <c r="AD647" s="19" t="str">
        <f t="shared" si="186"/>
        <v/>
      </c>
    </row>
    <row r="648" spans="1:30" x14ac:dyDescent="0.25">
      <c r="A648" s="8">
        <v>797</v>
      </c>
      <c r="B648" s="9">
        <v>45811</v>
      </c>
      <c r="C648" s="10">
        <v>1.958333333333333</v>
      </c>
      <c r="D648" s="11">
        <v>148175.54987095221</v>
      </c>
      <c r="E648" s="11">
        <v>12590.732584654001</v>
      </c>
      <c r="F648" s="11">
        <v>16034.812236025649</v>
      </c>
      <c r="G648" s="11">
        <v>40620.153974048997</v>
      </c>
      <c r="H648" s="12">
        <v>3.4907251816163998E-2</v>
      </c>
      <c r="I648" s="13">
        <v>1169</v>
      </c>
      <c r="J648" s="13">
        <v>958971</v>
      </c>
      <c r="K648" s="12">
        <v>6.7065110313375656E-2</v>
      </c>
      <c r="L648" s="14">
        <v>156.97130000000001</v>
      </c>
      <c r="M648" s="15">
        <v>89421282888</v>
      </c>
      <c r="N648" s="16">
        <f t="shared" si="170"/>
        <v>107555.39589690321</v>
      </c>
      <c r="O648" s="17">
        <f t="shared" si="171"/>
        <v>176801.09469163185</v>
      </c>
      <c r="P648" s="18">
        <f t="shared" si="172"/>
        <v>27752697.675168552</v>
      </c>
      <c r="Q648" s="19">
        <f t="shared" si="173"/>
        <v>7.1214109882148435E-2</v>
      </c>
      <c r="R648" s="20">
        <f t="shared" si="174"/>
        <v>3.4907251816163998E-2</v>
      </c>
      <c r="S648" s="20">
        <f t="shared" si="175"/>
        <v>5.6986383411529815E-3</v>
      </c>
      <c r="T648" s="20">
        <f t="shared" si="176"/>
        <v>7.2574486978444399E-3</v>
      </c>
      <c r="U648" s="20">
        <f t="shared" si="177"/>
        <v>8.0021197352373077E-2</v>
      </c>
      <c r="V648" s="21">
        <f t="shared" si="178"/>
        <v>412081874.72492158</v>
      </c>
      <c r="W648" s="21">
        <f t="shared" si="179"/>
        <v>569666447.86658442</v>
      </c>
      <c r="X648" s="19">
        <f t="shared" si="180"/>
        <v>0.7233739607943892</v>
      </c>
      <c r="Y648" s="17" t="str">
        <f t="shared" si="181"/>
        <v/>
      </c>
      <c r="Z648" s="17" t="str">
        <f t="shared" si="182"/>
        <v/>
      </c>
      <c r="AA648" s="20">
        <f t="shared" si="183"/>
        <v>3.4274168708909335E-2</v>
      </c>
      <c r="AB648" s="17" t="str">
        <f t="shared" si="184"/>
        <v/>
      </c>
      <c r="AC648" s="18" t="str">
        <f t="shared" si="185"/>
        <v/>
      </c>
      <c r="AD648" s="19" t="str">
        <f t="shared" si="186"/>
        <v/>
      </c>
    </row>
    <row r="649" spans="1:30" x14ac:dyDescent="0.25">
      <c r="A649" s="8">
        <v>798</v>
      </c>
      <c r="B649" s="9">
        <v>45813</v>
      </c>
      <c r="C649" s="10">
        <v>1.958333333333333</v>
      </c>
      <c r="D649" s="11">
        <v>148079.7380415292</v>
      </c>
      <c r="E649" s="11">
        <v>15163.56642889099</v>
      </c>
      <c r="F649" s="11">
        <v>19365.574055719069</v>
      </c>
      <c r="G649" s="11">
        <v>40372.330062956004</v>
      </c>
      <c r="H649" s="12">
        <v>3.2248091609554809E-2</v>
      </c>
      <c r="I649" s="13">
        <v>1169</v>
      </c>
      <c r="J649" s="13">
        <v>954704</v>
      </c>
      <c r="K649" s="12">
        <v>6.7206625331958328E-2</v>
      </c>
      <c r="L649" s="14">
        <v>153.52930000000001</v>
      </c>
      <c r="M649" s="15">
        <v>87726788385</v>
      </c>
      <c r="N649" s="16">
        <f t="shared" si="170"/>
        <v>107707.4079785732</v>
      </c>
      <c r="O649" s="17">
        <f t="shared" si="171"/>
        <v>182608.87852613925</v>
      </c>
      <c r="P649" s="18">
        <f t="shared" si="172"/>
        <v>28035813.293903191</v>
      </c>
      <c r="Q649" s="19">
        <f t="shared" si="173"/>
        <v>8.3038494903852261E-2</v>
      </c>
      <c r="R649" s="20">
        <f t="shared" si="174"/>
        <v>3.2248091609554809E-2</v>
      </c>
      <c r="S649" s="20">
        <f t="shared" si="175"/>
        <v>6.8820497737302321E-3</v>
      </c>
      <c r="T649" s="20">
        <f t="shared" si="176"/>
        <v>8.7891489890129185E-3</v>
      </c>
      <c r="U649" s="20">
        <f t="shared" si="177"/>
        <v>8.2877824094701485E-2</v>
      </c>
      <c r="V649" s="21">
        <f t="shared" si="178"/>
        <v>410948270.72018039</v>
      </c>
      <c r="W649" s="21">
        <f t="shared" si="179"/>
        <v>571400953.33594298</v>
      </c>
      <c r="X649" s="19">
        <f t="shared" si="180"/>
        <v>0.71919423361299883</v>
      </c>
      <c r="Y649" s="17" t="str">
        <f t="shared" si="181"/>
        <v/>
      </c>
      <c r="Z649" s="17" t="str">
        <f t="shared" si="182"/>
        <v/>
      </c>
      <c r="AA649" s="20">
        <f t="shared" si="183"/>
        <v>3.4243681516752486E-2</v>
      </c>
      <c r="AB649" s="17" t="str">
        <f t="shared" si="184"/>
        <v/>
      </c>
      <c r="AC649" s="18" t="str">
        <f t="shared" si="185"/>
        <v/>
      </c>
      <c r="AD649" s="19" t="str">
        <f t="shared" si="186"/>
        <v/>
      </c>
    </row>
    <row r="650" spans="1:30" x14ac:dyDescent="0.25">
      <c r="A650" s="8">
        <v>799</v>
      </c>
      <c r="B650" s="9">
        <v>45815</v>
      </c>
      <c r="C650" s="10">
        <v>1.958333333333333</v>
      </c>
      <c r="D650" s="11">
        <v>147983.9504796312</v>
      </c>
      <c r="E650" s="11">
        <v>9492.0672257639944</v>
      </c>
      <c r="F650" s="11">
        <v>10576.19102794926</v>
      </c>
      <c r="G650" s="11">
        <v>40185.475113011002</v>
      </c>
      <c r="H650" s="12">
        <v>3.2311508629251827E-2</v>
      </c>
      <c r="I650" s="13">
        <v>1182</v>
      </c>
      <c r="J650" s="13">
        <v>948584</v>
      </c>
      <c r="K650" s="12">
        <v>6.7143008900847581E-2</v>
      </c>
      <c r="L650" s="14">
        <v>148.27289999999999</v>
      </c>
      <c r="M650" s="15">
        <v>84749957260</v>
      </c>
      <c r="N650" s="16">
        <f t="shared" si="170"/>
        <v>107798.4753666202</v>
      </c>
      <c r="O650" s="17">
        <f t="shared" si="171"/>
        <v>168052.20873334445</v>
      </c>
      <c r="P650" s="18">
        <f t="shared" si="172"/>
        <v>24917588.340298306</v>
      </c>
      <c r="Q650" s="19">
        <f t="shared" si="173"/>
        <v>5.6482847189622237E-2</v>
      </c>
      <c r="R650" s="20">
        <f t="shared" si="174"/>
        <v>3.2311508629251827E-2</v>
      </c>
      <c r="S650" s="20">
        <f t="shared" si="175"/>
        <v>4.306723480223879E-3</v>
      </c>
      <c r="T650" s="20">
        <f t="shared" si="176"/>
        <v>4.7986101602579094E-3</v>
      </c>
      <c r="U650" s="20">
        <f t="shared" si="177"/>
        <v>7.6248342541329367E-2</v>
      </c>
      <c r="V650" s="21">
        <f t="shared" si="178"/>
        <v>411071554.7847355</v>
      </c>
      <c r="W650" s="21">
        <f t="shared" si="179"/>
        <v>571580897.52072024</v>
      </c>
      <c r="X650" s="19">
        <f t="shared" si="180"/>
        <v>0.71918350765008521</v>
      </c>
      <c r="Y650" s="17" t="str">
        <f t="shared" si="181"/>
        <v/>
      </c>
      <c r="Z650" s="17" t="str">
        <f t="shared" si="182"/>
        <v/>
      </c>
      <c r="AA650" s="20">
        <f t="shared" si="183"/>
        <v>3.4213221443236901E-2</v>
      </c>
      <c r="AB650" s="17" t="str">
        <f t="shared" si="184"/>
        <v/>
      </c>
      <c r="AC650" s="18" t="str">
        <f t="shared" si="185"/>
        <v/>
      </c>
      <c r="AD650" s="19" t="str">
        <f t="shared" si="186"/>
        <v/>
      </c>
    </row>
    <row r="651" spans="1:30" x14ac:dyDescent="0.25">
      <c r="A651" s="8">
        <v>800</v>
      </c>
      <c r="B651" s="9">
        <v>45817</v>
      </c>
      <c r="C651" s="10">
        <v>1.958333333333333</v>
      </c>
      <c r="D651" s="11">
        <v>147888.20536756929</v>
      </c>
      <c r="E651" s="11">
        <v>13271.240119009</v>
      </c>
      <c r="F651" s="11">
        <v>14359.92242384587</v>
      </c>
      <c r="G651" s="11">
        <v>40184.505191744996</v>
      </c>
      <c r="H651" s="12">
        <v>3.2138243673576407E-2</v>
      </c>
      <c r="I651" s="13">
        <v>1173</v>
      </c>
      <c r="J651" s="13">
        <v>929653</v>
      </c>
      <c r="K651" s="12"/>
      <c r="L651" s="14">
        <v>152.50450000000001</v>
      </c>
      <c r="M651" s="15">
        <v>87288192937</v>
      </c>
      <c r="N651" s="16">
        <f t="shared" si="170"/>
        <v>107703.70017582428</v>
      </c>
      <c r="O651" s="17">
        <f t="shared" si="171"/>
        <v>175519.36791042413</v>
      </c>
      <c r="P651" s="18">
        <f t="shared" si="172"/>
        <v>26767493.443495277</v>
      </c>
      <c r="Q651" s="19">
        <f t="shared" si="173"/>
        <v>7.5611257475482391E-2</v>
      </c>
      <c r="R651" s="20">
        <f t="shared" si="174"/>
        <v>3.2138243673576407E-2</v>
      </c>
      <c r="S651" s="20" t="str">
        <f t="shared" si="175"/>
        <v/>
      </c>
      <c r="T651" s="20" t="str">
        <f t="shared" si="176"/>
        <v/>
      </c>
      <c r="U651" s="20" t="str">
        <f t="shared" si="177"/>
        <v/>
      </c>
      <c r="V651" s="21" t="str">
        <f t="shared" si="178"/>
        <v/>
      </c>
      <c r="W651" s="21">
        <f t="shared" si="179"/>
        <v>572364703.57923865</v>
      </c>
      <c r="X651" s="19" t="str">
        <f t="shared" si="180"/>
        <v/>
      </c>
      <c r="Y651" s="17" t="str">
        <f t="shared" si="181"/>
        <v/>
      </c>
      <c r="Z651" s="17" t="str">
        <f t="shared" si="182"/>
        <v/>
      </c>
      <c r="AA651" s="20">
        <f t="shared" si="183"/>
        <v>3.4182788464240284E-2</v>
      </c>
      <c r="AB651" s="17" t="str">
        <f t="shared" si="184"/>
        <v/>
      </c>
      <c r="AC651" s="18" t="str">
        <f t="shared" si="185"/>
        <v/>
      </c>
      <c r="AD651" s="19" t="str">
        <f t="shared" si="186"/>
        <v/>
      </c>
    </row>
    <row r="652" spans="1:30" x14ac:dyDescent="0.25">
      <c r="A652" s="8">
        <v>801</v>
      </c>
      <c r="B652" s="9">
        <v>45819</v>
      </c>
      <c r="C652" s="10">
        <v>1.958333333333333</v>
      </c>
      <c r="D652" s="11">
        <v>147792.4847694221</v>
      </c>
      <c r="E652" s="11">
        <v>13062.16098480001</v>
      </c>
      <c r="F652" s="11">
        <v>14441.270027035031</v>
      </c>
      <c r="G652" s="11">
        <v>40344.838873920999</v>
      </c>
      <c r="H652" s="12">
        <v>3.2244734596948828E-2</v>
      </c>
      <c r="I652" s="13">
        <v>1169</v>
      </c>
      <c r="J652" s="13">
        <v>937122</v>
      </c>
      <c r="K652" s="12"/>
      <c r="L652" s="14">
        <v>164.96440000000001</v>
      </c>
      <c r="M652" s="15">
        <v>94407124166</v>
      </c>
      <c r="N652" s="16">
        <f t="shared" si="170"/>
        <v>107447.6458955011</v>
      </c>
      <c r="O652" s="17">
        <f t="shared" si="171"/>
        <v>175295.91578125715</v>
      </c>
      <c r="P652" s="18">
        <f t="shared" si="172"/>
        <v>28917585.569305617</v>
      </c>
      <c r="Q652" s="19">
        <f t="shared" si="173"/>
        <v>7.4514919110263908E-2</v>
      </c>
      <c r="R652" s="20">
        <f t="shared" si="174"/>
        <v>3.2244734596948828E-2</v>
      </c>
      <c r="S652" s="20" t="str">
        <f t="shared" si="175"/>
        <v/>
      </c>
      <c r="T652" s="20" t="str">
        <f t="shared" si="176"/>
        <v/>
      </c>
      <c r="U652" s="20" t="str">
        <f t="shared" si="177"/>
        <v/>
      </c>
      <c r="V652" s="21" t="str">
        <f t="shared" si="178"/>
        <v/>
      </c>
      <c r="W652" s="21">
        <f t="shared" si="179"/>
        <v>572287864.3270911</v>
      </c>
      <c r="X652" s="19" t="str">
        <f t="shared" si="180"/>
        <v/>
      </c>
      <c r="Y652" s="17" t="str">
        <f t="shared" si="181"/>
        <v/>
      </c>
      <c r="Z652" s="17" t="str">
        <f t="shared" si="182"/>
        <v/>
      </c>
      <c r="AA652" s="20">
        <f t="shared" si="183"/>
        <v>3.4152382555661817E-2</v>
      </c>
      <c r="AB652" s="17" t="str">
        <f t="shared" si="184"/>
        <v/>
      </c>
      <c r="AC652" s="18" t="str">
        <f t="shared" si="185"/>
        <v/>
      </c>
      <c r="AD652" s="19" t="str">
        <f t="shared" si="186"/>
        <v/>
      </c>
    </row>
    <row r="653" spans="1:30" x14ac:dyDescent="0.25">
      <c r="A653" s="8">
        <v>802</v>
      </c>
      <c r="B653" s="9">
        <v>45821</v>
      </c>
      <c r="C653" s="10">
        <v>2</v>
      </c>
      <c r="D653" s="11">
        <v>147696.7857706763</v>
      </c>
      <c r="E653" s="11">
        <v>9709.8830657020044</v>
      </c>
      <c r="F653" s="11">
        <v>11746.04472876165</v>
      </c>
      <c r="G653" s="11">
        <v>40493.415071716001</v>
      </c>
      <c r="H653" s="12">
        <v>3.2542229346620849E-2</v>
      </c>
      <c r="I653" s="13">
        <v>1164</v>
      </c>
      <c r="J653" s="13">
        <v>927686</v>
      </c>
      <c r="K653" s="12"/>
      <c r="L653" s="14">
        <v>152.66050000000001</v>
      </c>
      <c r="M653" s="15">
        <v>87552774518</v>
      </c>
      <c r="N653" s="16">
        <f t="shared" si="170"/>
        <v>107203.37069896029</v>
      </c>
      <c r="O653" s="17">
        <f t="shared" si="171"/>
        <v>169152.71356513997</v>
      </c>
      <c r="P653" s="18">
        <f t="shared" si="172"/>
        <v>25822937.829211053</v>
      </c>
      <c r="Q653" s="19">
        <f t="shared" si="173"/>
        <v>5.7403058225032673E-2</v>
      </c>
      <c r="R653" s="20">
        <f t="shared" si="174"/>
        <v>3.2542229346620849E-2</v>
      </c>
      <c r="S653" s="20" t="str">
        <f t="shared" si="175"/>
        <v/>
      </c>
      <c r="T653" s="20" t="str">
        <f t="shared" si="176"/>
        <v/>
      </c>
      <c r="U653" s="20" t="str">
        <f t="shared" si="177"/>
        <v/>
      </c>
      <c r="V653" s="21" t="str">
        <f t="shared" si="178"/>
        <v/>
      </c>
      <c r="W653" s="21">
        <f t="shared" si="179"/>
        <v>573512955.33553207</v>
      </c>
      <c r="X653" s="19" t="str">
        <f t="shared" si="180"/>
        <v/>
      </c>
      <c r="Y653" s="17" t="str">
        <f t="shared" si="181"/>
        <v/>
      </c>
      <c r="Z653" s="17" t="str">
        <f t="shared" si="182"/>
        <v/>
      </c>
      <c r="AA653" s="20">
        <f t="shared" si="183"/>
        <v>3.4122003693422109E-2</v>
      </c>
      <c r="AB653" s="17" t="str">
        <f t="shared" si="184"/>
        <v/>
      </c>
      <c r="AC653" s="18" t="str">
        <f t="shared" si="185"/>
        <v/>
      </c>
      <c r="AD653" s="19" t="str">
        <f t="shared" si="186"/>
        <v/>
      </c>
    </row>
    <row r="654" spans="1:30" x14ac:dyDescent="0.25">
      <c r="A654" s="8">
        <v>803</v>
      </c>
      <c r="B654" s="9">
        <v>45823</v>
      </c>
      <c r="C654" s="10">
        <v>2</v>
      </c>
      <c r="D654" s="11">
        <v>147601.13073192461</v>
      </c>
      <c r="E654" s="11">
        <v>11675.966682470989</v>
      </c>
      <c r="F654" s="11">
        <v>15610.695564180211</v>
      </c>
      <c r="G654" s="11">
        <v>40218.243953657999</v>
      </c>
      <c r="H654" s="12">
        <v>3.2589189081130329E-2</v>
      </c>
      <c r="I654" s="13">
        <v>1158</v>
      </c>
      <c r="J654" s="13">
        <v>925972</v>
      </c>
      <c r="K654" s="12"/>
      <c r="L654" s="14">
        <v>144.75149999999999</v>
      </c>
      <c r="M654" s="15">
        <v>83309992399</v>
      </c>
      <c r="N654" s="16">
        <f t="shared" si="170"/>
        <v>107382.88677826661</v>
      </c>
      <c r="O654" s="17">
        <f t="shared" si="171"/>
        <v>174887.7929785758</v>
      </c>
      <c r="P654" s="18">
        <f t="shared" si="172"/>
        <v>25315270.365338314</v>
      </c>
      <c r="Q654" s="19">
        <f t="shared" si="173"/>
        <v>6.6762616667598543E-2</v>
      </c>
      <c r="R654" s="20">
        <f t="shared" si="174"/>
        <v>3.2589189081130329E-2</v>
      </c>
      <c r="S654" s="20" t="str">
        <f t="shared" si="175"/>
        <v/>
      </c>
      <c r="T654" s="20" t="str">
        <f t="shared" si="176"/>
        <v/>
      </c>
      <c r="U654" s="20" t="str">
        <f t="shared" si="177"/>
        <v/>
      </c>
      <c r="V654" s="21" t="str">
        <f t="shared" si="178"/>
        <v/>
      </c>
      <c r="W654" s="21">
        <f t="shared" si="179"/>
        <v>575538024.81494153</v>
      </c>
      <c r="X654" s="19" t="str">
        <f t="shared" si="180"/>
        <v/>
      </c>
      <c r="Y654" s="17" t="str">
        <f t="shared" si="181"/>
        <v/>
      </c>
      <c r="Z654" s="17" t="str">
        <f t="shared" si="182"/>
        <v/>
      </c>
      <c r="AA654" s="20">
        <f t="shared" si="183"/>
        <v>3.4091651853463183E-2</v>
      </c>
      <c r="AB654" s="17" t="str">
        <f t="shared" si="184"/>
        <v/>
      </c>
      <c r="AC654" s="18" t="str">
        <f t="shared" si="185"/>
        <v/>
      </c>
      <c r="AD654" s="19" t="str">
        <f t="shared" si="186"/>
        <v/>
      </c>
    </row>
    <row r="655" spans="1:30" x14ac:dyDescent="0.25">
      <c r="A655" s="8">
        <v>804</v>
      </c>
      <c r="B655" s="9">
        <v>45825</v>
      </c>
      <c r="C655" s="10">
        <v>2</v>
      </c>
      <c r="D655" s="11">
        <v>147505.50044817859</v>
      </c>
      <c r="E655" s="11">
        <v>11206.125472084999</v>
      </c>
      <c r="F655" s="11">
        <v>13865.19049521283</v>
      </c>
      <c r="G655" s="11">
        <v>40067.726121180996</v>
      </c>
      <c r="H655" s="12">
        <v>3.2641801748367637E-2</v>
      </c>
      <c r="I655" s="13">
        <v>1129</v>
      </c>
      <c r="J655" s="13">
        <v>907200</v>
      </c>
      <c r="K655" s="12"/>
      <c r="L655" s="14">
        <v>151.43549999999999</v>
      </c>
      <c r="M655" s="15">
        <v>87197083887</v>
      </c>
      <c r="N655" s="16">
        <f t="shared" si="170"/>
        <v>107437.77432699759</v>
      </c>
      <c r="O655" s="17">
        <f t="shared" si="171"/>
        <v>172576.81641547641</v>
      </c>
      <c r="P655" s="18">
        <f t="shared" si="172"/>
        <v>26134256.482285876</v>
      </c>
      <c r="Q655" s="19">
        <f t="shared" si="173"/>
        <v>6.4934130231643628E-2</v>
      </c>
      <c r="R655" s="20">
        <f t="shared" si="174"/>
        <v>3.2641801748367637E-2</v>
      </c>
      <c r="S655" s="20" t="str">
        <f t="shared" si="175"/>
        <v/>
      </c>
      <c r="T655" s="20" t="str">
        <f t="shared" si="176"/>
        <v/>
      </c>
      <c r="U655" s="20" t="str">
        <f t="shared" si="177"/>
        <v/>
      </c>
      <c r="V655" s="21" t="str">
        <f t="shared" si="178"/>
        <v/>
      </c>
      <c r="W655" s="21">
        <f t="shared" si="179"/>
        <v>575803453.52972066</v>
      </c>
      <c r="X655" s="19" t="str">
        <f t="shared" si="180"/>
        <v/>
      </c>
      <c r="Y655" s="17" t="str">
        <f t="shared" si="181"/>
        <v/>
      </c>
      <c r="Z655" s="17" t="str">
        <f t="shared" si="182"/>
        <v/>
      </c>
      <c r="AA655" s="20">
        <f t="shared" si="183"/>
        <v>3.4061327011748473E-2</v>
      </c>
      <c r="AB655" s="17" t="str">
        <f t="shared" si="184"/>
        <v/>
      </c>
      <c r="AC655" s="18" t="str">
        <f t="shared" si="185"/>
        <v/>
      </c>
      <c r="AD655" s="19" t="str">
        <f t="shared" si="186"/>
        <v/>
      </c>
    </row>
    <row r="656" spans="1:30" x14ac:dyDescent="0.25">
      <c r="A656" s="8">
        <v>805</v>
      </c>
      <c r="B656" s="9">
        <v>45827</v>
      </c>
      <c r="C656" s="10">
        <v>2</v>
      </c>
      <c r="D656" s="11">
        <v>147409.90108544769</v>
      </c>
      <c r="E656" s="11">
        <v>10742.04805727701</v>
      </c>
      <c r="F656" s="11">
        <v>13591.042451960589</v>
      </c>
      <c r="G656" s="11">
        <v>39947.149404723001</v>
      </c>
      <c r="H656" s="12">
        <v>3.2712205655743898E-2</v>
      </c>
      <c r="I656" s="13">
        <v>1130</v>
      </c>
      <c r="J656" s="13">
        <v>921832</v>
      </c>
      <c r="K656" s="12"/>
      <c r="L656" s="14">
        <v>146.27699999999999</v>
      </c>
      <c r="M656" s="15">
        <v>84184538986</v>
      </c>
      <c r="N656" s="16">
        <f t="shared" si="170"/>
        <v>107462.7516807247</v>
      </c>
      <c r="O656" s="17">
        <f t="shared" si="171"/>
        <v>171742.9915946853</v>
      </c>
      <c r="P656" s="18">
        <f t="shared" si="172"/>
        <v>25122049.58149578</v>
      </c>
      <c r="Q656" s="19">
        <f t="shared" si="173"/>
        <v>6.25472280267967E-2</v>
      </c>
      <c r="R656" s="20">
        <f t="shared" si="174"/>
        <v>3.2712205655743898E-2</v>
      </c>
      <c r="S656" s="20" t="str">
        <f t="shared" si="175"/>
        <v/>
      </c>
      <c r="T656" s="20" t="str">
        <f t="shared" si="176"/>
        <v/>
      </c>
      <c r="U656" s="20" t="str">
        <f t="shared" si="177"/>
        <v/>
      </c>
      <c r="V656" s="21" t="str">
        <f t="shared" si="178"/>
        <v/>
      </c>
      <c r="W656" s="21">
        <f t="shared" si="179"/>
        <v>575514530.55504286</v>
      </c>
      <c r="X656" s="19" t="str">
        <f t="shared" si="180"/>
        <v/>
      </c>
      <c r="Y656" s="17" t="str">
        <f t="shared" si="181"/>
        <v/>
      </c>
      <c r="Z656" s="17" t="str">
        <f t="shared" si="182"/>
        <v/>
      </c>
      <c r="AA656" s="20">
        <f t="shared" si="183"/>
        <v>3.40310291442628E-2</v>
      </c>
      <c r="AB656" s="17" t="str">
        <f t="shared" si="184"/>
        <v/>
      </c>
      <c r="AC656" s="18" t="str">
        <f t="shared" si="185"/>
        <v/>
      </c>
      <c r="AD656" s="19" t="str">
        <f t="shared" si="186"/>
        <v/>
      </c>
    </row>
    <row r="657" spans="1:30" x14ac:dyDescent="0.25">
      <c r="A657" s="8">
        <v>806</v>
      </c>
      <c r="B657" s="9">
        <v>45829</v>
      </c>
      <c r="C657" s="10">
        <v>2</v>
      </c>
      <c r="D657" s="11">
        <v>147314.33766971951</v>
      </c>
      <c r="E657" s="11">
        <v>9513.7912394110008</v>
      </c>
      <c r="F657" s="11">
        <v>12306.750279615149</v>
      </c>
      <c r="G657" s="11">
        <v>39817.069174472002</v>
      </c>
      <c r="H657" s="12">
        <v>3.2135601233766423E-2</v>
      </c>
      <c r="I657" s="13">
        <v>1112</v>
      </c>
      <c r="J657" s="13">
        <v>903282</v>
      </c>
      <c r="K657" s="12"/>
      <c r="L657" s="14">
        <v>140.0401</v>
      </c>
      <c r="M657" s="15">
        <v>81082473182</v>
      </c>
      <c r="N657" s="16">
        <f t="shared" si="170"/>
        <v>107497.2684952475</v>
      </c>
      <c r="O657" s="17">
        <f t="shared" si="171"/>
        <v>169134.87918874563</v>
      </c>
      <c r="P657" s="18">
        <f t="shared" si="172"/>
        <v>23685665.395079855</v>
      </c>
      <c r="Q657" s="19">
        <f t="shared" si="173"/>
        <v>5.6249729713018629E-2</v>
      </c>
      <c r="R657" s="20">
        <f t="shared" si="174"/>
        <v>3.2135601233766423E-2</v>
      </c>
      <c r="S657" s="20" t="str">
        <f t="shared" si="175"/>
        <v/>
      </c>
      <c r="T657" s="20" t="str">
        <f t="shared" si="176"/>
        <v/>
      </c>
      <c r="U657" s="20" t="str">
        <f t="shared" si="177"/>
        <v/>
      </c>
      <c r="V657" s="21" t="str">
        <f t="shared" si="178"/>
        <v/>
      </c>
      <c r="W657" s="21">
        <f t="shared" si="179"/>
        <v>578994682.1089102</v>
      </c>
      <c r="X657" s="19" t="str">
        <f t="shared" si="180"/>
        <v/>
      </c>
      <c r="Y657" s="17" t="str">
        <f t="shared" si="181"/>
        <v/>
      </c>
      <c r="Z657" s="17" t="str">
        <f t="shared" si="182"/>
        <v/>
      </c>
      <c r="AA657" s="20">
        <f t="shared" si="183"/>
        <v>3.4000758227012325E-2</v>
      </c>
      <c r="AB657" s="17" t="str">
        <f t="shared" si="184"/>
        <v/>
      </c>
      <c r="AC657" s="18" t="str">
        <f t="shared" si="185"/>
        <v/>
      </c>
      <c r="AD657" s="19" t="str">
        <f t="shared" si="186"/>
        <v/>
      </c>
    </row>
    <row r="658" spans="1:30" x14ac:dyDescent="0.25">
      <c r="A658" s="8">
        <v>807</v>
      </c>
      <c r="B658" s="9">
        <v>45831</v>
      </c>
      <c r="C658" s="10">
        <v>2</v>
      </c>
      <c r="D658" s="11">
        <v>147218.8078619577</v>
      </c>
      <c r="E658" s="11">
        <v>11905.159428371</v>
      </c>
      <c r="F658" s="11">
        <v>14830.827776002279</v>
      </c>
      <c r="G658" s="11">
        <v>39736.016531884998</v>
      </c>
      <c r="H658" s="12">
        <v>3.2196253321603717E-2</v>
      </c>
      <c r="I658" s="13">
        <v>1105</v>
      </c>
      <c r="J658" s="13">
        <v>908927</v>
      </c>
      <c r="K658" s="12"/>
      <c r="L658" s="14">
        <v>131.8135</v>
      </c>
      <c r="M658" s="15">
        <v>76374103230</v>
      </c>
      <c r="N658" s="16">
        <f t="shared" si="170"/>
        <v>107482.79133007271</v>
      </c>
      <c r="O658" s="17">
        <f t="shared" si="171"/>
        <v>173954.79506633099</v>
      </c>
      <c r="P658" s="18">
        <f t="shared" si="172"/>
        <v>22929590.379475821</v>
      </c>
      <c r="Q658" s="19">
        <f t="shared" si="173"/>
        <v>6.843823663401416E-2</v>
      </c>
      <c r="R658" s="20">
        <f t="shared" si="174"/>
        <v>3.2196253321603717E-2</v>
      </c>
      <c r="S658" s="20" t="str">
        <f t="shared" si="175"/>
        <v/>
      </c>
      <c r="T658" s="20" t="str">
        <f t="shared" si="176"/>
        <v/>
      </c>
      <c r="U658" s="20" t="str">
        <f t="shared" si="177"/>
        <v/>
      </c>
      <c r="V658" s="21" t="str">
        <f t="shared" si="178"/>
        <v/>
      </c>
      <c r="W658" s="21">
        <f t="shared" si="179"/>
        <v>579410327.69784582</v>
      </c>
      <c r="X658" s="19" t="str">
        <f t="shared" si="180"/>
        <v/>
      </c>
      <c r="Y658" s="17" t="str">
        <f t="shared" si="181"/>
        <v/>
      </c>
      <c r="Z658" s="17" t="str">
        <f t="shared" si="182"/>
        <v/>
      </c>
      <c r="AA658" s="20">
        <f t="shared" si="183"/>
        <v>3.3970514236024554E-2</v>
      </c>
      <c r="AB658" s="17" t="str">
        <f t="shared" si="184"/>
        <v/>
      </c>
      <c r="AC658" s="18" t="str">
        <f t="shared" si="185"/>
        <v/>
      </c>
      <c r="AD658" s="19" t="str">
        <f t="shared" si="186"/>
        <v/>
      </c>
    </row>
    <row r="659" spans="1:30" x14ac:dyDescent="0.25">
      <c r="A659" s="8">
        <v>808</v>
      </c>
      <c r="B659" s="9">
        <v>45833</v>
      </c>
      <c r="C659" s="10">
        <v>2</v>
      </c>
      <c r="D659" s="11">
        <v>147123.30123839961</v>
      </c>
      <c r="E659" s="11">
        <v>12904.786142329</v>
      </c>
      <c r="F659" s="11">
        <v>16039.488844933459</v>
      </c>
      <c r="G659" s="11">
        <v>40235.447357163997</v>
      </c>
      <c r="H659" s="12">
        <v>3.2445652915753069E-2</v>
      </c>
      <c r="I659" s="13">
        <v>1115</v>
      </c>
      <c r="J659" s="13">
        <v>885548</v>
      </c>
      <c r="K659" s="12"/>
      <c r="L659" s="14">
        <v>145.80199999999999</v>
      </c>
      <c r="M659" s="15">
        <v>84425774503</v>
      </c>
      <c r="N659" s="16">
        <f t="shared" si="170"/>
        <v>106887.85388123561</v>
      </c>
      <c r="O659" s="17">
        <f t="shared" si="171"/>
        <v>176067.57622566205</v>
      </c>
      <c r="P659" s="18">
        <f t="shared" si="172"/>
        <v>25671004.748853978</v>
      </c>
      <c r="Q659" s="19">
        <f t="shared" si="173"/>
        <v>7.3294506682986371E-2</v>
      </c>
      <c r="R659" s="20">
        <f t="shared" si="174"/>
        <v>3.2445652915753069E-2</v>
      </c>
      <c r="S659" s="20" t="str">
        <f t="shared" si="175"/>
        <v/>
      </c>
      <c r="T659" s="20" t="str">
        <f t="shared" si="176"/>
        <v/>
      </c>
      <c r="U659" s="20" t="str">
        <f t="shared" si="177"/>
        <v/>
      </c>
      <c r="V659" s="21" t="str">
        <f t="shared" si="178"/>
        <v/>
      </c>
      <c r="W659" s="21">
        <f t="shared" si="179"/>
        <v>579044008.33321905</v>
      </c>
      <c r="X659" s="19" t="str">
        <f t="shared" si="180"/>
        <v/>
      </c>
      <c r="Y659" s="17" t="str">
        <f t="shared" si="181"/>
        <v/>
      </c>
      <c r="Z659" s="17" t="str">
        <f t="shared" si="182"/>
        <v/>
      </c>
      <c r="AA659" s="20">
        <f t="shared" si="183"/>
        <v>3.3940297147348343E-2</v>
      </c>
      <c r="AB659" s="17" t="str">
        <f t="shared" si="184"/>
        <v/>
      </c>
      <c r="AC659" s="18" t="str">
        <f t="shared" si="185"/>
        <v/>
      </c>
      <c r="AD659" s="19" t="str">
        <f t="shared" si="186"/>
        <v/>
      </c>
    </row>
    <row r="660" spans="1:30" x14ac:dyDescent="0.25">
      <c r="A660" s="8">
        <v>809</v>
      </c>
      <c r="B660" s="9">
        <v>45835</v>
      </c>
      <c r="C660" s="10">
        <v>1.958333333333333</v>
      </c>
      <c r="D660" s="11">
        <v>147027.81948438671</v>
      </c>
      <c r="E660" s="11">
        <v>11768.726822557001</v>
      </c>
      <c r="F660" s="11">
        <v>12745.11092546243</v>
      </c>
      <c r="G660" s="11">
        <v>40479.308838128003</v>
      </c>
      <c r="H660" s="12">
        <v>3.3104363281288407E-2</v>
      </c>
      <c r="I660" s="13">
        <v>1135</v>
      </c>
      <c r="J660" s="13">
        <v>864374</v>
      </c>
      <c r="K660" s="12"/>
      <c r="L660" s="14">
        <v>138.97800000000001</v>
      </c>
      <c r="M660" s="15">
        <v>80979935895</v>
      </c>
      <c r="N660" s="16">
        <f t="shared" si="170"/>
        <v>106548.51064625871</v>
      </c>
      <c r="O660" s="17">
        <f t="shared" si="171"/>
        <v>171541.65723240611</v>
      </c>
      <c r="P660" s="18">
        <f t="shared" si="172"/>
        <v>23840516.438845336</v>
      </c>
      <c r="Q660" s="19">
        <f t="shared" si="173"/>
        <v>6.8605649568912741E-2</v>
      </c>
      <c r="R660" s="20">
        <f t="shared" si="174"/>
        <v>3.3104363281288407E-2</v>
      </c>
      <c r="S660" s="20" t="str">
        <f t="shared" si="175"/>
        <v/>
      </c>
      <c r="T660" s="20" t="str">
        <f t="shared" si="176"/>
        <v/>
      </c>
      <c r="U660" s="20" t="str">
        <f t="shared" si="177"/>
        <v/>
      </c>
      <c r="V660" s="21" t="str">
        <f t="shared" si="178"/>
        <v/>
      </c>
      <c r="W660" s="21">
        <f t="shared" si="179"/>
        <v>582681689.87177825</v>
      </c>
      <c r="X660" s="19" t="str">
        <f t="shared" si="180"/>
        <v/>
      </c>
      <c r="Y660" s="17" t="str">
        <f t="shared" si="181"/>
        <v/>
      </c>
      <c r="Z660" s="17" t="str">
        <f t="shared" si="182"/>
        <v/>
      </c>
      <c r="AA660" s="20">
        <f t="shared" si="183"/>
        <v>3.3910106937053833E-2</v>
      </c>
      <c r="AB660" s="17" t="str">
        <f t="shared" si="184"/>
        <v/>
      </c>
      <c r="AC660" s="18" t="str">
        <f t="shared" si="185"/>
        <v/>
      </c>
      <c r="AD660" s="19" t="str">
        <f t="shared" si="186"/>
        <v/>
      </c>
    </row>
    <row r="661" spans="1:30" x14ac:dyDescent="0.25">
      <c r="A661" s="8">
        <v>810</v>
      </c>
      <c r="B661" s="9">
        <v>45837</v>
      </c>
      <c r="C661" s="10">
        <v>1.958333333333333</v>
      </c>
      <c r="D661" s="11">
        <v>146932.38973737811</v>
      </c>
      <c r="E661" s="11">
        <v>12223.169651852</v>
      </c>
      <c r="F661" s="11">
        <v>14927.210757489849</v>
      </c>
      <c r="G661" s="11">
        <v>40185.088545462997</v>
      </c>
      <c r="H661" s="12">
        <v>3.3466955195642793E-2</v>
      </c>
      <c r="I661" s="13">
        <v>1096</v>
      </c>
      <c r="J661" s="13">
        <v>1016367</v>
      </c>
      <c r="K661" s="12"/>
      <c r="L661" s="14">
        <v>150.78120000000001</v>
      </c>
      <c r="M661" s="15">
        <v>87823715883</v>
      </c>
      <c r="N661" s="16">
        <f t="shared" si="170"/>
        <v>106747.30119191512</v>
      </c>
      <c r="O661" s="17">
        <f t="shared" si="171"/>
        <v>174082.77014671994</v>
      </c>
      <c r="P661" s="18">
        <f t="shared" si="172"/>
        <v>26248408.982046612</v>
      </c>
      <c r="Q661" s="19">
        <f t="shared" si="173"/>
        <v>7.0214700981321154E-2</v>
      </c>
      <c r="R661" s="20">
        <f t="shared" si="174"/>
        <v>3.3466955195642793E-2</v>
      </c>
      <c r="S661" s="20" t="str">
        <f t="shared" si="175"/>
        <v/>
      </c>
      <c r="T661" s="20" t="str">
        <f t="shared" si="176"/>
        <v/>
      </c>
      <c r="U661" s="20" t="str">
        <f t="shared" si="177"/>
        <v/>
      </c>
      <c r="V661" s="21" t="str">
        <f t="shared" si="178"/>
        <v/>
      </c>
      <c r="W661" s="21">
        <f t="shared" si="179"/>
        <v>582457997.96658993</v>
      </c>
      <c r="X661" s="19" t="str">
        <f t="shared" si="180"/>
        <v/>
      </c>
      <c r="Y661" s="17" t="str">
        <f t="shared" si="181"/>
        <v/>
      </c>
      <c r="Z661" s="17" t="str">
        <f t="shared" si="182"/>
        <v/>
      </c>
      <c r="AA661" s="20">
        <f t="shared" si="183"/>
        <v>3.387994358123244E-2</v>
      </c>
      <c r="AB661" s="17" t="str">
        <f t="shared" si="184"/>
        <v/>
      </c>
      <c r="AC661" s="18" t="str">
        <f t="shared" si="185"/>
        <v/>
      </c>
      <c r="AD661" s="19" t="str">
        <f t="shared" si="186"/>
        <v/>
      </c>
    </row>
    <row r="662" spans="1:30" x14ac:dyDescent="0.25">
      <c r="A662" s="8">
        <v>811</v>
      </c>
      <c r="B662" s="9">
        <v>45839</v>
      </c>
      <c r="C662" s="10">
        <v>1.958333333333333</v>
      </c>
      <c r="D662" s="11">
        <v>146836.98914884601</v>
      </c>
      <c r="E662" s="11">
        <v>14270.94598031701</v>
      </c>
      <c r="F662" s="11">
        <v>17329.113001313999</v>
      </c>
      <c r="G662" s="11">
        <v>40174.041221642001</v>
      </c>
      <c r="H662" s="12">
        <v>3.34851812932737E-2</v>
      </c>
      <c r="I662" s="13">
        <v>1094</v>
      </c>
      <c r="J662" s="13">
        <v>1046818</v>
      </c>
      <c r="K662" s="12"/>
      <c r="L662" s="14">
        <v>154.9375</v>
      </c>
      <c r="M662" s="15">
        <v>90314144633</v>
      </c>
      <c r="N662" s="16">
        <f t="shared" si="170"/>
        <v>106662.94792720402</v>
      </c>
      <c r="O662" s="17">
        <f t="shared" si="171"/>
        <v>178437.04813047702</v>
      </c>
      <c r="P662" s="18">
        <f t="shared" si="172"/>
        <v>27646590.144715782</v>
      </c>
      <c r="Q662" s="19">
        <f t="shared" si="173"/>
        <v>7.9977482982579867E-2</v>
      </c>
      <c r="R662" s="20">
        <f t="shared" si="174"/>
        <v>3.34851812932737E-2</v>
      </c>
      <c r="S662" s="20" t="str">
        <f t="shared" si="175"/>
        <v/>
      </c>
      <c r="T662" s="20" t="str">
        <f t="shared" si="176"/>
        <v/>
      </c>
      <c r="U662" s="20" t="str">
        <f t="shared" si="177"/>
        <v/>
      </c>
      <c r="V662" s="21" t="str">
        <f t="shared" si="178"/>
        <v/>
      </c>
      <c r="W662" s="21">
        <f t="shared" si="179"/>
        <v>582906943.98063731</v>
      </c>
      <c r="X662" s="19" t="str">
        <f t="shared" si="180"/>
        <v/>
      </c>
      <c r="Y662" s="17" t="str">
        <f t="shared" si="181"/>
        <v/>
      </c>
      <c r="Z662" s="17" t="str">
        <f t="shared" si="182"/>
        <v/>
      </c>
      <c r="AA662" s="20">
        <f t="shared" si="183"/>
        <v>3.3849807055996876E-2</v>
      </c>
      <c r="AB662" s="17" t="str">
        <f t="shared" si="184"/>
        <v/>
      </c>
      <c r="AC662" s="18" t="str">
        <f t="shared" si="185"/>
        <v/>
      </c>
      <c r="AD662" s="19" t="str">
        <f t="shared" si="186"/>
        <v/>
      </c>
    </row>
    <row r="663" spans="1:30" x14ac:dyDescent="0.25">
      <c r="A663" s="8">
        <v>812</v>
      </c>
      <c r="B663" s="9">
        <v>45841</v>
      </c>
      <c r="C663" s="10">
        <v>1.958333333333333</v>
      </c>
      <c r="D663" s="11">
        <v>146741.60833516909</v>
      </c>
      <c r="E663" s="11">
        <v>12203.004078431</v>
      </c>
      <c r="F663" s="11">
        <v>14494.759931885739</v>
      </c>
      <c r="G663" s="11">
        <v>39443.781837146998</v>
      </c>
      <c r="H663" s="12">
        <v>3.3021655119734393E-2</v>
      </c>
      <c r="I663" s="13">
        <v>1069</v>
      </c>
      <c r="J663" s="13">
        <v>1018216</v>
      </c>
      <c r="K663" s="12"/>
      <c r="L663" s="14">
        <v>152.16800000000001</v>
      </c>
      <c r="M663" s="15">
        <v>88719936846</v>
      </c>
      <c r="N663" s="16">
        <f t="shared" si="170"/>
        <v>107297.8264980221</v>
      </c>
      <c r="O663" s="17">
        <f t="shared" si="171"/>
        <v>173439.37234548584</v>
      </c>
      <c r="P663" s="18">
        <f t="shared" si="172"/>
        <v>26391922.411067892</v>
      </c>
      <c r="Q663" s="19">
        <f t="shared" si="173"/>
        <v>7.0358903594986463E-2</v>
      </c>
      <c r="R663" s="20">
        <f t="shared" si="174"/>
        <v>3.3021655119734393E-2</v>
      </c>
      <c r="S663" s="20" t="str">
        <f t="shared" si="175"/>
        <v/>
      </c>
      <c r="T663" s="20" t="str">
        <f t="shared" si="176"/>
        <v/>
      </c>
      <c r="U663" s="20" t="str">
        <f t="shared" si="177"/>
        <v/>
      </c>
      <c r="V663" s="21" t="str">
        <f t="shared" si="178"/>
        <v/>
      </c>
      <c r="W663" s="21">
        <f t="shared" si="179"/>
        <v>583039383.0897429</v>
      </c>
      <c r="X663" s="19" t="str">
        <f t="shared" si="180"/>
        <v/>
      </c>
      <c r="Y663" s="17" t="str">
        <f t="shared" si="181"/>
        <v/>
      </c>
      <c r="Z663" s="17" t="str">
        <f t="shared" si="182"/>
        <v/>
      </c>
      <c r="AA663" s="20">
        <f t="shared" si="183"/>
        <v>3.3819697337481074E-2</v>
      </c>
      <c r="AB663" s="17" t="str">
        <f t="shared" si="184"/>
        <v/>
      </c>
      <c r="AC663" s="18" t="str">
        <f t="shared" si="185"/>
        <v/>
      </c>
      <c r="AD663" s="19" t="str">
        <f t="shared" si="186"/>
        <v/>
      </c>
    </row>
    <row r="664" spans="1:30" x14ac:dyDescent="0.25">
      <c r="A664" s="8">
        <v>813</v>
      </c>
      <c r="B664" s="9">
        <v>45843</v>
      </c>
      <c r="C664" s="10">
        <v>1.958333333333333</v>
      </c>
      <c r="D664" s="11">
        <v>146646.268125245</v>
      </c>
      <c r="E664" s="11">
        <v>14503.143850193999</v>
      </c>
      <c r="F664" s="11">
        <v>17531.180379660898</v>
      </c>
      <c r="G664" s="11">
        <v>39075.396148093001</v>
      </c>
      <c r="H664" s="12">
        <v>3.300725323525789E-2</v>
      </c>
      <c r="I664" s="13">
        <v>1052</v>
      </c>
      <c r="J664" s="13">
        <v>1033318</v>
      </c>
      <c r="K664" s="12"/>
      <c r="L664" s="14">
        <v>147.76300000000001</v>
      </c>
      <c r="M664" s="15">
        <v>86153411727</v>
      </c>
      <c r="N664" s="16">
        <f t="shared" si="170"/>
        <v>107570.871977152</v>
      </c>
      <c r="O664" s="17">
        <f t="shared" si="171"/>
        <v>178680.59235509989</v>
      </c>
      <c r="P664" s="18">
        <f t="shared" si="172"/>
        <v>26402380.368166625</v>
      </c>
      <c r="Q664" s="19">
        <f t="shared" si="173"/>
        <v>8.1167986175976273E-2</v>
      </c>
      <c r="R664" s="20">
        <f t="shared" si="174"/>
        <v>3.300725323525789E-2</v>
      </c>
      <c r="S664" s="20" t="str">
        <f t="shared" si="175"/>
        <v/>
      </c>
      <c r="T664" s="20" t="str">
        <f t="shared" si="176"/>
        <v/>
      </c>
      <c r="U664" s="20" t="str">
        <f t="shared" si="177"/>
        <v/>
      </c>
      <c r="V664" s="21" t="str">
        <f t="shared" si="178"/>
        <v/>
      </c>
      <c r="W664" s="21">
        <f t="shared" si="179"/>
        <v>583051316.81814802</v>
      </c>
      <c r="X664" s="19" t="str">
        <f t="shared" si="180"/>
        <v/>
      </c>
      <c r="Y664" s="17" t="str">
        <f t="shared" si="181"/>
        <v/>
      </c>
      <c r="Z664" s="17" t="str">
        <f t="shared" si="182"/>
        <v/>
      </c>
      <c r="AA664" s="20">
        <f t="shared" si="183"/>
        <v>3.3789614401840209E-2</v>
      </c>
      <c r="AB664" s="17" t="str">
        <f t="shared" si="184"/>
        <v/>
      </c>
      <c r="AC664" s="18" t="str">
        <f t="shared" si="185"/>
        <v/>
      </c>
      <c r="AD664" s="19" t="str">
        <f t="shared" si="186"/>
        <v/>
      </c>
    </row>
    <row r="665" spans="1:30" x14ac:dyDescent="0.25">
      <c r="A665" s="8">
        <v>814</v>
      </c>
      <c r="B665" s="9">
        <v>45845</v>
      </c>
      <c r="C665" s="10">
        <v>1.958333333333333</v>
      </c>
      <c r="D665" s="11">
        <v>146550.94437489551</v>
      </c>
      <c r="E665" s="11">
        <v>15873.56501788899</v>
      </c>
      <c r="F665" s="11">
        <v>18204.781879849001</v>
      </c>
      <c r="G665" s="11">
        <v>38977.351107194998</v>
      </c>
      <c r="H665" s="12">
        <v>3.3060670163494843E-2</v>
      </c>
      <c r="I665" s="13">
        <v>1042</v>
      </c>
      <c r="J665" s="13">
        <v>1021331</v>
      </c>
      <c r="K665" s="12"/>
      <c r="L665" s="14">
        <v>151.92099999999999</v>
      </c>
      <c r="M665" s="15">
        <v>88560051474</v>
      </c>
      <c r="N665" s="16">
        <f t="shared" si="170"/>
        <v>107573.59326770052</v>
      </c>
      <c r="O665" s="17">
        <f t="shared" si="171"/>
        <v>180629.29127263351</v>
      </c>
      <c r="P665" s="18">
        <f t="shared" si="172"/>
        <v>27441382.559429754</v>
      </c>
      <c r="Q665" s="19">
        <f t="shared" si="173"/>
        <v>8.7879240991596233E-2</v>
      </c>
      <c r="R665" s="20">
        <f t="shared" si="174"/>
        <v>3.3060670163494843E-2</v>
      </c>
      <c r="S665" s="20" t="str">
        <f t="shared" si="175"/>
        <v/>
      </c>
      <c r="T665" s="20" t="str">
        <f t="shared" si="176"/>
        <v/>
      </c>
      <c r="U665" s="20" t="str">
        <f t="shared" si="177"/>
        <v/>
      </c>
      <c r="V665" s="21" t="str">
        <f t="shared" si="178"/>
        <v/>
      </c>
      <c r="W665" s="21">
        <f t="shared" si="179"/>
        <v>582934890.331159</v>
      </c>
      <c r="X665" s="19" t="str">
        <f t="shared" si="180"/>
        <v/>
      </c>
      <c r="Y665" s="17" t="str">
        <f t="shared" si="181"/>
        <v/>
      </c>
      <c r="Z665" s="17" t="str">
        <f t="shared" si="182"/>
        <v/>
      </c>
      <c r="AA665" s="20">
        <f t="shared" si="183"/>
        <v>3.3759558225250667E-2</v>
      </c>
      <c r="AB665" s="17" t="str">
        <f t="shared" si="184"/>
        <v/>
      </c>
      <c r="AC665" s="18" t="str">
        <f t="shared" si="185"/>
        <v/>
      </c>
      <c r="AD665" s="19" t="str">
        <f t="shared" si="186"/>
        <v/>
      </c>
    </row>
    <row r="666" spans="1:30" x14ac:dyDescent="0.25">
      <c r="A666" s="8">
        <v>815</v>
      </c>
      <c r="B666" s="9">
        <v>45847</v>
      </c>
      <c r="C666" s="10">
        <v>1.958333333333333</v>
      </c>
      <c r="D666" s="11">
        <v>146455.65152616051</v>
      </c>
      <c r="E666" s="11">
        <v>14727.828188243</v>
      </c>
      <c r="F666" s="11">
        <v>17473.316009162641</v>
      </c>
      <c r="G666" s="11">
        <v>38961.761027781999</v>
      </c>
      <c r="H666" s="12">
        <v>3.3003928595804012E-2</v>
      </c>
      <c r="I666" s="13">
        <v>1045</v>
      </c>
      <c r="J666" s="13">
        <v>1026093</v>
      </c>
      <c r="K666" s="12"/>
      <c r="L666" s="14">
        <v>151.83080000000001</v>
      </c>
      <c r="M666" s="15">
        <v>88707208950</v>
      </c>
      <c r="N666" s="16">
        <f t="shared" si="170"/>
        <v>107493.89049837852</v>
      </c>
      <c r="O666" s="17">
        <f t="shared" si="171"/>
        <v>178656.79572356615</v>
      </c>
      <c r="P666" s="18">
        <f t="shared" si="172"/>
        <v>27125604.220145628</v>
      </c>
      <c r="Q666" s="19">
        <f t="shared" si="173"/>
        <v>8.2436428620555918E-2</v>
      </c>
      <c r="R666" s="20">
        <f t="shared" si="174"/>
        <v>3.3003928595804012E-2</v>
      </c>
      <c r="S666" s="20" t="str">
        <f t="shared" si="175"/>
        <v/>
      </c>
      <c r="T666" s="20" t="str">
        <f t="shared" si="176"/>
        <v/>
      </c>
      <c r="U666" s="20" t="str">
        <f t="shared" si="177"/>
        <v/>
      </c>
      <c r="V666" s="21" t="str">
        <f t="shared" si="178"/>
        <v/>
      </c>
      <c r="W666" s="21">
        <f t="shared" si="179"/>
        <v>584250421.85116589</v>
      </c>
      <c r="X666" s="19" t="str">
        <f t="shared" si="180"/>
        <v/>
      </c>
      <c r="Y666" s="17" t="str">
        <f t="shared" si="181"/>
        <v/>
      </c>
      <c r="Z666" s="17" t="str">
        <f t="shared" si="182"/>
        <v/>
      </c>
      <c r="AA666" s="20">
        <f t="shared" si="183"/>
        <v>3.3729528783910036E-2</v>
      </c>
      <c r="AB666" s="17" t="str">
        <f t="shared" si="184"/>
        <v/>
      </c>
      <c r="AC666" s="18" t="str">
        <f t="shared" si="185"/>
        <v/>
      </c>
      <c r="AD666" s="19" t="str">
        <f t="shared" si="186"/>
        <v/>
      </c>
    </row>
    <row r="667" spans="1:30" x14ac:dyDescent="0.25">
      <c r="A667" s="8">
        <v>816</v>
      </c>
      <c r="B667" s="9">
        <v>45849</v>
      </c>
      <c r="C667" s="10">
        <v>1.958333333333333</v>
      </c>
      <c r="D667" s="11">
        <v>146360.38786005281</v>
      </c>
      <c r="E667" s="11">
        <v>11928.97681129099</v>
      </c>
      <c r="F667" s="11">
        <v>13566.85399093958</v>
      </c>
      <c r="G667" s="11">
        <v>39030.688908069002</v>
      </c>
      <c r="H667" s="12">
        <v>3.2914425854453457E-2</v>
      </c>
      <c r="I667" s="13">
        <v>1047</v>
      </c>
      <c r="J667" s="13">
        <v>1025807</v>
      </c>
      <c r="K667" s="12"/>
      <c r="L667" s="14">
        <v>163.85820000000001</v>
      </c>
      <c r="M667" s="15">
        <v>95584617737</v>
      </c>
      <c r="N667" s="16">
        <f t="shared" si="170"/>
        <v>107329.69895198381</v>
      </c>
      <c r="O667" s="17">
        <f t="shared" si="171"/>
        <v>171856.21866228338</v>
      </c>
      <c r="P667" s="18">
        <f t="shared" si="172"/>
        <v>28160050.648808166</v>
      </c>
      <c r="Q667" s="19">
        <f t="shared" si="173"/>
        <v>6.9412540926044458E-2</v>
      </c>
      <c r="R667" s="20">
        <f t="shared" si="174"/>
        <v>3.2914425854453457E-2</v>
      </c>
      <c r="S667" s="20" t="str">
        <f t="shared" si="175"/>
        <v/>
      </c>
      <c r="T667" s="20" t="str">
        <f t="shared" si="176"/>
        <v/>
      </c>
      <c r="U667" s="20" t="str">
        <f t="shared" si="177"/>
        <v/>
      </c>
      <c r="V667" s="21" t="str">
        <f t="shared" si="178"/>
        <v/>
      </c>
      <c r="W667" s="21">
        <f t="shared" si="179"/>
        <v>583337408.42386889</v>
      </c>
      <c r="X667" s="19" t="str">
        <f t="shared" si="180"/>
        <v/>
      </c>
      <c r="Y667" s="17" t="str">
        <f t="shared" si="181"/>
        <v/>
      </c>
      <c r="Z667" s="17" t="str">
        <f t="shared" si="182"/>
        <v/>
      </c>
      <c r="AA667" s="20">
        <f t="shared" si="183"/>
        <v>3.3699526054037039E-2</v>
      </c>
      <c r="AB667" s="17" t="str">
        <f t="shared" si="184"/>
        <v/>
      </c>
      <c r="AC667" s="18" t="str">
        <f t="shared" si="185"/>
        <v/>
      </c>
      <c r="AD667" s="19" t="str">
        <f t="shared" si="186"/>
        <v/>
      </c>
    </row>
    <row r="668" spans="1:30" x14ac:dyDescent="0.25">
      <c r="A668" s="8">
        <v>817</v>
      </c>
      <c r="B668" s="9">
        <v>45851</v>
      </c>
      <c r="C668" s="10">
        <v>1.958333333333333</v>
      </c>
      <c r="D668" s="11">
        <v>146265.15613137811</v>
      </c>
      <c r="E668" s="11">
        <v>13391.906269874</v>
      </c>
      <c r="F668" s="11">
        <v>16989.481307513321</v>
      </c>
      <c r="G668" s="11">
        <v>38715.641297973001</v>
      </c>
      <c r="H668" s="12">
        <v>3.2535068590770502E-2</v>
      </c>
      <c r="I668" s="13">
        <v>1045</v>
      </c>
      <c r="J668" s="13">
        <v>1032506</v>
      </c>
      <c r="K668" s="12"/>
      <c r="L668" s="14">
        <v>160.4692</v>
      </c>
      <c r="M668" s="15">
        <v>93774179337</v>
      </c>
      <c r="N668" s="16">
        <f t="shared" si="170"/>
        <v>107549.51483340512</v>
      </c>
      <c r="O668" s="17">
        <f t="shared" si="171"/>
        <v>176646.54370876541</v>
      </c>
      <c r="P668" s="18">
        <f t="shared" si="172"/>
        <v>28346329.551710621</v>
      </c>
      <c r="Q668" s="19">
        <f t="shared" si="173"/>
        <v>7.5811878277975489E-2</v>
      </c>
      <c r="R668" s="20">
        <f t="shared" si="174"/>
        <v>3.2535068590770502E-2</v>
      </c>
      <c r="S668" s="20" t="str">
        <f t="shared" si="175"/>
        <v/>
      </c>
      <c r="T668" s="20" t="str">
        <f t="shared" si="176"/>
        <v/>
      </c>
      <c r="U668" s="20" t="str">
        <f t="shared" si="177"/>
        <v/>
      </c>
      <c r="V668" s="21" t="str">
        <f t="shared" si="178"/>
        <v/>
      </c>
      <c r="W668" s="21">
        <f t="shared" si="179"/>
        <v>584374941.34076822</v>
      </c>
      <c r="X668" s="19" t="str">
        <f t="shared" si="180"/>
        <v/>
      </c>
      <c r="Y668" s="17" t="str">
        <f t="shared" si="181"/>
        <v/>
      </c>
      <c r="Z668" s="17" t="str">
        <f t="shared" si="182"/>
        <v/>
      </c>
      <c r="AA668" s="20">
        <f t="shared" si="183"/>
        <v>3.3669550011871587E-2</v>
      </c>
      <c r="AB668" s="17" t="str">
        <f t="shared" si="184"/>
        <v/>
      </c>
      <c r="AC668" s="18" t="str">
        <f t="shared" si="185"/>
        <v/>
      </c>
      <c r="AD668" s="19" t="str">
        <f t="shared" si="186"/>
        <v/>
      </c>
    </row>
    <row r="669" spans="1:30" x14ac:dyDescent="0.25">
      <c r="A669" s="8">
        <v>818</v>
      </c>
      <c r="B669" s="9">
        <v>45853</v>
      </c>
      <c r="C669" s="10">
        <v>1.958333333333333</v>
      </c>
      <c r="D669" s="11">
        <v>146169.9548771182</v>
      </c>
      <c r="E669" s="11">
        <v>18409.268321508</v>
      </c>
      <c r="F669" s="11">
        <v>23184.957905836462</v>
      </c>
      <c r="G669" s="11">
        <v>38846.842170024996</v>
      </c>
      <c r="H669" s="12">
        <v>3.254474830342774E-2</v>
      </c>
      <c r="I669" s="13">
        <v>1070</v>
      </c>
      <c r="J669" s="13">
        <v>1017008</v>
      </c>
      <c r="K669" s="12"/>
      <c r="L669" s="14">
        <v>162.28219999999999</v>
      </c>
      <c r="M669" s="15">
        <v>94888465288</v>
      </c>
      <c r="N669" s="16">
        <f t="shared" si="170"/>
        <v>107323.11270709321</v>
      </c>
      <c r="O669" s="17">
        <f t="shared" si="171"/>
        <v>187764.18110446265</v>
      </c>
      <c r="P669" s="18">
        <f t="shared" si="172"/>
        <v>30470784.390830629</v>
      </c>
      <c r="Q669" s="19">
        <f t="shared" si="173"/>
        <v>9.8044622852033733E-2</v>
      </c>
      <c r="R669" s="20">
        <f t="shared" si="174"/>
        <v>3.254474830342774E-2</v>
      </c>
      <c r="S669" s="20" t="str">
        <f t="shared" si="175"/>
        <v/>
      </c>
      <c r="T669" s="20" t="str">
        <f t="shared" si="176"/>
        <v/>
      </c>
      <c r="U669" s="20" t="str">
        <f t="shared" si="177"/>
        <v/>
      </c>
      <c r="V669" s="21" t="str">
        <f t="shared" si="178"/>
        <v/>
      </c>
      <c r="W669" s="21">
        <f t="shared" si="179"/>
        <v>584712712.10274446</v>
      </c>
      <c r="X669" s="19" t="str">
        <f t="shared" si="180"/>
        <v/>
      </c>
      <c r="Y669" s="17" t="str">
        <f t="shared" si="181"/>
        <v/>
      </c>
      <c r="Z669" s="17" t="str">
        <f t="shared" si="182"/>
        <v/>
      </c>
      <c r="AA669" s="20">
        <f t="shared" si="183"/>
        <v>3.3639600633674716E-2</v>
      </c>
      <c r="AB669" s="17" t="str">
        <f t="shared" si="184"/>
        <v/>
      </c>
      <c r="AC669" s="18" t="str">
        <f t="shared" si="185"/>
        <v/>
      </c>
      <c r="AD669" s="19" t="str">
        <f t="shared" si="186"/>
        <v/>
      </c>
    </row>
    <row r="670" spans="1:30" x14ac:dyDescent="0.25">
      <c r="A670" s="8">
        <v>819</v>
      </c>
      <c r="B670" s="9">
        <v>45855</v>
      </c>
      <c r="C670" s="10">
        <v>1.958333333333333</v>
      </c>
      <c r="D670" s="11">
        <v>146074.78222082969</v>
      </c>
      <c r="E670" s="11">
        <v>19297.196448800001</v>
      </c>
      <c r="F670" s="11">
        <v>24409.531724126398</v>
      </c>
      <c r="G670" s="11">
        <v>38778.852157861002</v>
      </c>
      <c r="H670" s="12">
        <v>3.2476151757384129E-2</v>
      </c>
      <c r="I670" s="13">
        <v>1047</v>
      </c>
      <c r="J670" s="13">
        <v>1023882</v>
      </c>
      <c r="K670" s="12"/>
      <c r="L670" s="14">
        <v>173.82900000000001</v>
      </c>
      <c r="M670" s="15">
        <v>101947039425</v>
      </c>
      <c r="N670" s="16">
        <f t="shared" si="170"/>
        <v>107295.93006296869</v>
      </c>
      <c r="O670" s="17">
        <f t="shared" si="171"/>
        <v>189781.51039375609</v>
      </c>
      <c r="P670" s="18">
        <f t="shared" si="172"/>
        <v>32989530.17023623</v>
      </c>
      <c r="Q670" s="19">
        <f t="shared" si="173"/>
        <v>0.10168111956092267</v>
      </c>
      <c r="R670" s="20">
        <f t="shared" si="174"/>
        <v>3.2476151757384129E-2</v>
      </c>
      <c r="S670" s="20" t="str">
        <f t="shared" si="175"/>
        <v/>
      </c>
      <c r="T670" s="20" t="str">
        <f t="shared" si="176"/>
        <v/>
      </c>
      <c r="U670" s="20" t="str">
        <f t="shared" si="177"/>
        <v/>
      </c>
      <c r="V670" s="21" t="str">
        <f t="shared" si="178"/>
        <v/>
      </c>
      <c r="W670" s="21">
        <f t="shared" si="179"/>
        <v>586478892.61860788</v>
      </c>
      <c r="X670" s="19" t="str">
        <f t="shared" si="180"/>
        <v/>
      </c>
      <c r="Y670" s="17" t="str">
        <f t="shared" si="181"/>
        <v/>
      </c>
      <c r="Z670" s="17" t="str">
        <f t="shared" si="182"/>
        <v/>
      </c>
      <c r="AA670" s="20">
        <f t="shared" si="183"/>
        <v>3.3609677895728579E-2</v>
      </c>
      <c r="AB670" s="17" t="str">
        <f t="shared" si="184"/>
        <v/>
      </c>
      <c r="AC670" s="18" t="str">
        <f t="shared" si="185"/>
        <v/>
      </c>
      <c r="AD670" s="19" t="str">
        <f t="shared" si="186"/>
        <v/>
      </c>
    </row>
    <row r="671" spans="1:30" x14ac:dyDescent="0.25">
      <c r="A671" s="8">
        <v>820</v>
      </c>
      <c r="B671" s="9">
        <v>45857</v>
      </c>
      <c r="C671" s="10">
        <v>1.958333333333333</v>
      </c>
      <c r="D671" s="11">
        <v>145979.6162339196</v>
      </c>
      <c r="E671" s="11">
        <v>11571.31483290599</v>
      </c>
      <c r="F671" s="11">
        <v>13525.87649490538</v>
      </c>
      <c r="G671" s="11">
        <v>38894.561135827003</v>
      </c>
      <c r="H671" s="12">
        <v>3.2360492942014138E-2</v>
      </c>
      <c r="I671" s="13">
        <v>1052</v>
      </c>
      <c r="J671" s="13">
        <v>1010522</v>
      </c>
      <c r="K671" s="12"/>
      <c r="L671" s="14">
        <v>177.3698</v>
      </c>
      <c r="M671" s="15">
        <v>104022959539</v>
      </c>
      <c r="N671" s="16">
        <f t="shared" si="170"/>
        <v>107085.05509809259</v>
      </c>
      <c r="O671" s="17">
        <f t="shared" si="171"/>
        <v>171076.80756173097</v>
      </c>
      <c r="P671" s="18">
        <f t="shared" si="172"/>
        <v>30343859.141862709</v>
      </c>
      <c r="Q671" s="19">
        <f t="shared" si="173"/>
        <v>6.7638126978320084E-2</v>
      </c>
      <c r="R671" s="20">
        <f t="shared" si="174"/>
        <v>3.2360492942014138E-2</v>
      </c>
      <c r="S671" s="20" t="str">
        <f t="shared" si="175"/>
        <v/>
      </c>
      <c r="T671" s="20" t="str">
        <f t="shared" si="176"/>
        <v/>
      </c>
      <c r="U671" s="20" t="str">
        <f t="shared" si="177"/>
        <v/>
      </c>
      <c r="V671" s="21" t="str">
        <f t="shared" si="178"/>
        <v/>
      </c>
      <c r="W671" s="21">
        <f t="shared" si="179"/>
        <v>586475034.30121696</v>
      </c>
      <c r="X671" s="19" t="str">
        <f t="shared" si="180"/>
        <v/>
      </c>
      <c r="Y671" s="17" t="str">
        <f t="shared" si="181"/>
        <v/>
      </c>
      <c r="Z671" s="17" t="str">
        <f t="shared" si="182"/>
        <v/>
      </c>
      <c r="AA671" s="20">
        <f t="shared" si="183"/>
        <v>3.3579781774336424E-2</v>
      </c>
      <c r="AB671" s="17" t="str">
        <f t="shared" si="184"/>
        <v/>
      </c>
      <c r="AC671" s="18" t="str">
        <f t="shared" si="185"/>
        <v/>
      </c>
      <c r="AD671" s="19" t="str">
        <f t="shared" si="186"/>
        <v/>
      </c>
    </row>
    <row r="672" spans="1:30" x14ac:dyDescent="0.25">
      <c r="A672" s="8">
        <v>821</v>
      </c>
      <c r="B672" s="9">
        <v>45859</v>
      </c>
      <c r="C672" s="10">
        <v>1.958333333333333</v>
      </c>
      <c r="D672" s="11">
        <v>145884.5147281152</v>
      </c>
      <c r="E672" s="11">
        <v>15763.112031453</v>
      </c>
      <c r="F672" s="11">
        <v>19033.211881143288</v>
      </c>
      <c r="G672" s="11">
        <v>38998.307384940003</v>
      </c>
      <c r="H672" s="12">
        <v>3.2685967713451843E-2</v>
      </c>
      <c r="I672" s="13">
        <v>1039</v>
      </c>
      <c r="J672" s="13">
        <v>968884</v>
      </c>
      <c r="K672" s="12"/>
      <c r="L672" s="14">
        <v>180.9922</v>
      </c>
      <c r="M672" s="15">
        <v>106182960530</v>
      </c>
      <c r="N672" s="16">
        <f t="shared" si="170"/>
        <v>106886.20734317519</v>
      </c>
      <c r="O672" s="17">
        <f t="shared" si="171"/>
        <v>180680.8386407115</v>
      </c>
      <c r="P672" s="18">
        <f t="shared" si="172"/>
        <v>32701822.483427383</v>
      </c>
      <c r="Q672" s="19">
        <f t="shared" si="173"/>
        <v>8.724285402946548E-2</v>
      </c>
      <c r="R672" s="20">
        <f t="shared" si="174"/>
        <v>3.2685967713451843E-2</v>
      </c>
      <c r="S672" s="20" t="str">
        <f t="shared" si="175"/>
        <v/>
      </c>
      <c r="T672" s="20" t="str">
        <f t="shared" si="176"/>
        <v/>
      </c>
      <c r="U672" s="20" t="str">
        <f t="shared" si="177"/>
        <v/>
      </c>
      <c r="V672" s="21" t="str">
        <f t="shared" si="178"/>
        <v/>
      </c>
      <c r="W672" s="21">
        <f t="shared" si="179"/>
        <v>586671472.74854934</v>
      </c>
      <c r="X672" s="19" t="str">
        <f t="shared" si="180"/>
        <v/>
      </c>
      <c r="Y672" s="17" t="str">
        <f t="shared" si="181"/>
        <v/>
      </c>
      <c r="Z672" s="17" t="str">
        <f t="shared" si="182"/>
        <v/>
      </c>
      <c r="AA672" s="20">
        <f t="shared" si="183"/>
        <v>3.3549912245822572E-2</v>
      </c>
      <c r="AB672" s="17" t="str">
        <f t="shared" si="184"/>
        <v/>
      </c>
      <c r="AC672" s="18" t="str">
        <f t="shared" si="185"/>
        <v/>
      </c>
      <c r="AD672" s="19" t="str">
        <f t="shared" si="186"/>
        <v/>
      </c>
    </row>
    <row r="673" spans="1:30" x14ac:dyDescent="0.25">
      <c r="A673" s="8">
        <v>822</v>
      </c>
      <c r="B673" s="9">
        <v>45861</v>
      </c>
      <c r="C673" s="10">
        <v>1.958333333333333</v>
      </c>
      <c r="D673" s="11">
        <v>145789.426341471</v>
      </c>
      <c r="E673" s="11">
        <v>14861.659220129</v>
      </c>
      <c r="F673" s="11">
        <v>17494.57776078938</v>
      </c>
      <c r="G673" s="11">
        <v>39216.504074301003</v>
      </c>
      <c r="H673" s="12">
        <v>3.4991651681422938E-2</v>
      </c>
      <c r="I673" s="13">
        <v>1044</v>
      </c>
      <c r="J673" s="13">
        <v>976471</v>
      </c>
      <c r="K673" s="12"/>
      <c r="L673" s="14">
        <v>205.29089999999999</v>
      </c>
      <c r="M673" s="15">
        <v>120380395837</v>
      </c>
      <c r="N673" s="16">
        <f t="shared" si="170"/>
        <v>106572.92226717</v>
      </c>
      <c r="O673" s="17">
        <f t="shared" si="171"/>
        <v>178145.66332238936</v>
      </c>
      <c r="P673" s="18">
        <f t="shared" si="172"/>
        <v>36571683.554550298</v>
      </c>
      <c r="Q673" s="19">
        <f t="shared" si="173"/>
        <v>8.3424198731315319E-2</v>
      </c>
      <c r="R673" s="20">
        <f t="shared" si="174"/>
        <v>3.4991651681422938E-2</v>
      </c>
      <c r="S673" s="20" t="str">
        <f t="shared" si="175"/>
        <v/>
      </c>
      <c r="T673" s="20" t="str">
        <f t="shared" si="176"/>
        <v/>
      </c>
      <c r="U673" s="20" t="str">
        <f t="shared" si="177"/>
        <v/>
      </c>
      <c r="V673" s="21" t="str">
        <f t="shared" si="178"/>
        <v/>
      </c>
      <c r="W673" s="21">
        <f t="shared" si="179"/>
        <v>586389342.32837403</v>
      </c>
      <c r="X673" s="19" t="str">
        <f t="shared" si="180"/>
        <v/>
      </c>
      <c r="Y673" s="17" t="str">
        <f t="shared" si="181"/>
        <v/>
      </c>
      <c r="Z673" s="17" t="str">
        <f t="shared" si="182"/>
        <v/>
      </c>
      <c r="AA673" s="20">
        <f t="shared" si="183"/>
        <v>3.3520069286532429E-2</v>
      </c>
      <c r="AB673" s="17" t="str">
        <f t="shared" si="184"/>
        <v/>
      </c>
      <c r="AC673" s="18" t="str">
        <f t="shared" si="185"/>
        <v/>
      </c>
      <c r="AD673" s="19" t="str">
        <f t="shared" si="186"/>
        <v/>
      </c>
    </row>
    <row r="674" spans="1:30" x14ac:dyDescent="0.25">
      <c r="A674" s="8">
        <v>823</v>
      </c>
      <c r="B674" s="9">
        <v>45863</v>
      </c>
      <c r="C674" s="10">
        <v>1.958333333333333</v>
      </c>
      <c r="D674" s="11">
        <v>145694.36928070881</v>
      </c>
      <c r="E674" s="11">
        <v>11524.744213436001</v>
      </c>
      <c r="F674" s="11">
        <v>12995.013720355329</v>
      </c>
      <c r="G674" s="11">
        <v>40140.238606403</v>
      </c>
      <c r="H674" s="12">
        <v>3.264902369022888E-2</v>
      </c>
      <c r="I674" s="13">
        <v>1054</v>
      </c>
      <c r="J674" s="13">
        <v>949706</v>
      </c>
      <c r="K674" s="12"/>
      <c r="L674" s="14">
        <v>182.5608</v>
      </c>
      <c r="M674" s="15">
        <v>107185280079</v>
      </c>
      <c r="N674" s="16">
        <f t="shared" si="170"/>
        <v>105554.13067430581</v>
      </c>
      <c r="O674" s="17">
        <f t="shared" si="171"/>
        <v>170214.12721450013</v>
      </c>
      <c r="P674" s="18">
        <f t="shared" si="172"/>
        <v>31074427.235580914</v>
      </c>
      <c r="Q674" s="19">
        <f t="shared" si="173"/>
        <v>6.770733077233225E-2</v>
      </c>
      <c r="R674" s="20">
        <f t="shared" si="174"/>
        <v>3.264902369022888E-2</v>
      </c>
      <c r="S674" s="20" t="str">
        <f t="shared" si="175"/>
        <v/>
      </c>
      <c r="T674" s="20" t="str">
        <f t="shared" si="176"/>
        <v/>
      </c>
      <c r="U674" s="20" t="str">
        <f t="shared" si="177"/>
        <v/>
      </c>
      <c r="V674" s="21" t="str">
        <f t="shared" si="178"/>
        <v/>
      </c>
      <c r="W674" s="21">
        <f t="shared" si="179"/>
        <v>587121003.40817964</v>
      </c>
      <c r="X674" s="19" t="str">
        <f t="shared" si="180"/>
        <v/>
      </c>
      <c r="Y674" s="17" t="str">
        <f t="shared" si="181"/>
        <v/>
      </c>
      <c r="Z674" s="17" t="str">
        <f t="shared" si="182"/>
        <v/>
      </c>
      <c r="AA674" s="20">
        <f t="shared" si="183"/>
        <v>3.3490252872832402E-2</v>
      </c>
      <c r="AB674" s="17" t="str">
        <f t="shared" si="184"/>
        <v/>
      </c>
      <c r="AC674" s="18" t="str">
        <f t="shared" si="185"/>
        <v/>
      </c>
      <c r="AD674" s="19" t="str">
        <f t="shared" si="186"/>
        <v/>
      </c>
    </row>
    <row r="675" spans="1:30" x14ac:dyDescent="0.25">
      <c r="A675" s="8">
        <v>824</v>
      </c>
      <c r="B675" s="9">
        <v>45865</v>
      </c>
      <c r="C675" s="10">
        <v>1.958333333333333</v>
      </c>
      <c r="D675" s="11">
        <v>145599.35380257401</v>
      </c>
      <c r="E675" s="11">
        <v>11750.396090081</v>
      </c>
      <c r="F675" s="11">
        <v>13406.303026068381</v>
      </c>
      <c r="G675" s="11">
        <v>40144.776320675999</v>
      </c>
      <c r="H675" s="12">
        <v>3.2768986869586778E-2</v>
      </c>
      <c r="I675" s="13">
        <v>1068</v>
      </c>
      <c r="J675" s="13">
        <v>947602</v>
      </c>
      <c r="K675" s="12"/>
      <c r="L675" s="14">
        <v>184.93960000000001</v>
      </c>
      <c r="M675" s="15">
        <v>108546630688</v>
      </c>
      <c r="N675" s="16">
        <f t="shared" si="170"/>
        <v>105454.57748189801</v>
      </c>
      <c r="O675" s="17">
        <f t="shared" si="171"/>
        <v>170756.05291872338</v>
      </c>
      <c r="P675" s="18">
        <f t="shared" si="172"/>
        <v>31579556.124367535</v>
      </c>
      <c r="Q675" s="19">
        <f t="shared" si="173"/>
        <v>6.8813935958533565E-2</v>
      </c>
      <c r="R675" s="20">
        <f t="shared" si="174"/>
        <v>3.2768986869586778E-2</v>
      </c>
      <c r="S675" s="20" t="str">
        <f t="shared" si="175"/>
        <v/>
      </c>
      <c r="T675" s="20" t="str">
        <f t="shared" si="176"/>
        <v/>
      </c>
      <c r="U675" s="20" t="str">
        <f t="shared" si="177"/>
        <v/>
      </c>
      <c r="V675" s="21" t="str">
        <f t="shared" si="178"/>
        <v/>
      </c>
      <c r="W675" s="21">
        <f t="shared" si="179"/>
        <v>586930169.02815831</v>
      </c>
      <c r="X675" s="19" t="str">
        <f t="shared" si="180"/>
        <v/>
      </c>
      <c r="Y675" s="17" t="str">
        <f t="shared" si="181"/>
        <v/>
      </c>
      <c r="Z675" s="17" t="str">
        <f t="shared" si="182"/>
        <v/>
      </c>
      <c r="AA675" s="20">
        <f t="shared" si="183"/>
        <v>3.3460462981109947E-2</v>
      </c>
      <c r="AB675" s="17" t="str">
        <f t="shared" si="184"/>
        <v/>
      </c>
      <c r="AC675" s="18" t="str">
        <f t="shared" si="185"/>
        <v/>
      </c>
      <c r="AD675" s="19" t="str">
        <f t="shared" si="186"/>
        <v/>
      </c>
    </row>
    <row r="676" spans="1:30" x14ac:dyDescent="0.25">
      <c r="A676" s="8">
        <v>825</v>
      </c>
      <c r="B676" s="9">
        <v>45867</v>
      </c>
      <c r="C676" s="10">
        <v>1.958333333333333</v>
      </c>
      <c r="D676" s="11">
        <v>145504.36291704641</v>
      </c>
      <c r="E676" s="11">
        <v>13325.759034878</v>
      </c>
      <c r="F676" s="11">
        <v>15188.994618856899</v>
      </c>
      <c r="G676" s="11">
        <v>40348.594013337002</v>
      </c>
      <c r="H676" s="12">
        <v>3.3035760118107022E-2</v>
      </c>
      <c r="I676" s="13">
        <v>1063</v>
      </c>
      <c r="J676" s="13">
        <v>957327</v>
      </c>
      <c r="K676" s="12"/>
      <c r="L676" s="14">
        <v>183.03030000000001</v>
      </c>
      <c r="M676" s="15">
        <v>107451060015</v>
      </c>
      <c r="N676" s="16">
        <f t="shared" si="170"/>
        <v>105155.76890370941</v>
      </c>
      <c r="O676" s="17">
        <f t="shared" si="171"/>
        <v>174019.11657078131</v>
      </c>
      <c r="P676" s="18">
        <f t="shared" si="172"/>
        <v>31850771.111685075</v>
      </c>
      <c r="Q676" s="19">
        <f t="shared" si="173"/>
        <v>7.6576408945610422E-2</v>
      </c>
      <c r="R676" s="20">
        <f t="shared" si="174"/>
        <v>3.3035760118107022E-2</v>
      </c>
      <c r="S676" s="20" t="str">
        <f t="shared" si="175"/>
        <v/>
      </c>
      <c r="T676" s="20" t="str">
        <f t="shared" si="176"/>
        <v/>
      </c>
      <c r="U676" s="20" t="str">
        <f t="shared" si="177"/>
        <v/>
      </c>
      <c r="V676" s="21" t="str">
        <f t="shared" si="178"/>
        <v/>
      </c>
      <c r="W676" s="21">
        <f t="shared" si="179"/>
        <v>587067059.47048104</v>
      </c>
      <c r="X676" s="19" t="str">
        <f t="shared" si="180"/>
        <v/>
      </c>
      <c r="Y676" s="17" t="str">
        <f t="shared" si="181"/>
        <v/>
      </c>
      <c r="Z676" s="17" t="str">
        <f t="shared" si="182"/>
        <v/>
      </c>
      <c r="AA676" s="20">
        <f t="shared" si="183"/>
        <v>3.3430699587773532E-2</v>
      </c>
      <c r="AB676" s="17" t="str">
        <f t="shared" si="184"/>
        <v/>
      </c>
      <c r="AC676" s="18" t="str">
        <f t="shared" si="185"/>
        <v/>
      </c>
      <c r="AD676" s="19" t="str">
        <f t="shared" si="186"/>
        <v/>
      </c>
    </row>
    <row r="677" spans="1:30" x14ac:dyDescent="0.25">
      <c r="A677" s="8">
        <v>826</v>
      </c>
      <c r="B677" s="9">
        <v>45869</v>
      </c>
      <c r="C677" s="10">
        <v>1.958333333333333</v>
      </c>
      <c r="D677" s="11">
        <v>145409.39552701771</v>
      </c>
      <c r="E677" s="11">
        <v>12608.042598316</v>
      </c>
      <c r="F677" s="11">
        <v>13539.293852324219</v>
      </c>
      <c r="G677" s="11">
        <v>39901.157052192997</v>
      </c>
      <c r="H677" s="12">
        <v>3.2763159844094857E-2</v>
      </c>
      <c r="I677" s="13">
        <v>1067</v>
      </c>
      <c r="J677" s="13">
        <v>948089</v>
      </c>
      <c r="K677" s="12"/>
      <c r="L677" s="14">
        <v>177.87809999999999</v>
      </c>
      <c r="M677" s="15">
        <v>104261398582</v>
      </c>
      <c r="N677" s="16">
        <f t="shared" si="170"/>
        <v>105508.23847482471</v>
      </c>
      <c r="O677" s="17">
        <f t="shared" si="171"/>
        <v>171556.73197765794</v>
      </c>
      <c r="P677" s="18">
        <f t="shared" si="172"/>
        <v>30516185.526395034</v>
      </c>
      <c r="Q677" s="19">
        <f t="shared" si="173"/>
        <v>7.349197232293958E-2</v>
      </c>
      <c r="R677" s="20">
        <f t="shared" si="174"/>
        <v>3.2763159844094857E-2</v>
      </c>
      <c r="S677" s="20" t="str">
        <f t="shared" si="175"/>
        <v/>
      </c>
      <c r="T677" s="20" t="str">
        <f t="shared" si="176"/>
        <v/>
      </c>
      <c r="U677" s="20" t="str">
        <f t="shared" si="177"/>
        <v/>
      </c>
      <c r="V677" s="21" t="str">
        <f t="shared" si="178"/>
        <v/>
      </c>
      <c r="W677" s="21">
        <f t="shared" si="179"/>
        <v>586139601.12009299</v>
      </c>
      <c r="X677" s="19" t="str">
        <f t="shared" si="180"/>
        <v/>
      </c>
      <c r="Y677" s="17" t="str">
        <f t="shared" si="181"/>
        <v/>
      </c>
      <c r="Z677" s="17" t="str">
        <f t="shared" si="182"/>
        <v/>
      </c>
      <c r="AA677" s="20">
        <f t="shared" si="183"/>
        <v>3.3400962669252576E-2</v>
      </c>
      <c r="AB677" s="17" t="str">
        <f t="shared" si="184"/>
        <v/>
      </c>
      <c r="AC677" s="18" t="str">
        <f t="shared" si="185"/>
        <v/>
      </c>
      <c r="AD677" s="19" t="str">
        <f t="shared" si="186"/>
        <v/>
      </c>
    </row>
    <row r="678" spans="1:30" x14ac:dyDescent="0.25">
      <c r="A678" s="8">
        <v>827</v>
      </c>
      <c r="B678" s="9">
        <v>45870</v>
      </c>
      <c r="C678" s="10">
        <v>1.958333333333333</v>
      </c>
      <c r="D678" s="11">
        <v>145314.46995569119</v>
      </c>
      <c r="E678" s="11">
        <v>9003.550127216</v>
      </c>
      <c r="F678" s="11">
        <v>9380.677555676386</v>
      </c>
      <c r="G678" s="11">
        <v>39616.251627648002</v>
      </c>
      <c r="H678" s="12">
        <v>3.2877737266253461E-2</v>
      </c>
      <c r="I678" s="13">
        <v>1098</v>
      </c>
      <c r="J678" s="13">
        <v>942514</v>
      </c>
      <c r="K678" s="12"/>
      <c r="L678" s="14">
        <v>172.16300000000001</v>
      </c>
      <c r="M678" s="15">
        <v>101100180196</v>
      </c>
      <c r="N678" s="16">
        <f t="shared" si="170"/>
        <v>105698.21832804319</v>
      </c>
      <c r="O678" s="17">
        <f t="shared" si="171"/>
        <v>163698.69763858357</v>
      </c>
      <c r="P678" s="18">
        <f t="shared" si="172"/>
        <v>28182858.881551467</v>
      </c>
      <c r="Q678" s="19">
        <f t="shared" si="173"/>
        <v>5.500074378779831E-2</v>
      </c>
      <c r="R678" s="20">
        <f t="shared" si="174"/>
        <v>3.2877737266253461E-2</v>
      </c>
      <c r="S678" s="20" t="str">
        <f t="shared" si="175"/>
        <v/>
      </c>
      <c r="T678" s="20" t="str">
        <f t="shared" si="176"/>
        <v/>
      </c>
      <c r="U678" s="20" t="str">
        <f t="shared" si="177"/>
        <v/>
      </c>
      <c r="V678" s="21" t="str">
        <f t="shared" si="178"/>
        <v/>
      </c>
      <c r="W678" s="21">
        <f t="shared" si="179"/>
        <v>587235237.51328683</v>
      </c>
      <c r="X678" s="19" t="str">
        <f t="shared" si="180"/>
        <v/>
      </c>
      <c r="Y678" s="17" t="str">
        <f t="shared" si="181"/>
        <v/>
      </c>
      <c r="Z678" s="17" t="str">
        <f t="shared" si="182"/>
        <v/>
      </c>
      <c r="AA678" s="20">
        <f t="shared" si="183"/>
        <v>3.3386104130687835E-2</v>
      </c>
      <c r="AB678" s="17" t="str">
        <f t="shared" si="184"/>
        <v/>
      </c>
      <c r="AC678" s="18" t="str">
        <f t="shared" si="185"/>
        <v/>
      </c>
      <c r="AD678" s="19" t="str">
        <f t="shared" si="186"/>
        <v/>
      </c>
    </row>
    <row r="679" spans="1:30" x14ac:dyDescent="0.25">
      <c r="A679" s="8">
        <v>828</v>
      </c>
      <c r="B679" s="9">
        <v>45872</v>
      </c>
      <c r="C679" s="10">
        <v>1.958333333333333</v>
      </c>
      <c r="D679" s="11">
        <v>145219.58613384509</v>
      </c>
      <c r="E679" s="11">
        <v>13447.848509661</v>
      </c>
      <c r="F679" s="11">
        <v>16427.939139676801</v>
      </c>
      <c r="G679" s="11">
        <v>39322.009320286001</v>
      </c>
      <c r="H679" s="12">
        <v>3.2918577076111608E-2</v>
      </c>
      <c r="I679" s="13">
        <v>1075</v>
      </c>
      <c r="J679" s="13">
        <v>935507</v>
      </c>
      <c r="K679" s="12"/>
      <c r="L679" s="14">
        <v>158.53129999999999</v>
      </c>
      <c r="M679" s="15">
        <v>93150791103</v>
      </c>
      <c r="N679" s="16">
        <f t="shared" si="170"/>
        <v>105897.57681355909</v>
      </c>
      <c r="O679" s="17">
        <f t="shared" si="171"/>
        <v>175095.37378318291</v>
      </c>
      <c r="P679" s="18">
        <f t="shared" si="172"/>
        <v>27758097.229833901</v>
      </c>
      <c r="Q679" s="19">
        <f t="shared" si="173"/>
        <v>7.680299153027996E-2</v>
      </c>
      <c r="R679" s="20">
        <f t="shared" si="174"/>
        <v>3.2918577076111608E-2</v>
      </c>
      <c r="S679" s="20" t="str">
        <f t="shared" si="175"/>
        <v/>
      </c>
      <c r="T679" s="20" t="str">
        <f t="shared" si="176"/>
        <v/>
      </c>
      <c r="U679" s="20" t="str">
        <f t="shared" si="177"/>
        <v/>
      </c>
      <c r="V679" s="21" t="str">
        <f t="shared" si="178"/>
        <v/>
      </c>
      <c r="W679" s="21">
        <f t="shared" si="179"/>
        <v>587586117.71303213</v>
      </c>
      <c r="X679" s="19" t="str">
        <f t="shared" si="180"/>
        <v/>
      </c>
      <c r="Y679" s="17" t="str">
        <f t="shared" si="181"/>
        <v/>
      </c>
      <c r="Z679" s="17" t="str">
        <f t="shared" si="182"/>
        <v/>
      </c>
      <c r="AA679" s="20">
        <f t="shared" si="183"/>
        <v>3.3356406880241142E-2</v>
      </c>
      <c r="AB679" s="17" t="str">
        <f t="shared" si="184"/>
        <v/>
      </c>
      <c r="AC679" s="18" t="str">
        <f t="shared" si="185"/>
        <v/>
      </c>
      <c r="AD679" s="19" t="str">
        <f t="shared" si="186"/>
        <v/>
      </c>
    </row>
    <row r="680" spans="1:30" x14ac:dyDescent="0.25">
      <c r="A680" s="8">
        <v>829</v>
      </c>
      <c r="B680" s="9">
        <v>45874</v>
      </c>
      <c r="C680" s="10">
        <v>1.958333333333333</v>
      </c>
      <c r="D680" s="11">
        <v>145124.7168220196</v>
      </c>
      <c r="E680" s="11">
        <v>14898.789166604</v>
      </c>
      <c r="F680" s="11">
        <v>18629.319187040379</v>
      </c>
      <c r="G680" s="11">
        <v>39390.584847676</v>
      </c>
      <c r="H680" s="12">
        <v>3.2931471665630908E-2</v>
      </c>
      <c r="I680" s="13">
        <v>1086</v>
      </c>
      <c r="J680" s="13">
        <v>946789</v>
      </c>
      <c r="K680" s="12"/>
      <c r="L680" s="14">
        <v>169.4152</v>
      </c>
      <c r="M680" s="15">
        <v>99440641784</v>
      </c>
      <c r="N680" s="16">
        <f t="shared" si="170"/>
        <v>105734.1319743436</v>
      </c>
      <c r="O680" s="17">
        <f t="shared" si="171"/>
        <v>178652.82517566398</v>
      </c>
      <c r="P680" s="18">
        <f t="shared" si="172"/>
        <v>30266504.107700147</v>
      </c>
      <c r="Q680" s="19">
        <f t="shared" si="173"/>
        <v>8.3395206048124157E-2</v>
      </c>
      <c r="R680" s="20">
        <f t="shared" si="174"/>
        <v>3.2931471665630908E-2</v>
      </c>
      <c r="S680" s="20" t="str">
        <f t="shared" si="175"/>
        <v/>
      </c>
      <c r="T680" s="20" t="str">
        <f t="shared" si="176"/>
        <v/>
      </c>
      <c r="U680" s="20" t="str">
        <f t="shared" si="177"/>
        <v/>
      </c>
      <c r="V680" s="21" t="str">
        <f t="shared" si="178"/>
        <v/>
      </c>
      <c r="W680" s="21">
        <f t="shared" si="179"/>
        <v>586964108.20280588</v>
      </c>
      <c r="X680" s="19" t="str">
        <f t="shared" si="180"/>
        <v/>
      </c>
      <c r="Y680" s="17" t="str">
        <f t="shared" si="181"/>
        <v/>
      </c>
      <c r="Z680" s="17" t="str">
        <f t="shared" si="182"/>
        <v/>
      </c>
      <c r="AA680" s="20">
        <f t="shared" si="183"/>
        <v>3.3326736045775199E-2</v>
      </c>
      <c r="AB680" s="17" t="str">
        <f t="shared" si="184"/>
        <v/>
      </c>
      <c r="AC680" s="18" t="str">
        <f t="shared" si="185"/>
        <v/>
      </c>
      <c r="AD680" s="19" t="str">
        <f t="shared" si="186"/>
        <v/>
      </c>
    </row>
    <row r="681" spans="1:30" x14ac:dyDescent="0.25">
      <c r="A681" s="8">
        <v>830</v>
      </c>
      <c r="B681" s="9">
        <v>45876</v>
      </c>
      <c r="C681" s="10">
        <v>1.958333333333333</v>
      </c>
      <c r="D681" s="11">
        <v>145029.88739084711</v>
      </c>
      <c r="E681" s="11">
        <v>14539.432481579001</v>
      </c>
      <c r="F681" s="11">
        <v>16554.04108217037</v>
      </c>
      <c r="G681" s="11">
        <v>39626.372527134001</v>
      </c>
      <c r="H681" s="12">
        <v>3.2960455183554928E-2</v>
      </c>
      <c r="I681" s="13">
        <v>1091</v>
      </c>
      <c r="J681" s="13">
        <v>938016</v>
      </c>
      <c r="K681" s="12"/>
      <c r="L681" s="14">
        <v>168.17320000000001</v>
      </c>
      <c r="M681" s="15">
        <v>98802944797</v>
      </c>
      <c r="N681" s="16">
        <f t="shared" si="170"/>
        <v>105403.51486371312</v>
      </c>
      <c r="O681" s="17">
        <f t="shared" si="171"/>
        <v>176123.36095459649</v>
      </c>
      <c r="P681" s="18">
        <f t="shared" si="172"/>
        <v>29619229.206489548</v>
      </c>
      <c r="Q681" s="19">
        <f t="shared" si="173"/>
        <v>8.2552549546946116E-2</v>
      </c>
      <c r="R681" s="20">
        <f t="shared" si="174"/>
        <v>3.2960455183554928E-2</v>
      </c>
      <c r="S681" s="20" t="str">
        <f t="shared" si="175"/>
        <v/>
      </c>
      <c r="T681" s="20" t="str">
        <f t="shared" si="176"/>
        <v/>
      </c>
      <c r="U681" s="20" t="str">
        <f t="shared" si="177"/>
        <v/>
      </c>
      <c r="V681" s="21" t="str">
        <f t="shared" si="178"/>
        <v/>
      </c>
      <c r="W681" s="21">
        <f t="shared" si="179"/>
        <v>587507074.83118594</v>
      </c>
      <c r="X681" s="19" t="str">
        <f t="shared" si="180"/>
        <v/>
      </c>
      <c r="Y681" s="17" t="str">
        <f t="shared" si="181"/>
        <v/>
      </c>
      <c r="Z681" s="17" t="str">
        <f t="shared" si="182"/>
        <v/>
      </c>
      <c r="AA681" s="20">
        <f t="shared" si="183"/>
        <v>3.3297091603792753E-2</v>
      </c>
      <c r="AB681" s="17" t="str">
        <f t="shared" si="184"/>
        <v/>
      </c>
      <c r="AC681" s="18" t="str">
        <f t="shared" si="185"/>
        <v/>
      </c>
      <c r="AD681" s="19" t="str">
        <f t="shared" si="186"/>
        <v/>
      </c>
    </row>
    <row r="682" spans="1:30" x14ac:dyDescent="0.25">
      <c r="A682" s="8">
        <v>831</v>
      </c>
      <c r="B682" s="9">
        <v>45878</v>
      </c>
      <c r="C682" s="10">
        <v>1.958333333333333</v>
      </c>
      <c r="D682" s="11">
        <v>144935.08848284851</v>
      </c>
      <c r="E682" s="11">
        <v>14116.068345360991</v>
      </c>
      <c r="F682" s="11">
        <v>14161.746077747001</v>
      </c>
      <c r="G682" s="11">
        <v>40068.774696995999</v>
      </c>
      <c r="H682" s="12">
        <v>3.3669191060564263E-2</v>
      </c>
      <c r="I682" s="13">
        <v>1087</v>
      </c>
      <c r="J682" s="13">
        <v>905643</v>
      </c>
      <c r="K682" s="12"/>
      <c r="L682" s="14">
        <v>176.7954</v>
      </c>
      <c r="M682" s="15">
        <v>103989697283</v>
      </c>
      <c r="N682" s="16">
        <f t="shared" si="170"/>
        <v>104866.31378585252</v>
      </c>
      <c r="O682" s="17">
        <f t="shared" si="171"/>
        <v>173212.90290595649</v>
      </c>
      <c r="P682" s="18">
        <f t="shared" si="172"/>
        <v>30623244.45441974</v>
      </c>
      <c r="Q682" s="19">
        <f t="shared" si="173"/>
        <v>8.1495478157450604E-2</v>
      </c>
      <c r="R682" s="20">
        <f t="shared" si="174"/>
        <v>3.3669191060564263E-2</v>
      </c>
      <c r="S682" s="20" t="str">
        <f t="shared" si="175"/>
        <v/>
      </c>
      <c r="T682" s="20" t="str">
        <f t="shared" si="176"/>
        <v/>
      </c>
      <c r="U682" s="20" t="str">
        <f t="shared" si="177"/>
        <v/>
      </c>
      <c r="V682" s="21" t="str">
        <f t="shared" si="178"/>
        <v/>
      </c>
      <c r="W682" s="21">
        <f t="shared" si="179"/>
        <v>588192324.47789931</v>
      </c>
      <c r="X682" s="19" t="str">
        <f t="shared" si="180"/>
        <v/>
      </c>
      <c r="Y682" s="17" t="str">
        <f t="shared" si="181"/>
        <v/>
      </c>
      <c r="Z682" s="17" t="str">
        <f t="shared" si="182"/>
        <v/>
      </c>
      <c r="AA682" s="20">
        <f t="shared" si="183"/>
        <v>3.326747353081743E-2</v>
      </c>
      <c r="AB682" s="17" t="str">
        <f t="shared" si="184"/>
        <v/>
      </c>
      <c r="AC682" s="18" t="str">
        <f t="shared" si="185"/>
        <v/>
      </c>
      <c r="AD682" s="19" t="str">
        <f t="shared" si="186"/>
        <v/>
      </c>
    </row>
    <row r="683" spans="1:30" x14ac:dyDescent="0.25">
      <c r="A683" s="8">
        <v>832</v>
      </c>
      <c r="B683" s="9">
        <v>45880</v>
      </c>
      <c r="C683" s="10">
        <v>1.916666666666667</v>
      </c>
      <c r="D683" s="11">
        <v>144840.33002155379</v>
      </c>
      <c r="E683" s="11">
        <v>17016.204187733001</v>
      </c>
      <c r="F683" s="11">
        <v>18967.160361904531</v>
      </c>
      <c r="G683" s="11">
        <v>39462.220160293</v>
      </c>
      <c r="H683" s="12">
        <v>3.315213432959372E-2</v>
      </c>
      <c r="I683" s="13">
        <v>1082</v>
      </c>
      <c r="J683" s="13">
        <v>1015233</v>
      </c>
      <c r="K683" s="12"/>
      <c r="L683" s="14">
        <v>182.90899999999999</v>
      </c>
      <c r="M683" s="15">
        <v>107612646750</v>
      </c>
      <c r="N683" s="16">
        <f t="shared" si="170"/>
        <v>105378.10986126079</v>
      </c>
      <c r="O683" s="17">
        <f t="shared" si="171"/>
        <v>180823.69457119133</v>
      </c>
      <c r="P683" s="18">
        <f t="shared" si="172"/>
        <v>33074281.150322035</v>
      </c>
      <c r="Q683" s="19">
        <f t="shared" si="173"/>
        <v>9.4103840915791173E-2</v>
      </c>
      <c r="R683" s="20">
        <f t="shared" si="174"/>
        <v>3.315213432959372E-2</v>
      </c>
      <c r="S683" s="20" t="str">
        <f t="shared" si="175"/>
        <v/>
      </c>
      <c r="T683" s="20" t="str">
        <f t="shared" si="176"/>
        <v/>
      </c>
      <c r="U683" s="20" t="str">
        <f t="shared" si="177"/>
        <v/>
      </c>
      <c r="V683" s="21" t="str">
        <f t="shared" si="178"/>
        <v/>
      </c>
      <c r="W683" s="21">
        <f t="shared" si="179"/>
        <v>588339812.42038393</v>
      </c>
      <c r="X683" s="19" t="str">
        <f t="shared" si="180"/>
        <v/>
      </c>
      <c r="Y683" s="17" t="str">
        <f t="shared" si="181"/>
        <v/>
      </c>
      <c r="Z683" s="17" t="str">
        <f t="shared" si="182"/>
        <v/>
      </c>
      <c r="AA683" s="20">
        <f t="shared" si="183"/>
        <v>3.3237881803393765E-2</v>
      </c>
      <c r="AB683" s="17" t="str">
        <f t="shared" si="184"/>
        <v/>
      </c>
      <c r="AC683" s="18" t="str">
        <f t="shared" si="185"/>
        <v/>
      </c>
      <c r="AD683" s="19" t="str">
        <f t="shared" si="186"/>
        <v/>
      </c>
    </row>
    <row r="684" spans="1:30" x14ac:dyDescent="0.25">
      <c r="A684" s="8">
        <v>833</v>
      </c>
      <c r="B684" s="9">
        <v>45882</v>
      </c>
      <c r="C684" s="10">
        <v>1.958333333333333</v>
      </c>
      <c r="D684" s="11">
        <v>144745.601265823</v>
      </c>
      <c r="E684" s="11">
        <v>16149.649613613001</v>
      </c>
      <c r="F684" s="11">
        <v>15451.60113995682</v>
      </c>
      <c r="G684" s="11">
        <v>39299.58102184</v>
      </c>
      <c r="H684" s="12">
        <v>3.3062902214555712E-2</v>
      </c>
      <c r="I684" s="13">
        <v>1082</v>
      </c>
      <c r="J684" s="13">
        <v>1025332</v>
      </c>
      <c r="K684" s="12"/>
      <c r="L684" s="14">
        <v>192.5941</v>
      </c>
      <c r="M684" s="15">
        <v>113367989699</v>
      </c>
      <c r="N684" s="16">
        <f t="shared" si="170"/>
        <v>105446.020243983</v>
      </c>
      <c r="O684" s="17">
        <f t="shared" si="171"/>
        <v>176346.85201939283</v>
      </c>
      <c r="P684" s="18">
        <f t="shared" si="172"/>
        <v>33963363.252508141</v>
      </c>
      <c r="Q684" s="19">
        <f t="shared" si="173"/>
        <v>9.1578893689789415E-2</v>
      </c>
      <c r="R684" s="20">
        <f t="shared" si="174"/>
        <v>3.3062902214555712E-2</v>
      </c>
      <c r="S684" s="20" t="str">
        <f t="shared" si="175"/>
        <v/>
      </c>
      <c r="T684" s="20" t="str">
        <f t="shared" si="176"/>
        <v/>
      </c>
      <c r="U684" s="20" t="str">
        <f t="shared" si="177"/>
        <v/>
      </c>
      <c r="V684" s="21" t="str">
        <f t="shared" si="178"/>
        <v/>
      </c>
      <c r="W684" s="21">
        <f t="shared" si="179"/>
        <v>588636877.76001441</v>
      </c>
      <c r="X684" s="19" t="str">
        <f t="shared" si="180"/>
        <v/>
      </c>
      <c r="Y684" s="17" t="str">
        <f t="shared" si="181"/>
        <v/>
      </c>
      <c r="Z684" s="17" t="str">
        <f t="shared" si="182"/>
        <v/>
      </c>
      <c r="AA684" s="20">
        <f t="shared" si="183"/>
        <v>3.3208316398087134E-2</v>
      </c>
      <c r="AB684" s="17" t="str">
        <f t="shared" si="184"/>
        <v/>
      </c>
      <c r="AC684" s="18" t="str">
        <f t="shared" si="185"/>
        <v/>
      </c>
      <c r="AD684" s="19" t="str">
        <f t="shared" si="186"/>
        <v/>
      </c>
    </row>
    <row r="685" spans="1:30" x14ac:dyDescent="0.25">
      <c r="A685" s="8">
        <v>834</v>
      </c>
      <c r="B685" s="9">
        <v>45884</v>
      </c>
      <c r="C685" s="10">
        <v>1.958333333333333</v>
      </c>
      <c r="D685" s="11">
        <v>144650.90180482619</v>
      </c>
      <c r="E685" s="11">
        <v>10627.230590257999</v>
      </c>
      <c r="F685" s="11">
        <v>8145.1153342357966</v>
      </c>
      <c r="G685" s="11">
        <v>39701.15516237</v>
      </c>
      <c r="H685" s="12">
        <v>3.3163218507258792E-2</v>
      </c>
      <c r="I685" s="13">
        <v>1076</v>
      </c>
      <c r="J685" s="13">
        <v>1011537</v>
      </c>
      <c r="K685" s="12"/>
      <c r="L685" s="14">
        <v>192.7568</v>
      </c>
      <c r="M685" s="15">
        <v>113507615181</v>
      </c>
      <c r="N685" s="16">
        <f t="shared" si="170"/>
        <v>104949.74664245619</v>
      </c>
      <c r="O685" s="17">
        <f t="shared" si="171"/>
        <v>163423.24772931999</v>
      </c>
      <c r="P685" s="18">
        <f t="shared" si="172"/>
        <v>31500942.277910989</v>
      </c>
      <c r="Q685" s="19">
        <f t="shared" si="173"/>
        <v>6.5028878925843012E-2</v>
      </c>
      <c r="R685" s="20">
        <f t="shared" si="174"/>
        <v>3.3163218507258792E-2</v>
      </c>
      <c r="S685" s="20" t="str">
        <f t="shared" si="175"/>
        <v/>
      </c>
      <c r="T685" s="20" t="str">
        <f t="shared" si="176"/>
        <v/>
      </c>
      <c r="U685" s="20" t="str">
        <f t="shared" si="177"/>
        <v/>
      </c>
      <c r="V685" s="21" t="str">
        <f t="shared" si="178"/>
        <v/>
      </c>
      <c r="W685" s="21">
        <f t="shared" si="179"/>
        <v>588864388.602633</v>
      </c>
      <c r="X685" s="19" t="str">
        <f t="shared" si="180"/>
        <v/>
      </c>
      <c r="Y685" s="17" t="str">
        <f t="shared" si="181"/>
        <v/>
      </c>
      <c r="Z685" s="17" t="str">
        <f t="shared" si="182"/>
        <v/>
      </c>
      <c r="AA685" s="20">
        <f t="shared" si="183"/>
        <v>3.3178777291483781E-2</v>
      </c>
      <c r="AB685" s="17" t="str">
        <f t="shared" si="184"/>
        <v/>
      </c>
      <c r="AC685" s="18" t="str">
        <f t="shared" si="185"/>
        <v/>
      </c>
      <c r="AD685" s="19" t="str">
        <f t="shared" si="186"/>
        <v/>
      </c>
    </row>
    <row r="686" spans="1:30" x14ac:dyDescent="0.25">
      <c r="A686" s="8">
        <v>835</v>
      </c>
      <c r="B686" s="9">
        <v>45886</v>
      </c>
      <c r="C686" s="10">
        <v>1.958333333333333</v>
      </c>
      <c r="D686" s="11">
        <v>144556.25630539871</v>
      </c>
      <c r="E686" s="11">
        <v>12527.269818042991</v>
      </c>
      <c r="F686" s="11">
        <v>9653.9217056821763</v>
      </c>
      <c r="G686" s="11">
        <v>39380.107670472004</v>
      </c>
      <c r="H686" s="12">
        <v>3.3081136659750592E-2</v>
      </c>
      <c r="I686" s="13">
        <v>1060</v>
      </c>
      <c r="J686" s="13">
        <v>1018299</v>
      </c>
      <c r="K686" s="12"/>
      <c r="L686" s="14">
        <v>189.76939999999999</v>
      </c>
      <c r="M686" s="15">
        <v>111604355720</v>
      </c>
      <c r="N686" s="16">
        <f t="shared" si="170"/>
        <v>105176.14863492671</v>
      </c>
      <c r="O686" s="17">
        <f t="shared" si="171"/>
        <v>166737.44782912388</v>
      </c>
      <c r="P686" s="18">
        <f t="shared" si="172"/>
        <v>31641665.432064138</v>
      </c>
      <c r="Q686" s="19">
        <f t="shared" si="173"/>
        <v>7.5131711449015384E-2</v>
      </c>
      <c r="R686" s="20">
        <f t="shared" si="174"/>
        <v>3.3081136659750592E-2</v>
      </c>
      <c r="S686" s="20" t="str">
        <f t="shared" si="175"/>
        <v/>
      </c>
      <c r="T686" s="20" t="str">
        <f t="shared" si="176"/>
        <v/>
      </c>
      <c r="U686" s="20" t="str">
        <f t="shared" si="177"/>
        <v/>
      </c>
      <c r="V686" s="21" t="str">
        <f t="shared" si="178"/>
        <v/>
      </c>
      <c r="W686" s="21">
        <f t="shared" si="179"/>
        <v>588105119.79275906</v>
      </c>
      <c r="X686" s="19" t="str">
        <f t="shared" si="180"/>
        <v/>
      </c>
      <c r="Y686" s="17" t="str">
        <f t="shared" si="181"/>
        <v/>
      </c>
      <c r="Z686" s="17" t="str">
        <f t="shared" si="182"/>
        <v/>
      </c>
      <c r="AA686" s="20">
        <f t="shared" si="183"/>
        <v>3.3149264460190758E-2</v>
      </c>
      <c r="AB686" s="17" t="str">
        <f t="shared" si="184"/>
        <v/>
      </c>
      <c r="AC686" s="18" t="str">
        <f t="shared" si="185"/>
        <v/>
      </c>
      <c r="AD686" s="19" t="str">
        <f t="shared" si="186"/>
        <v/>
      </c>
    </row>
    <row r="687" spans="1:30" x14ac:dyDescent="0.25">
      <c r="A687" s="8">
        <v>836</v>
      </c>
      <c r="B687" s="9">
        <v>45888</v>
      </c>
      <c r="C687" s="10">
        <v>1.958333333333333</v>
      </c>
      <c r="D687" s="11">
        <v>144461.63638872909</v>
      </c>
      <c r="E687" s="11">
        <v>13615.90443269499</v>
      </c>
      <c r="F687" s="11">
        <v>11925.180954411149</v>
      </c>
      <c r="G687" s="11">
        <v>39313.413912548</v>
      </c>
      <c r="H687" s="12">
        <v>3.3127220692595077E-2</v>
      </c>
      <c r="I687" s="13">
        <v>1061</v>
      </c>
      <c r="J687" s="13">
        <v>1010068</v>
      </c>
      <c r="K687" s="12"/>
      <c r="L687" s="14">
        <v>183.01300000000001</v>
      </c>
      <c r="M687" s="15">
        <v>107785796466</v>
      </c>
      <c r="N687" s="16">
        <f t="shared" si="170"/>
        <v>105148.22247618109</v>
      </c>
      <c r="O687" s="17">
        <f t="shared" si="171"/>
        <v>170002.72177583523</v>
      </c>
      <c r="P687" s="18">
        <f t="shared" si="172"/>
        <v>31112708.120360933</v>
      </c>
      <c r="Q687" s="19">
        <f t="shared" si="173"/>
        <v>8.0092273173419284E-2</v>
      </c>
      <c r="R687" s="20">
        <f t="shared" si="174"/>
        <v>3.3127220692595077E-2</v>
      </c>
      <c r="S687" s="20" t="str">
        <f t="shared" si="175"/>
        <v/>
      </c>
      <c r="T687" s="20" t="str">
        <f t="shared" si="176"/>
        <v/>
      </c>
      <c r="U687" s="20" t="str">
        <f t="shared" si="177"/>
        <v/>
      </c>
      <c r="V687" s="21" t="str">
        <f t="shared" si="178"/>
        <v/>
      </c>
      <c r="W687" s="21">
        <f t="shared" si="179"/>
        <v>588951585.22072196</v>
      </c>
      <c r="X687" s="19" t="str">
        <f t="shared" si="180"/>
        <v/>
      </c>
      <c r="Y687" s="17" t="str">
        <f t="shared" si="181"/>
        <v/>
      </c>
      <c r="Z687" s="17" t="str">
        <f t="shared" si="182"/>
        <v/>
      </c>
      <c r="AA687" s="20">
        <f t="shared" si="183"/>
        <v>3.3119777880835935E-2</v>
      </c>
      <c r="AB687" s="17" t="str">
        <f t="shared" si="184"/>
        <v/>
      </c>
      <c r="AC687" s="18" t="str">
        <f t="shared" si="185"/>
        <v/>
      </c>
      <c r="AD687" s="19" t="str">
        <f t="shared" si="186"/>
        <v/>
      </c>
    </row>
    <row r="688" spans="1:30" x14ac:dyDescent="0.25">
      <c r="A688" s="8">
        <v>837</v>
      </c>
      <c r="B688" s="9">
        <v>45890</v>
      </c>
      <c r="C688" s="10">
        <v>1.958333333333333</v>
      </c>
      <c r="D688" s="11">
        <v>144367.04223558231</v>
      </c>
      <c r="E688" s="11">
        <v>11708.506593826</v>
      </c>
      <c r="F688" s="11">
        <v>9081.6888465275224</v>
      </c>
      <c r="G688" s="11">
        <v>39468.172126832003</v>
      </c>
      <c r="H688" s="12">
        <v>3.3148278356581858E-2</v>
      </c>
      <c r="I688" s="13">
        <v>1053</v>
      </c>
      <c r="J688" s="13">
        <v>1016790</v>
      </c>
      <c r="K688" s="12"/>
      <c r="L688" s="14">
        <v>187.26689999999999</v>
      </c>
      <c r="M688" s="15">
        <v>110308766226</v>
      </c>
      <c r="N688" s="16">
        <f t="shared" si="170"/>
        <v>104898.8701087503</v>
      </c>
      <c r="O688" s="17">
        <f t="shared" si="171"/>
        <v>165157.23767593582</v>
      </c>
      <c r="P688" s="18">
        <f t="shared" si="172"/>
        <v>30928483.912135705</v>
      </c>
      <c r="Q688" s="19">
        <f t="shared" si="173"/>
        <v>7.0893088057090839E-2</v>
      </c>
      <c r="R688" s="20">
        <f t="shared" si="174"/>
        <v>3.3148278356581858E-2</v>
      </c>
      <c r="S688" s="20" t="str">
        <f t="shared" si="175"/>
        <v/>
      </c>
      <c r="T688" s="20" t="str">
        <f t="shared" si="176"/>
        <v/>
      </c>
      <c r="U688" s="20" t="str">
        <f t="shared" si="177"/>
        <v/>
      </c>
      <c r="V688" s="21" t="str">
        <f t="shared" si="178"/>
        <v/>
      </c>
      <c r="W688" s="21">
        <f t="shared" si="179"/>
        <v>589045721.51298499</v>
      </c>
      <c r="X688" s="19" t="str">
        <f t="shared" si="180"/>
        <v/>
      </c>
      <c r="Y688" s="17" t="str">
        <f t="shared" si="181"/>
        <v/>
      </c>
      <c r="Z688" s="17" t="str">
        <f t="shared" si="182"/>
        <v/>
      </c>
      <c r="AA688" s="20">
        <f t="shared" si="183"/>
        <v>3.3090317530067963E-2</v>
      </c>
      <c r="AB688" s="17" t="str">
        <f t="shared" si="184"/>
        <v/>
      </c>
      <c r="AC688" s="18" t="str">
        <f t="shared" si="185"/>
        <v/>
      </c>
      <c r="AD688" s="19" t="str">
        <f t="shared" si="186"/>
        <v/>
      </c>
    </row>
    <row r="689" spans="1:30" x14ac:dyDescent="0.25">
      <c r="A689" s="8">
        <v>838</v>
      </c>
      <c r="B689" s="9">
        <v>45892</v>
      </c>
      <c r="C689" s="10">
        <v>1.958333333333333</v>
      </c>
      <c r="D689" s="11">
        <v>144272.48895830259</v>
      </c>
      <c r="E689" s="11">
        <v>10471.620277337001</v>
      </c>
      <c r="F689" s="11">
        <v>7741.7361502440199</v>
      </c>
      <c r="G689" s="11">
        <v>39552.744312354997</v>
      </c>
      <c r="H689" s="12">
        <v>3.2887846241820277E-2</v>
      </c>
      <c r="I689" s="13">
        <v>1052</v>
      </c>
      <c r="J689" s="13">
        <v>1010853</v>
      </c>
      <c r="K689" s="12"/>
      <c r="L689" s="14">
        <v>200.26060000000001</v>
      </c>
      <c r="M689" s="15">
        <v>117987070690</v>
      </c>
      <c r="N689" s="16">
        <f t="shared" si="170"/>
        <v>104719.74464594759</v>
      </c>
      <c r="O689" s="17">
        <f t="shared" si="171"/>
        <v>162485.84538588361</v>
      </c>
      <c r="P689" s="18">
        <f t="shared" si="172"/>
        <v>32539512.888484284</v>
      </c>
      <c r="Q689" s="19">
        <f t="shared" si="173"/>
        <v>6.4446353788345123E-2</v>
      </c>
      <c r="R689" s="20">
        <f t="shared" si="174"/>
        <v>3.2887846241820277E-2</v>
      </c>
      <c r="S689" s="20" t="str">
        <f t="shared" si="175"/>
        <v/>
      </c>
      <c r="T689" s="20" t="str">
        <f t="shared" si="176"/>
        <v/>
      </c>
      <c r="U689" s="20" t="str">
        <f t="shared" si="177"/>
        <v/>
      </c>
      <c r="V689" s="21" t="str">
        <f t="shared" si="178"/>
        <v/>
      </c>
      <c r="W689" s="21">
        <f t="shared" si="179"/>
        <v>589167667.97862387</v>
      </c>
      <c r="X689" s="19" t="str">
        <f t="shared" si="180"/>
        <v/>
      </c>
      <c r="Y689" s="17" t="str">
        <f t="shared" si="181"/>
        <v/>
      </c>
      <c r="Z689" s="17" t="str">
        <f t="shared" si="182"/>
        <v/>
      </c>
      <c r="AA689" s="20">
        <f t="shared" si="183"/>
        <v>3.3060883384556275E-2</v>
      </c>
      <c r="AB689" s="17" t="str">
        <f t="shared" si="184"/>
        <v/>
      </c>
      <c r="AC689" s="18" t="str">
        <f t="shared" si="185"/>
        <v/>
      </c>
      <c r="AD689" s="19" t="str">
        <f t="shared" si="186"/>
        <v/>
      </c>
    </row>
    <row r="690" spans="1:30" x14ac:dyDescent="0.25">
      <c r="A690" s="8">
        <v>839</v>
      </c>
      <c r="B690" s="9">
        <v>45894</v>
      </c>
      <c r="C690" s="10">
        <v>1.958333333333333</v>
      </c>
      <c r="D690" s="11">
        <v>144177.97467067081</v>
      </c>
      <c r="E690" s="11">
        <v>13024.885721045999</v>
      </c>
      <c r="F690" s="11">
        <v>10579.675236988371</v>
      </c>
      <c r="G690" s="11">
        <v>39378.060310137</v>
      </c>
      <c r="H690" s="12">
        <v>3.2771761222928998E-2</v>
      </c>
      <c r="I690" s="13">
        <v>1046</v>
      </c>
      <c r="J690" s="13">
        <v>1017226</v>
      </c>
      <c r="K690" s="12"/>
      <c r="L690" s="14">
        <v>205.8809</v>
      </c>
      <c r="M690" s="15">
        <v>121366506996</v>
      </c>
      <c r="N690" s="16">
        <f t="shared" si="170"/>
        <v>104799.91436053382</v>
      </c>
      <c r="O690" s="17">
        <f t="shared" si="171"/>
        <v>167782.5356287052</v>
      </c>
      <c r="P690" s="18">
        <f t="shared" si="172"/>
        <v>34543219.43951989</v>
      </c>
      <c r="Q690" s="19">
        <f t="shared" si="173"/>
        <v>7.7629567774976621E-2</v>
      </c>
      <c r="R690" s="20">
        <f t="shared" si="174"/>
        <v>3.2771761222928998E-2</v>
      </c>
      <c r="S690" s="20" t="str">
        <f t="shared" si="175"/>
        <v/>
      </c>
      <c r="T690" s="20" t="str">
        <f t="shared" si="176"/>
        <v/>
      </c>
      <c r="U690" s="20" t="str">
        <f t="shared" si="177"/>
        <v/>
      </c>
      <c r="V690" s="21" t="str">
        <f t="shared" si="178"/>
        <v/>
      </c>
      <c r="W690" s="21">
        <f t="shared" si="179"/>
        <v>589498622.72799468</v>
      </c>
      <c r="X690" s="19" t="str">
        <f t="shared" si="180"/>
        <v/>
      </c>
      <c r="Y690" s="17" t="str">
        <f t="shared" si="181"/>
        <v/>
      </c>
      <c r="Z690" s="17" t="str">
        <f t="shared" si="182"/>
        <v/>
      </c>
      <c r="AA690" s="20">
        <f t="shared" si="183"/>
        <v>3.3031475420991045E-2</v>
      </c>
      <c r="AB690" s="17" t="str">
        <f t="shared" si="184"/>
        <v/>
      </c>
      <c r="AC690" s="18" t="str">
        <f t="shared" si="185"/>
        <v/>
      </c>
      <c r="AD690" s="19" t="str">
        <f t="shared" si="186"/>
        <v/>
      </c>
    </row>
    <row r="691" spans="1:30" x14ac:dyDescent="0.25">
      <c r="A691" s="8">
        <v>840</v>
      </c>
      <c r="B691" s="9">
        <v>45896</v>
      </c>
      <c r="C691" s="10">
        <v>1.958333333333333</v>
      </c>
      <c r="D691" s="11">
        <v>144083.48854744289</v>
      </c>
      <c r="E691" s="11">
        <v>13890.197057979</v>
      </c>
      <c r="F691" s="11">
        <v>10882.28677910166</v>
      </c>
      <c r="G691" s="11">
        <v>39461.285994585</v>
      </c>
      <c r="H691" s="12">
        <v>3.264066248016876E-2</v>
      </c>
      <c r="I691" s="13">
        <v>1038</v>
      </c>
      <c r="J691" s="13">
        <v>986365</v>
      </c>
      <c r="K691" s="12"/>
      <c r="L691" s="14">
        <v>195.98580000000001</v>
      </c>
      <c r="M691" s="15">
        <v>115529653057</v>
      </c>
      <c r="N691" s="16">
        <f t="shared" si="170"/>
        <v>104622.2025528579</v>
      </c>
      <c r="O691" s="17">
        <f t="shared" si="171"/>
        <v>168855.97238452354</v>
      </c>
      <c r="P691" s="18">
        <f t="shared" si="172"/>
        <v>33093372.832558755</v>
      </c>
      <c r="Q691" s="19">
        <f t="shared" si="173"/>
        <v>8.2260620467411449E-2</v>
      </c>
      <c r="R691" s="20">
        <f t="shared" si="174"/>
        <v>3.264066248016876E-2</v>
      </c>
      <c r="S691" s="20" t="str">
        <f t="shared" si="175"/>
        <v/>
      </c>
      <c r="T691" s="20" t="str">
        <f t="shared" si="176"/>
        <v/>
      </c>
      <c r="U691" s="20" t="str">
        <f t="shared" si="177"/>
        <v/>
      </c>
      <c r="V691" s="21" t="str">
        <f t="shared" si="178"/>
        <v/>
      </c>
      <c r="W691" s="21">
        <f t="shared" si="179"/>
        <v>589479712.59652483</v>
      </c>
      <c r="X691" s="19" t="str">
        <f t="shared" si="180"/>
        <v/>
      </c>
      <c r="Y691" s="17" t="str">
        <f t="shared" si="181"/>
        <v/>
      </c>
      <c r="Z691" s="17" t="str">
        <f t="shared" si="182"/>
        <v/>
      </c>
      <c r="AA691" s="20">
        <f t="shared" si="183"/>
        <v>3.3002093616083202E-2</v>
      </c>
      <c r="AB691" s="17" t="str">
        <f t="shared" si="184"/>
        <v/>
      </c>
      <c r="AC691" s="18" t="str">
        <f t="shared" si="185"/>
        <v/>
      </c>
      <c r="AD691" s="19" t="str">
        <f t="shared" si="186"/>
        <v/>
      </c>
    </row>
    <row r="692" spans="1:30" x14ac:dyDescent="0.25">
      <c r="A692" s="8">
        <v>841</v>
      </c>
      <c r="B692" s="9">
        <v>45898</v>
      </c>
      <c r="C692" s="10">
        <v>1.958333333333333</v>
      </c>
      <c r="D692" s="11">
        <v>143989.0347717111</v>
      </c>
      <c r="E692" s="11">
        <v>9681.2696896040034</v>
      </c>
      <c r="F692" s="11">
        <v>6082.405538772281</v>
      </c>
      <c r="G692" s="11">
        <v>39730.841975301002</v>
      </c>
      <c r="H692" s="12">
        <v>3.2950906925799217E-2</v>
      </c>
      <c r="I692" s="13">
        <v>1036</v>
      </c>
      <c r="J692" s="13">
        <v>995775</v>
      </c>
      <c r="K692" s="12"/>
      <c r="L692" s="14">
        <v>214.5496</v>
      </c>
      <c r="M692" s="15">
        <v>126504882601</v>
      </c>
      <c r="N692" s="16">
        <f t="shared" si="170"/>
        <v>104258.19279641009</v>
      </c>
      <c r="O692" s="17">
        <f t="shared" si="171"/>
        <v>159752.71000008739</v>
      </c>
      <c r="P692" s="18">
        <f t="shared" si="172"/>
        <v>34274880.029434748</v>
      </c>
      <c r="Q692" s="19">
        <f t="shared" si="173"/>
        <v>6.0601599119030326E-2</v>
      </c>
      <c r="R692" s="20">
        <f t="shared" si="174"/>
        <v>3.2950906925799217E-2</v>
      </c>
      <c r="S692" s="20" t="str">
        <f t="shared" si="175"/>
        <v/>
      </c>
      <c r="T692" s="20" t="str">
        <f t="shared" si="176"/>
        <v/>
      </c>
      <c r="U692" s="20" t="str">
        <f t="shared" si="177"/>
        <v/>
      </c>
      <c r="V692" s="21" t="str">
        <f t="shared" si="178"/>
        <v/>
      </c>
      <c r="W692" s="21">
        <f t="shared" si="179"/>
        <v>589630009.10279024</v>
      </c>
      <c r="X692" s="19" t="str">
        <f t="shared" si="180"/>
        <v/>
      </c>
      <c r="Y692" s="17" t="str">
        <f t="shared" si="181"/>
        <v/>
      </c>
      <c r="Z692" s="17" t="str">
        <f t="shared" si="182"/>
        <v/>
      </c>
      <c r="AA692" s="20">
        <f t="shared" si="183"/>
        <v>3.2972737946564357E-2</v>
      </c>
      <c r="AB692" s="17" t="str">
        <f t="shared" si="184"/>
        <v/>
      </c>
      <c r="AC692" s="18" t="str">
        <f t="shared" si="185"/>
        <v/>
      </c>
      <c r="AD692" s="19" t="str">
        <f t="shared" si="186"/>
        <v/>
      </c>
    </row>
    <row r="693" spans="1:30" x14ac:dyDescent="0.25">
      <c r="A693" s="8">
        <v>842</v>
      </c>
      <c r="B693" s="9">
        <v>45900</v>
      </c>
      <c r="C693" s="10">
        <v>1.958333333333333</v>
      </c>
      <c r="D693" s="11">
        <v>143894.63260671959</v>
      </c>
      <c r="E693" s="11">
        <v>10122.055282435</v>
      </c>
      <c r="F693" s="11">
        <v>6150.7148904679943</v>
      </c>
      <c r="G693" s="11">
        <v>40231.774723738999</v>
      </c>
      <c r="H693" s="12">
        <v>3.2886363554384637E-2</v>
      </c>
      <c r="I693" s="13">
        <v>1030</v>
      </c>
      <c r="J693" s="13">
        <v>959420</v>
      </c>
      <c r="K693" s="12"/>
      <c r="L693" s="14">
        <v>202.71010000000001</v>
      </c>
      <c r="M693" s="15">
        <v>119546505338</v>
      </c>
      <c r="N693" s="16">
        <f t="shared" si="170"/>
        <v>103662.85788298059</v>
      </c>
      <c r="O693" s="17">
        <f t="shared" si="171"/>
        <v>160167.40277962259</v>
      </c>
      <c r="P693" s="18">
        <f t="shared" si="172"/>
        <v>32467550.234197576</v>
      </c>
      <c r="Q693" s="19">
        <f t="shared" si="173"/>
        <v>6.3196724843956734E-2</v>
      </c>
      <c r="R693" s="20">
        <f t="shared" si="174"/>
        <v>3.2886363554384637E-2</v>
      </c>
      <c r="S693" s="20" t="str">
        <f t="shared" si="175"/>
        <v/>
      </c>
      <c r="T693" s="20" t="str">
        <f t="shared" si="176"/>
        <v/>
      </c>
      <c r="U693" s="20" t="str">
        <f t="shared" si="177"/>
        <v/>
      </c>
      <c r="V693" s="21" t="str">
        <f t="shared" si="178"/>
        <v/>
      </c>
      <c r="W693" s="21">
        <f t="shared" si="179"/>
        <v>589741238.0438863</v>
      </c>
      <c r="X693" s="19" t="str">
        <f t="shared" si="180"/>
        <v/>
      </c>
      <c r="Y693" s="17" t="str">
        <f t="shared" si="181"/>
        <v/>
      </c>
      <c r="Z693" s="17" t="str">
        <f t="shared" si="182"/>
        <v/>
      </c>
      <c r="AA693" s="20">
        <f t="shared" si="183"/>
        <v>3.294340838918685E-2</v>
      </c>
      <c r="AB693" s="17" t="str">
        <f t="shared" si="184"/>
        <v/>
      </c>
      <c r="AC693" s="18" t="str">
        <f t="shared" si="185"/>
        <v/>
      </c>
      <c r="AD693" s="19" t="str">
        <f t="shared" si="186"/>
        <v/>
      </c>
    </row>
    <row r="694" spans="1:30" x14ac:dyDescent="0.25">
      <c r="A694" s="8">
        <v>843</v>
      </c>
      <c r="B694" s="9">
        <v>45902</v>
      </c>
      <c r="C694" s="10">
        <v>1.958333333333333</v>
      </c>
      <c r="D694" s="11">
        <v>143800.26209806089</v>
      </c>
      <c r="E694" s="11">
        <v>12583.686070109001</v>
      </c>
      <c r="F694" s="11">
        <v>8037.391149056496</v>
      </c>
      <c r="G694" s="11">
        <v>39179.420083835998</v>
      </c>
      <c r="H694" s="12">
        <v>3.1819194625144827E-2</v>
      </c>
      <c r="I694" s="13">
        <v>1023</v>
      </c>
      <c r="J694" s="13">
        <v>998450</v>
      </c>
      <c r="K694" s="12"/>
      <c r="L694" s="14">
        <v>196.88380000000001</v>
      </c>
      <c r="M694" s="15">
        <v>116046017261</v>
      </c>
      <c r="N694" s="16">
        <f t="shared" si="170"/>
        <v>104620.84201422489</v>
      </c>
      <c r="O694" s="17">
        <f t="shared" si="171"/>
        <v>164421.33931722637</v>
      </c>
      <c r="P694" s="18">
        <f t="shared" si="172"/>
        <v>32371898.085864935</v>
      </c>
      <c r="Q694" s="19">
        <f t="shared" si="173"/>
        <v>7.6533168519146169E-2</v>
      </c>
      <c r="R694" s="20">
        <f t="shared" si="174"/>
        <v>3.1819194625144827E-2</v>
      </c>
      <c r="S694" s="20" t="str">
        <f t="shared" si="175"/>
        <v/>
      </c>
      <c r="T694" s="20" t="str">
        <f t="shared" si="176"/>
        <v/>
      </c>
      <c r="U694" s="20" t="str">
        <f t="shared" si="177"/>
        <v/>
      </c>
      <c r="V694" s="21" t="str">
        <f t="shared" si="178"/>
        <v/>
      </c>
      <c r="W694" s="21">
        <f t="shared" si="179"/>
        <v>589413741.81623876</v>
      </c>
      <c r="X694" s="19" t="str">
        <f t="shared" si="180"/>
        <v/>
      </c>
      <c r="Y694" s="17" t="str">
        <f t="shared" si="181"/>
        <v/>
      </c>
      <c r="Z694" s="17" t="str">
        <f t="shared" si="182"/>
        <v/>
      </c>
      <c r="AA694" s="20">
        <f t="shared" si="183"/>
        <v>3.2914104920723698E-2</v>
      </c>
      <c r="AB694" s="17" t="str">
        <f t="shared" si="184"/>
        <v/>
      </c>
      <c r="AC694" s="18" t="str">
        <f t="shared" si="185"/>
        <v/>
      </c>
      <c r="AD694" s="19" t="str">
        <f t="shared" si="186"/>
        <v/>
      </c>
    </row>
    <row r="695" spans="1:30" x14ac:dyDescent="0.25">
      <c r="A695" s="8">
        <v>844</v>
      </c>
      <c r="B695" s="9">
        <v>45904</v>
      </c>
      <c r="C695" s="10">
        <v>1.958333333333333</v>
      </c>
      <c r="D695" s="11">
        <v>143705.92453373739</v>
      </c>
      <c r="E695" s="11">
        <v>9997.7353059040051</v>
      </c>
      <c r="F695" s="11">
        <v>6030.7337436748076</v>
      </c>
      <c r="G695" s="11">
        <v>38897.161325378001</v>
      </c>
      <c r="H695" s="12">
        <v>3.1766504275952227E-2</v>
      </c>
      <c r="I695" s="13">
        <v>1026</v>
      </c>
      <c r="J695" s="13">
        <v>1005390</v>
      </c>
      <c r="K695" s="12"/>
      <c r="L695" s="14">
        <v>210.6788</v>
      </c>
      <c r="M695" s="15">
        <v>124291097377</v>
      </c>
      <c r="N695" s="16">
        <f t="shared" si="170"/>
        <v>104808.76320835939</v>
      </c>
      <c r="O695" s="17">
        <f t="shared" si="171"/>
        <v>159734.39358331621</v>
      </c>
      <c r="P695" s="18">
        <f t="shared" si="172"/>
        <v>33652650.358860761</v>
      </c>
      <c r="Q695" s="19">
        <f t="shared" si="173"/>
        <v>6.2589747152289182E-2</v>
      </c>
      <c r="R695" s="20">
        <f t="shared" si="174"/>
        <v>3.1766504275952227E-2</v>
      </c>
      <c r="S695" s="20" t="str">
        <f t="shared" si="175"/>
        <v/>
      </c>
      <c r="T695" s="20" t="str">
        <f t="shared" si="176"/>
        <v/>
      </c>
      <c r="U695" s="20" t="str">
        <f t="shared" si="177"/>
        <v/>
      </c>
      <c r="V695" s="21" t="str">
        <f t="shared" si="178"/>
        <v/>
      </c>
      <c r="W695" s="21">
        <f t="shared" si="179"/>
        <v>589955407.83885229</v>
      </c>
      <c r="X695" s="19" t="str">
        <f t="shared" si="180"/>
        <v/>
      </c>
      <c r="Y695" s="17" t="str">
        <f t="shared" si="181"/>
        <v/>
      </c>
      <c r="Z695" s="17" t="str">
        <f t="shared" si="182"/>
        <v/>
      </c>
      <c r="AA695" s="20">
        <f t="shared" si="183"/>
        <v>3.2884827517968548E-2</v>
      </c>
      <c r="AB695" s="17" t="str">
        <f t="shared" si="184"/>
        <v/>
      </c>
      <c r="AC695" s="18" t="str">
        <f t="shared" si="185"/>
        <v/>
      </c>
      <c r="AD695" s="19" t="str">
        <f t="shared" si="186"/>
        <v/>
      </c>
    </row>
    <row r="696" spans="1:30" x14ac:dyDescent="0.25">
      <c r="A696" s="8">
        <v>845</v>
      </c>
      <c r="B696" s="9">
        <v>45906</v>
      </c>
      <c r="C696" s="10">
        <v>1.958333333333333</v>
      </c>
      <c r="D696" s="11">
        <v>143611.62718158751</v>
      </c>
      <c r="E696" s="11">
        <v>8228.5937226280021</v>
      </c>
      <c r="F696" s="11">
        <v>4529.2999895475386</v>
      </c>
      <c r="G696" s="11">
        <v>39182.435827185996</v>
      </c>
      <c r="H696" s="12">
        <v>3.1966855770461898E-2</v>
      </c>
      <c r="I696" s="13">
        <v>1007</v>
      </c>
      <c r="J696" s="13">
        <v>996424</v>
      </c>
      <c r="K696" s="12"/>
      <c r="L696" s="14">
        <v>203.47909999999999</v>
      </c>
      <c r="M696" s="15">
        <v>120081255035</v>
      </c>
      <c r="N696" s="16">
        <f t="shared" si="170"/>
        <v>104429.19135440151</v>
      </c>
      <c r="O696" s="17">
        <f t="shared" si="171"/>
        <v>156369.52089376305</v>
      </c>
      <c r="P696" s="18">
        <f t="shared" si="172"/>
        <v>31817929.378894098</v>
      </c>
      <c r="Q696" s="19">
        <f t="shared" si="173"/>
        <v>5.2622746911263368E-2</v>
      </c>
      <c r="R696" s="20">
        <f t="shared" si="174"/>
        <v>3.1966855770461898E-2</v>
      </c>
      <c r="S696" s="20" t="str">
        <f t="shared" si="175"/>
        <v/>
      </c>
      <c r="T696" s="20" t="str">
        <f t="shared" si="176"/>
        <v/>
      </c>
      <c r="U696" s="20" t="str">
        <f t="shared" si="177"/>
        <v/>
      </c>
      <c r="V696" s="21" t="str">
        <f t="shared" si="178"/>
        <v/>
      </c>
      <c r="W696" s="21">
        <f t="shared" si="179"/>
        <v>590140486.34478927</v>
      </c>
      <c r="X696" s="19" t="str">
        <f t="shared" si="180"/>
        <v/>
      </c>
      <c r="Y696" s="17" t="str">
        <f t="shared" si="181"/>
        <v/>
      </c>
      <c r="Z696" s="17" t="str">
        <f t="shared" si="182"/>
        <v/>
      </c>
      <c r="AA696" s="20">
        <f t="shared" si="183"/>
        <v>3.2855576157735718E-2</v>
      </c>
      <c r="AB696" s="17" t="str">
        <f t="shared" si="184"/>
        <v/>
      </c>
      <c r="AC696" s="18" t="str">
        <f t="shared" si="185"/>
        <v/>
      </c>
      <c r="AD696" s="19" t="str">
        <f t="shared" si="186"/>
        <v/>
      </c>
    </row>
    <row r="697" spans="1:30" x14ac:dyDescent="0.25">
      <c r="A697" s="8">
        <v>846</v>
      </c>
      <c r="B697" s="9">
        <v>45908</v>
      </c>
      <c r="C697" s="10">
        <v>2</v>
      </c>
      <c r="D697" s="11">
        <v>143517.36759059929</v>
      </c>
      <c r="E697" s="11">
        <v>9933.0581148139972</v>
      </c>
      <c r="F697" s="11">
        <v>6116.9336225829229</v>
      </c>
      <c r="G697" s="11">
        <v>38770.519430203</v>
      </c>
      <c r="H697" s="12">
        <v>3.1929772636603827E-2</v>
      </c>
      <c r="I697" s="13">
        <v>1015</v>
      </c>
      <c r="J697" s="13">
        <v>993427</v>
      </c>
      <c r="K697" s="12"/>
      <c r="L697" s="14">
        <v>206.51849999999999</v>
      </c>
      <c r="M697" s="15">
        <v>122067730020</v>
      </c>
      <c r="N697" s="16">
        <f t="shared" si="170"/>
        <v>104746.84816039629</v>
      </c>
      <c r="O697" s="17">
        <f t="shared" si="171"/>
        <v>159567.35932799621</v>
      </c>
      <c r="P697" s="18">
        <f t="shared" si="172"/>
        <v>32953611.697378784</v>
      </c>
      <c r="Q697" s="19">
        <f t="shared" si="173"/>
        <v>6.2249937309523648E-2</v>
      </c>
      <c r="R697" s="20">
        <f t="shared" si="174"/>
        <v>3.1929772636603827E-2</v>
      </c>
      <c r="S697" s="20" t="str">
        <f t="shared" si="175"/>
        <v/>
      </c>
      <c r="T697" s="20" t="str">
        <f t="shared" si="176"/>
        <v/>
      </c>
      <c r="U697" s="20" t="str">
        <f t="shared" si="177"/>
        <v/>
      </c>
      <c r="V697" s="21" t="str">
        <f t="shared" si="178"/>
        <v/>
      </c>
      <c r="W697" s="21">
        <f t="shared" si="179"/>
        <v>591074068.52170634</v>
      </c>
      <c r="X697" s="19" t="str">
        <f t="shared" si="180"/>
        <v/>
      </c>
      <c r="Y697" s="17" t="str">
        <f t="shared" si="181"/>
        <v/>
      </c>
      <c r="Z697" s="17" t="str">
        <f t="shared" si="182"/>
        <v/>
      </c>
      <c r="AA697" s="20">
        <f t="shared" si="183"/>
        <v>3.2826350816860146E-2</v>
      </c>
      <c r="AB697" s="17" t="str">
        <f t="shared" si="184"/>
        <v/>
      </c>
      <c r="AC697" s="18" t="str">
        <f t="shared" si="185"/>
        <v/>
      </c>
      <c r="AD697" s="19" t="str">
        <f t="shared" si="186"/>
        <v/>
      </c>
    </row>
    <row r="698" spans="1:30" x14ac:dyDescent="0.25">
      <c r="A698" s="8">
        <v>847</v>
      </c>
      <c r="B698" s="9">
        <v>45910</v>
      </c>
      <c r="C698" s="10">
        <v>2</v>
      </c>
      <c r="D698" s="11">
        <v>143423.12981786119</v>
      </c>
      <c r="E698" s="11">
        <v>13327.64845473399</v>
      </c>
      <c r="F698" s="11">
        <v>9699.2460678492553</v>
      </c>
      <c r="G698" s="11">
        <v>38831.845458470998</v>
      </c>
      <c r="H698" s="12">
        <v>3.1996816019904131E-2</v>
      </c>
      <c r="I698" s="13">
        <v>991</v>
      </c>
      <c r="J698" s="13">
        <v>1005886</v>
      </c>
      <c r="K698" s="12"/>
      <c r="L698" s="14">
        <v>217.3852</v>
      </c>
      <c r="M698" s="15">
        <v>128511720064</v>
      </c>
      <c r="N698" s="16">
        <f t="shared" si="170"/>
        <v>104591.28435939019</v>
      </c>
      <c r="O698" s="17">
        <f t="shared" si="171"/>
        <v>166450.02434044442</v>
      </c>
      <c r="P698" s="18">
        <f t="shared" si="172"/>
        <v>36183771.831252381</v>
      </c>
      <c r="Q698" s="19">
        <f t="shared" si="173"/>
        <v>8.0069969995766502E-2</v>
      </c>
      <c r="R698" s="20">
        <f t="shared" si="174"/>
        <v>3.1996816019904131E-2</v>
      </c>
      <c r="S698" s="20" t="str">
        <f t="shared" si="175"/>
        <v/>
      </c>
      <c r="T698" s="20" t="str">
        <f t="shared" si="176"/>
        <v/>
      </c>
      <c r="U698" s="20" t="str">
        <f t="shared" si="177"/>
        <v/>
      </c>
      <c r="V698" s="21" t="str">
        <f t="shared" si="178"/>
        <v/>
      </c>
      <c r="W698" s="21">
        <f t="shared" si="179"/>
        <v>591170512.36238718</v>
      </c>
      <c r="X698" s="19" t="str">
        <f t="shared" si="180"/>
        <v/>
      </c>
      <c r="Y698" s="17" t="str">
        <f t="shared" si="181"/>
        <v/>
      </c>
      <c r="Z698" s="17" t="str">
        <f t="shared" si="182"/>
        <v/>
      </c>
      <c r="AA698" s="20">
        <f t="shared" si="183"/>
        <v>3.2797151472197368E-2</v>
      </c>
      <c r="AB698" s="17" t="str">
        <f t="shared" si="184"/>
        <v/>
      </c>
      <c r="AC698" s="18" t="str">
        <f t="shared" si="185"/>
        <v/>
      </c>
      <c r="AD698" s="19" t="str">
        <f t="shared" si="186"/>
        <v/>
      </c>
    </row>
    <row r="699" spans="1:30" x14ac:dyDescent="0.25">
      <c r="A699" s="8">
        <v>848</v>
      </c>
      <c r="B699" s="9">
        <v>45912</v>
      </c>
      <c r="C699" s="10">
        <v>1.958333333333333</v>
      </c>
      <c r="D699" s="11">
        <v>143328.9191082794</v>
      </c>
      <c r="E699" s="11">
        <v>9884.8918027720101</v>
      </c>
      <c r="F699" s="11">
        <v>6938.1875954143215</v>
      </c>
      <c r="G699" s="11">
        <v>36910.582835645</v>
      </c>
      <c r="H699" s="12">
        <v>3.3004323292135457E-2</v>
      </c>
      <c r="I699" s="13">
        <v>1001</v>
      </c>
      <c r="J699" s="13">
        <v>998587</v>
      </c>
      <c r="K699" s="12"/>
      <c r="L699" s="14">
        <v>228.6995</v>
      </c>
      <c r="M699" s="15">
        <v>135219637717</v>
      </c>
      <c r="N699" s="16">
        <f t="shared" si="170"/>
        <v>106418.33627263439</v>
      </c>
      <c r="O699" s="17">
        <f t="shared" si="171"/>
        <v>160151.99850646572</v>
      </c>
      <c r="P699" s="18">
        <f t="shared" si="172"/>
        <v>36626681.98242946</v>
      </c>
      <c r="Q699" s="19">
        <f t="shared" si="173"/>
        <v>6.1721938501897201E-2</v>
      </c>
      <c r="R699" s="20">
        <f t="shared" si="174"/>
        <v>3.3004323292135457E-2</v>
      </c>
      <c r="S699" s="20" t="str">
        <f t="shared" si="175"/>
        <v/>
      </c>
      <c r="T699" s="20" t="str">
        <f t="shared" si="176"/>
        <v/>
      </c>
      <c r="U699" s="20" t="str">
        <f t="shared" si="177"/>
        <v/>
      </c>
      <c r="V699" s="21" t="str">
        <f t="shared" si="178"/>
        <v/>
      </c>
      <c r="W699" s="21">
        <f t="shared" si="179"/>
        <v>591254627.65331805</v>
      </c>
      <c r="X699" s="19" t="str">
        <f t="shared" si="180"/>
        <v/>
      </c>
      <c r="Y699" s="17" t="str">
        <f t="shared" si="181"/>
        <v/>
      </c>
      <c r="Z699" s="17" t="str">
        <f t="shared" si="182"/>
        <v/>
      </c>
      <c r="AA699" s="20">
        <f t="shared" si="183"/>
        <v>3.2767978100623506E-2</v>
      </c>
      <c r="AB699" s="17" t="str">
        <f t="shared" si="184"/>
        <v/>
      </c>
      <c r="AC699" s="18" t="str">
        <f t="shared" si="185"/>
        <v/>
      </c>
      <c r="AD699" s="19" t="str">
        <f t="shared" si="186"/>
        <v/>
      </c>
    </row>
    <row r="700" spans="1:30" x14ac:dyDescent="0.25">
      <c r="A700" s="8">
        <v>849</v>
      </c>
      <c r="B700" s="9">
        <v>45914</v>
      </c>
      <c r="C700" s="10">
        <v>1.958333333333333</v>
      </c>
      <c r="D700" s="11">
        <v>143234.74894600411</v>
      </c>
      <c r="E700" s="11">
        <v>16237.058961228009</v>
      </c>
      <c r="F700" s="11">
        <v>14454.23080777563</v>
      </c>
      <c r="G700" s="11">
        <v>36599.245807567</v>
      </c>
      <c r="H700" s="12">
        <v>3.2428855980711463E-2</v>
      </c>
      <c r="I700" s="13">
        <v>999</v>
      </c>
      <c r="J700" s="13">
        <v>1001138</v>
      </c>
      <c r="K700" s="12"/>
      <c r="L700" s="14">
        <v>242.66759999999999</v>
      </c>
      <c r="M700" s="15">
        <v>143539308987</v>
      </c>
      <c r="N700" s="16">
        <f t="shared" si="170"/>
        <v>106635.50313843711</v>
      </c>
      <c r="O700" s="17">
        <f t="shared" si="171"/>
        <v>173926.03871500774</v>
      </c>
      <c r="P700" s="18">
        <f t="shared" si="172"/>
        <v>42206214.392478012</v>
      </c>
      <c r="Q700" s="19">
        <f t="shared" si="173"/>
        <v>9.3356113214501352E-2</v>
      </c>
      <c r="R700" s="20">
        <f t="shared" si="174"/>
        <v>3.2428855980711463E-2</v>
      </c>
      <c r="S700" s="20" t="str">
        <f t="shared" si="175"/>
        <v/>
      </c>
      <c r="T700" s="20" t="str">
        <f t="shared" si="176"/>
        <v/>
      </c>
      <c r="U700" s="20" t="str">
        <f t="shared" si="177"/>
        <v/>
      </c>
      <c r="V700" s="21" t="str">
        <f t="shared" si="178"/>
        <v/>
      </c>
      <c r="W700" s="21">
        <f t="shared" si="179"/>
        <v>591505866.40738201</v>
      </c>
      <c r="X700" s="19" t="str">
        <f t="shared" si="180"/>
        <v/>
      </c>
      <c r="Y700" s="17" t="str">
        <f t="shared" si="181"/>
        <v/>
      </c>
      <c r="Z700" s="17" t="str">
        <f t="shared" si="182"/>
        <v/>
      </c>
      <c r="AA700" s="20">
        <f t="shared" si="183"/>
        <v>3.2738830679035269E-2</v>
      </c>
      <c r="AB700" s="17" t="str">
        <f t="shared" si="184"/>
        <v/>
      </c>
      <c r="AC700" s="18" t="str">
        <f t="shared" si="185"/>
        <v/>
      </c>
      <c r="AD700" s="19" t="str">
        <f t="shared" si="186"/>
        <v/>
      </c>
    </row>
    <row r="701" spans="1:30" x14ac:dyDescent="0.25">
      <c r="A701" s="8">
        <v>850</v>
      </c>
      <c r="B701" s="9">
        <v>45916</v>
      </c>
      <c r="C701" s="10">
        <v>1.958333333333333</v>
      </c>
      <c r="D701" s="11">
        <v>143140.60053934311</v>
      </c>
      <c r="E701" s="11">
        <v>11248.382099869001</v>
      </c>
      <c r="F701" s="11">
        <v>6825.7450116785167</v>
      </c>
      <c r="G701" s="11">
        <v>36136.821879538002</v>
      </c>
      <c r="H701" s="12">
        <v>3.213253792890905E-2</v>
      </c>
      <c r="I701" s="13">
        <v>981</v>
      </c>
      <c r="J701" s="13">
        <v>988366</v>
      </c>
      <c r="K701" s="12"/>
      <c r="L701" s="14">
        <v>233.83580000000001</v>
      </c>
      <c r="M701" s="15">
        <v>138193054513</v>
      </c>
      <c r="N701" s="16">
        <f t="shared" si="170"/>
        <v>107003.7786598051</v>
      </c>
      <c r="O701" s="17">
        <f t="shared" si="171"/>
        <v>161214.72765089062</v>
      </c>
      <c r="P701" s="18">
        <f t="shared" si="172"/>
        <v>37697774.812028132</v>
      </c>
      <c r="Q701" s="19">
        <f t="shared" si="173"/>
        <v>6.9772670672044887E-2</v>
      </c>
      <c r="R701" s="20">
        <f t="shared" si="174"/>
        <v>3.213253792890905E-2</v>
      </c>
      <c r="S701" s="20" t="str">
        <f t="shared" si="175"/>
        <v/>
      </c>
      <c r="T701" s="20" t="str">
        <f t="shared" si="176"/>
        <v/>
      </c>
      <c r="U701" s="20" t="str">
        <f t="shared" si="177"/>
        <v/>
      </c>
      <c r="V701" s="21" t="str">
        <f t="shared" si="178"/>
        <v/>
      </c>
      <c r="W701" s="21">
        <f t="shared" si="179"/>
        <v>590983307.57309186</v>
      </c>
      <c r="X701" s="19" t="str">
        <f t="shared" si="180"/>
        <v/>
      </c>
      <c r="Y701" s="17" t="str">
        <f t="shared" si="181"/>
        <v/>
      </c>
      <c r="Z701" s="17" t="str">
        <f t="shared" si="182"/>
        <v/>
      </c>
      <c r="AA701" s="20">
        <f t="shared" si="183"/>
        <v>3.2709709184349893E-2</v>
      </c>
      <c r="AB701" s="17" t="str">
        <f t="shared" si="184"/>
        <v/>
      </c>
      <c r="AC701" s="18" t="str">
        <f t="shared" si="185"/>
        <v/>
      </c>
      <c r="AD701" s="19" t="str">
        <f t="shared" si="186"/>
        <v/>
      </c>
    </row>
    <row r="702" spans="1:30" x14ac:dyDescent="0.25">
      <c r="A702" s="8">
        <v>851</v>
      </c>
      <c r="B702" s="9">
        <v>45918</v>
      </c>
      <c r="C702" s="10">
        <v>1.958333333333333</v>
      </c>
      <c r="D702" s="11">
        <v>143046.4874596821</v>
      </c>
      <c r="E702" s="11">
        <v>9502.9986757380011</v>
      </c>
      <c r="F702" s="11">
        <v>5125.0896281353444</v>
      </c>
      <c r="G702" s="11">
        <v>35893.163149952998</v>
      </c>
      <c r="H702" s="12">
        <v>3.1799498264521768E-2</v>
      </c>
      <c r="I702" s="13">
        <v>974</v>
      </c>
      <c r="J702" s="13">
        <v>991064</v>
      </c>
      <c r="K702" s="12"/>
      <c r="L702" s="14">
        <v>244.947</v>
      </c>
      <c r="M702" s="15">
        <v>145051964067</v>
      </c>
      <c r="N702" s="16">
        <f t="shared" si="170"/>
        <v>107153.3243097291</v>
      </c>
      <c r="O702" s="17">
        <f t="shared" si="171"/>
        <v>157674.57576355545</v>
      </c>
      <c r="P702" s="18">
        <f t="shared" si="172"/>
        <v>38621914.30955562</v>
      </c>
      <c r="Q702" s="19">
        <f t="shared" si="173"/>
        <v>6.0269695540443008E-2</v>
      </c>
      <c r="R702" s="20">
        <f t="shared" si="174"/>
        <v>3.1799498264521768E-2</v>
      </c>
      <c r="S702" s="20" t="str">
        <f t="shared" si="175"/>
        <v/>
      </c>
      <c r="T702" s="20" t="str">
        <f t="shared" si="176"/>
        <v/>
      </c>
      <c r="U702" s="20" t="str">
        <f t="shared" si="177"/>
        <v/>
      </c>
      <c r="V702" s="21" t="str">
        <f t="shared" si="178"/>
        <v/>
      </c>
      <c r="W702" s="21">
        <f t="shared" si="179"/>
        <v>592176936.50871408</v>
      </c>
      <c r="X702" s="19" t="str">
        <f t="shared" si="180"/>
        <v/>
      </c>
      <c r="Y702" s="17" t="str">
        <f t="shared" si="181"/>
        <v/>
      </c>
      <c r="Z702" s="17" t="str">
        <f t="shared" si="182"/>
        <v/>
      </c>
      <c r="AA702" s="20">
        <f t="shared" si="183"/>
        <v>3.2680613593505159E-2</v>
      </c>
      <c r="AB702" s="17" t="str">
        <f t="shared" si="184"/>
        <v/>
      </c>
      <c r="AC702" s="18" t="str">
        <f t="shared" si="185"/>
        <v/>
      </c>
      <c r="AD702" s="19" t="str">
        <f t="shared" si="186"/>
        <v/>
      </c>
    </row>
    <row r="703" spans="1:30" x14ac:dyDescent="0.25">
      <c r="A703" s="8">
        <v>852</v>
      </c>
      <c r="B703" s="9">
        <v>45920</v>
      </c>
      <c r="C703" s="10">
        <v>1.958333333333333</v>
      </c>
      <c r="D703" s="11">
        <v>142952.41244969529</v>
      </c>
      <c r="E703" s="11">
        <v>6615.6930281539926</v>
      </c>
      <c r="F703" s="11">
        <v>3533.6432498644422</v>
      </c>
      <c r="G703" s="11">
        <v>35673.199427154999</v>
      </c>
      <c r="H703" s="12">
        <v>3.1542143767993622E-2</v>
      </c>
      <c r="I703" s="13">
        <v>973</v>
      </c>
      <c r="J703" s="13">
        <v>984603</v>
      </c>
      <c r="K703" s="12"/>
      <c r="L703" s="14">
        <v>238.3382</v>
      </c>
      <c r="M703" s="15">
        <v>141052710660</v>
      </c>
      <c r="N703" s="16">
        <f t="shared" si="170"/>
        <v>107279.21302254029</v>
      </c>
      <c r="O703" s="17">
        <f t="shared" si="171"/>
        <v>153101.74872771371</v>
      </c>
      <c r="P703" s="18">
        <f t="shared" si="172"/>
        <v>36489995.208615579</v>
      </c>
      <c r="Q703" s="19">
        <f t="shared" si="173"/>
        <v>4.3211087287577485E-2</v>
      </c>
      <c r="R703" s="20">
        <f t="shared" si="174"/>
        <v>3.1542143767993622E-2</v>
      </c>
      <c r="S703" s="20" t="str">
        <f t="shared" si="175"/>
        <v/>
      </c>
      <c r="T703" s="20" t="str">
        <f t="shared" si="176"/>
        <v/>
      </c>
      <c r="U703" s="20" t="str">
        <f t="shared" si="177"/>
        <v/>
      </c>
      <c r="V703" s="21" t="str">
        <f t="shared" si="178"/>
        <v/>
      </c>
      <c r="W703" s="21">
        <f t="shared" si="179"/>
        <v>591817470.55234957</v>
      </c>
      <c r="X703" s="19" t="str">
        <f t="shared" si="180"/>
        <v/>
      </c>
      <c r="Y703" s="17" t="str">
        <f t="shared" si="181"/>
        <v/>
      </c>
      <c r="Z703" s="17" t="str">
        <f t="shared" si="182"/>
        <v/>
      </c>
      <c r="AA703" s="20">
        <f t="shared" si="183"/>
        <v>3.2651543883459359E-2</v>
      </c>
      <c r="AB703" s="17" t="str">
        <f t="shared" si="184"/>
        <v/>
      </c>
      <c r="AC703" s="18" t="str">
        <f t="shared" si="185"/>
        <v/>
      </c>
      <c r="AD703" s="19" t="str">
        <f t="shared" si="186"/>
        <v/>
      </c>
    </row>
    <row r="704" spans="1:30" x14ac:dyDescent="0.25">
      <c r="A704" s="8">
        <v>853</v>
      </c>
      <c r="B704" s="9">
        <v>45922</v>
      </c>
      <c r="C704" s="10">
        <v>1.958333333333333</v>
      </c>
      <c r="D704" s="11">
        <v>142858.37662878199</v>
      </c>
      <c r="E704" s="11">
        <v>8039.8152132360019</v>
      </c>
      <c r="F704" s="11">
        <v>4190.4069485508526</v>
      </c>
      <c r="G704" s="11">
        <v>35703.812569228998</v>
      </c>
      <c r="H704" s="12">
        <v>3.1180929570955231E-2</v>
      </c>
      <c r="I704" s="13">
        <v>973</v>
      </c>
      <c r="J704" s="13">
        <v>997917</v>
      </c>
      <c r="K704" s="12"/>
      <c r="L704" s="14">
        <v>236.64869999999999</v>
      </c>
      <c r="M704" s="15">
        <v>140206456398</v>
      </c>
      <c r="N704" s="16">
        <f t="shared" si="170"/>
        <v>107154.564059553</v>
      </c>
      <c r="O704" s="17">
        <f t="shared" si="171"/>
        <v>155088.59879056885</v>
      </c>
      <c r="P704" s="18">
        <f t="shared" si="172"/>
        <v>36701515.288609691</v>
      </c>
      <c r="Q704" s="19">
        <f t="shared" si="173"/>
        <v>5.1840143478844261E-2</v>
      </c>
      <c r="R704" s="20">
        <f t="shared" si="174"/>
        <v>3.1180929570955231E-2</v>
      </c>
      <c r="S704" s="20" t="str">
        <f t="shared" si="175"/>
        <v/>
      </c>
      <c r="T704" s="20" t="str">
        <f t="shared" si="176"/>
        <v/>
      </c>
      <c r="U704" s="20" t="str">
        <f t="shared" si="177"/>
        <v/>
      </c>
      <c r="V704" s="21" t="str">
        <f t="shared" si="178"/>
        <v/>
      </c>
      <c r="W704" s="21">
        <f t="shared" si="179"/>
        <v>592466624.14794588</v>
      </c>
      <c r="X704" s="19" t="str">
        <f t="shared" si="180"/>
        <v/>
      </c>
      <c r="Y704" s="17" t="str">
        <f t="shared" si="181"/>
        <v/>
      </c>
      <c r="Z704" s="17" t="str">
        <f t="shared" si="182"/>
        <v/>
      </c>
      <c r="AA704" s="20">
        <f t="shared" si="183"/>
        <v>3.2622500031191284E-2</v>
      </c>
      <c r="AB704" s="17" t="str">
        <f t="shared" si="184"/>
        <v/>
      </c>
      <c r="AC704" s="18" t="str">
        <f t="shared" si="185"/>
        <v/>
      </c>
      <c r="AD704" s="19" t="str">
        <f t="shared" si="186"/>
        <v/>
      </c>
    </row>
    <row r="705" spans="1:30" x14ac:dyDescent="0.25">
      <c r="A705" s="8">
        <v>854</v>
      </c>
      <c r="B705" s="9">
        <v>45924</v>
      </c>
      <c r="C705" s="10">
        <v>1.958333333333333</v>
      </c>
      <c r="D705" s="11">
        <v>142764.36224772391</v>
      </c>
      <c r="E705" s="11">
        <v>7825.2084637510006</v>
      </c>
      <c r="F705" s="11">
        <v>3877.8737122687871</v>
      </c>
      <c r="G705" s="11">
        <v>35640.457620784997</v>
      </c>
      <c r="H705" s="12">
        <v>3.08458280909625E-2</v>
      </c>
      <c r="I705" s="13">
        <v>965</v>
      </c>
      <c r="J705" s="13">
        <v>987443</v>
      </c>
      <c r="K705" s="12"/>
      <c r="L705" s="14">
        <v>214.17930000000001</v>
      </c>
      <c r="M705" s="15">
        <v>127064486170</v>
      </c>
      <c r="N705" s="16">
        <f t="shared" si="170"/>
        <v>107123.90462693892</v>
      </c>
      <c r="O705" s="17">
        <f t="shared" si="171"/>
        <v>154467.4444237437</v>
      </c>
      <c r="P705" s="18">
        <f t="shared" si="172"/>
        <v>33083729.119466331</v>
      </c>
      <c r="Q705" s="19">
        <f t="shared" si="173"/>
        <v>5.0659273175287685E-2</v>
      </c>
      <c r="R705" s="20">
        <f t="shared" si="174"/>
        <v>3.08458280909625E-2</v>
      </c>
      <c r="S705" s="20" t="str">
        <f t="shared" si="175"/>
        <v/>
      </c>
      <c r="T705" s="20" t="str">
        <f t="shared" si="176"/>
        <v/>
      </c>
      <c r="U705" s="20" t="str">
        <f t="shared" si="177"/>
        <v/>
      </c>
      <c r="V705" s="21" t="str">
        <f t="shared" si="178"/>
        <v/>
      </c>
      <c r="W705" s="21">
        <f t="shared" si="179"/>
        <v>593262216.14320338</v>
      </c>
      <c r="X705" s="19" t="str">
        <f t="shared" si="180"/>
        <v/>
      </c>
      <c r="Y705" s="17" t="str">
        <f t="shared" si="181"/>
        <v/>
      </c>
      <c r="Z705" s="17" t="str">
        <f t="shared" si="182"/>
        <v/>
      </c>
      <c r="AA705" s="20">
        <f t="shared" si="183"/>
        <v>3.2593482013700194E-2</v>
      </c>
      <c r="AB705" s="17" t="str">
        <f t="shared" si="184"/>
        <v/>
      </c>
      <c r="AC705" s="18" t="str">
        <f t="shared" si="185"/>
        <v/>
      </c>
      <c r="AD705" s="19" t="str">
        <f t="shared" si="186"/>
        <v/>
      </c>
    </row>
    <row r="706" spans="1:30" x14ac:dyDescent="0.25">
      <c r="A706" s="8">
        <v>855</v>
      </c>
      <c r="B706" s="9">
        <v>45926</v>
      </c>
      <c r="C706" s="10">
        <v>1.958333333333333</v>
      </c>
      <c r="D706" s="11">
        <v>142670.38575340761</v>
      </c>
      <c r="E706" s="11">
        <v>5937.9750544440049</v>
      </c>
      <c r="F706" s="11">
        <v>2771.6475020080552</v>
      </c>
      <c r="G706" s="11">
        <v>35573.907794259001</v>
      </c>
      <c r="H706" s="12">
        <v>3.083338483574271E-2</v>
      </c>
      <c r="I706" s="13">
        <v>967</v>
      </c>
      <c r="J706" s="13">
        <v>994179</v>
      </c>
      <c r="K706" s="12"/>
      <c r="L706" s="14">
        <v>192.18170000000001</v>
      </c>
      <c r="M706" s="15">
        <v>113932528327</v>
      </c>
      <c r="N706" s="16">
        <f t="shared" ref="N706:N769" si="187">D706-G706</f>
        <v>107096.47795914861</v>
      </c>
      <c r="O706" s="17">
        <f t="shared" ref="O706:O769" si="188">D706+E706+F706</f>
        <v>151380.0083098597</v>
      </c>
      <c r="P706" s="18">
        <f t="shared" ref="P706:P769" si="189">O706*L706</f>
        <v>29092467.343002964</v>
      </c>
      <c r="Q706" s="19">
        <f t="shared" ref="Q706:Q769" si="190">IF(O706&gt;0,E706/O706,"")</f>
        <v>3.9225622463235472E-2</v>
      </c>
      <c r="R706" s="20">
        <f t="shared" ref="R706:R769" si="191">IF(H706&lt;&gt;"",H706,IF(D706&gt;0,G706/D706,""))</f>
        <v>3.083338483574271E-2</v>
      </c>
      <c r="S706" s="20" t="str">
        <f t="shared" ref="S706:S769" si="192">IF(AND(K706&lt;&gt;"",D706&gt;0),E706*K706/D706,"")</f>
        <v/>
      </c>
      <c r="T706" s="20" t="str">
        <f t="shared" ref="T706:T769" si="193">IF(AND(K706&lt;&gt;"",D706&gt;0),F706*K706/D706,"")</f>
        <v/>
      </c>
      <c r="U706" s="20" t="str">
        <f t="shared" ref="U706:U769" si="194">IF(K706&lt;&gt;"",K706+S706+T706,"")</f>
        <v/>
      </c>
      <c r="V706" s="21" t="str">
        <f t="shared" ref="V706:V769" si="195">IF(AND(K706&lt;&gt;"",K706&gt;0,C706&gt;0),D706*(365.25/C706)/K706,"")</f>
        <v/>
      </c>
      <c r="W706" s="21">
        <f t="shared" ref="W706:W769" si="196">IF(AND(M706&lt;&gt;"",L706&gt;0),M706/L706,"")</f>
        <v>592837550.75014949</v>
      </c>
      <c r="X706" s="19" t="str">
        <f t="shared" ref="X706:X769" si="197">IF(AND(V706&lt;&gt;"",W706&lt;&gt;"",W706&gt;0),V706/W706,"")</f>
        <v/>
      </c>
      <c r="Y706" s="17" t="str">
        <f t="shared" ref="Y706:Y769" si="198">IF(A706&lt;620,E706*0.5,"")</f>
        <v/>
      </c>
      <c r="Z706" s="17" t="str">
        <f t="shared" ref="Z706:Z769" si="199">IF(Y706&lt;&gt;"",D706-Y706,"")</f>
        <v/>
      </c>
      <c r="AA706" s="20">
        <f t="shared" ref="AA706:AA769" si="200">IF(B706&lt;&gt;"",MAX(0.08*0.85^((B706-DATE(2020,3,16))/365.25),0.015),"")</f>
        <v>3.2564489808005824E-2</v>
      </c>
      <c r="AB706" s="17" t="str">
        <f t="shared" ref="AB706:AB769" si="201">IF(Z706&lt;&gt;"",Z706,"")</f>
        <v/>
      </c>
      <c r="AC706" s="18" t="str">
        <f t="shared" ref="AC706:AC769" si="202">IF(AB706&lt;&gt;"",AB706*L706,"")</f>
        <v/>
      </c>
      <c r="AD706" s="19" t="str">
        <f t="shared" ref="AD706:AD769" si="203">IF(AND(Y706&lt;&gt;"",D706&gt;0),Y706/D706,"")</f>
        <v/>
      </c>
    </row>
    <row r="707" spans="1:30" x14ac:dyDescent="0.25">
      <c r="A707" s="8">
        <v>856</v>
      </c>
      <c r="B707" s="9">
        <v>45928</v>
      </c>
      <c r="C707" s="10">
        <v>1.958333333333333</v>
      </c>
      <c r="D707" s="11">
        <v>142576.45677463751</v>
      </c>
      <c r="E707" s="11">
        <v>7248.5989656760012</v>
      </c>
      <c r="F707" s="11">
        <v>3518.850912261355</v>
      </c>
      <c r="G707" s="11">
        <v>35683.197735567999</v>
      </c>
      <c r="H707" s="12">
        <v>3.0851422588227501E-2</v>
      </c>
      <c r="I707" s="13">
        <v>976</v>
      </c>
      <c r="J707" s="13">
        <v>990765</v>
      </c>
      <c r="K707" s="12"/>
      <c r="L707" s="14">
        <v>203.57490000000001</v>
      </c>
      <c r="M707" s="15">
        <v>120638916848</v>
      </c>
      <c r="N707" s="16">
        <f t="shared" si="187"/>
        <v>106893.25903906951</v>
      </c>
      <c r="O707" s="17">
        <f t="shared" si="188"/>
        <v>153343.90665257486</v>
      </c>
      <c r="P707" s="18">
        <f t="shared" si="189"/>
        <v>31216970.462407265</v>
      </c>
      <c r="Q707" s="19">
        <f t="shared" si="190"/>
        <v>4.7270211930225965E-2</v>
      </c>
      <c r="R707" s="20">
        <f t="shared" si="191"/>
        <v>3.0851422588227501E-2</v>
      </c>
      <c r="S707" s="20" t="str">
        <f t="shared" si="192"/>
        <v/>
      </c>
      <c r="T707" s="20" t="str">
        <f t="shared" si="193"/>
        <v/>
      </c>
      <c r="U707" s="20" t="str">
        <f t="shared" si="194"/>
        <v/>
      </c>
      <c r="V707" s="21" t="str">
        <f t="shared" si="195"/>
        <v/>
      </c>
      <c r="W707" s="21">
        <f t="shared" si="196"/>
        <v>592602117.68739665</v>
      </c>
      <c r="X707" s="19" t="str">
        <f t="shared" si="197"/>
        <v/>
      </c>
      <c r="Y707" s="17" t="str">
        <f t="shared" si="198"/>
        <v/>
      </c>
      <c r="Z707" s="17" t="str">
        <f t="shared" si="199"/>
        <v/>
      </c>
      <c r="AA707" s="20">
        <f t="shared" si="200"/>
        <v>3.2535523391148333E-2</v>
      </c>
      <c r="AB707" s="17" t="str">
        <f t="shared" si="201"/>
        <v/>
      </c>
      <c r="AC707" s="18" t="str">
        <f t="shared" si="202"/>
        <v/>
      </c>
      <c r="AD707" s="19" t="str">
        <f t="shared" si="203"/>
        <v/>
      </c>
    </row>
    <row r="708" spans="1:30" x14ac:dyDescent="0.25">
      <c r="A708" s="8">
        <v>857</v>
      </c>
      <c r="B708" s="9">
        <v>45930</v>
      </c>
      <c r="C708" s="10">
        <v>1.958333333333333</v>
      </c>
      <c r="D708" s="11">
        <v>142482.55366281531</v>
      </c>
      <c r="E708" s="11">
        <v>9164.2477522540012</v>
      </c>
      <c r="F708" s="11">
        <v>4447.3720332797766</v>
      </c>
      <c r="G708" s="11">
        <v>35612.020736068</v>
      </c>
      <c r="H708" s="12">
        <v>3.0350130980810582E-2</v>
      </c>
      <c r="I708" s="13">
        <v>976</v>
      </c>
      <c r="J708" s="13">
        <v>997293</v>
      </c>
      <c r="K708" s="12"/>
      <c r="L708" s="14">
        <v>212.92959999999999</v>
      </c>
      <c r="M708" s="15">
        <v>126204999011</v>
      </c>
      <c r="N708" s="16">
        <f t="shared" si="187"/>
        <v>106870.53292674731</v>
      </c>
      <c r="O708" s="17">
        <f t="shared" si="188"/>
        <v>156094.17344834909</v>
      </c>
      <c r="P708" s="18">
        <f t="shared" si="189"/>
        <v>33237069.914687593</v>
      </c>
      <c r="Q708" s="19">
        <f t="shared" si="190"/>
        <v>5.8709736243207133E-2</v>
      </c>
      <c r="R708" s="20">
        <f t="shared" si="191"/>
        <v>3.0350130980810582E-2</v>
      </c>
      <c r="S708" s="20" t="str">
        <f t="shared" si="192"/>
        <v/>
      </c>
      <c r="T708" s="20" t="str">
        <f t="shared" si="193"/>
        <v/>
      </c>
      <c r="U708" s="20" t="str">
        <f t="shared" si="194"/>
        <v/>
      </c>
      <c r="V708" s="21" t="str">
        <f t="shared" si="195"/>
        <v/>
      </c>
      <c r="W708" s="21">
        <f t="shared" si="196"/>
        <v>592707632.05773175</v>
      </c>
      <c r="X708" s="19" t="str">
        <f t="shared" si="197"/>
        <v/>
      </c>
      <c r="Y708" s="17" t="str">
        <f t="shared" si="198"/>
        <v/>
      </c>
      <c r="Z708" s="17" t="str">
        <f t="shared" si="199"/>
        <v/>
      </c>
      <c r="AA708" s="20">
        <f t="shared" si="200"/>
        <v>3.2506582740188306E-2</v>
      </c>
      <c r="AB708" s="17" t="str">
        <f t="shared" si="201"/>
        <v/>
      </c>
      <c r="AC708" s="18" t="str">
        <f t="shared" si="202"/>
        <v/>
      </c>
      <c r="AD708" s="19" t="str">
        <f t="shared" si="203"/>
        <v/>
      </c>
    </row>
    <row r="709" spans="1:30" x14ac:dyDescent="0.25">
      <c r="A709" s="8">
        <v>858</v>
      </c>
      <c r="B709" s="9">
        <v>45932</v>
      </c>
      <c r="C709" s="10">
        <v>1.958333333333333</v>
      </c>
      <c r="D709" s="11">
        <v>142388.6740006803</v>
      </c>
      <c r="E709" s="11">
        <v>9050.2625078919955</v>
      </c>
      <c r="F709" s="11">
        <v>4748.314395586699</v>
      </c>
      <c r="G709" s="11">
        <v>35738.105205259999</v>
      </c>
      <c r="H709" s="12">
        <v>3.0508618338559369E-2</v>
      </c>
      <c r="I709" s="13">
        <v>981</v>
      </c>
      <c r="J709" s="13">
        <v>982223</v>
      </c>
      <c r="K709" s="12"/>
      <c r="L709" s="14">
        <v>221.21889999999999</v>
      </c>
      <c r="M709" s="15">
        <v>130910316459</v>
      </c>
      <c r="N709" s="16">
        <f t="shared" si="187"/>
        <v>106650.5687954203</v>
      </c>
      <c r="O709" s="17">
        <f t="shared" si="188"/>
        <v>156187.25090415901</v>
      </c>
      <c r="P709" s="18">
        <f t="shared" si="189"/>
        <v>34551571.83904206</v>
      </c>
      <c r="Q709" s="19">
        <f t="shared" si="190"/>
        <v>5.7944950407287067E-2</v>
      </c>
      <c r="R709" s="20">
        <f t="shared" si="191"/>
        <v>3.0508618338559369E-2</v>
      </c>
      <c r="S709" s="20" t="str">
        <f t="shared" si="192"/>
        <v/>
      </c>
      <c r="T709" s="20" t="str">
        <f t="shared" si="193"/>
        <v/>
      </c>
      <c r="U709" s="20" t="str">
        <f t="shared" si="194"/>
        <v/>
      </c>
      <c r="V709" s="21" t="str">
        <f t="shared" si="195"/>
        <v/>
      </c>
      <c r="W709" s="21">
        <f t="shared" si="196"/>
        <v>591768228.02662885</v>
      </c>
      <c r="X709" s="19" t="str">
        <f t="shared" si="197"/>
        <v/>
      </c>
      <c r="Y709" s="17" t="str">
        <f t="shared" si="198"/>
        <v/>
      </c>
      <c r="Z709" s="17" t="str">
        <f t="shared" si="199"/>
        <v/>
      </c>
      <c r="AA709" s="20">
        <f t="shared" si="200"/>
        <v>3.247766783220675E-2</v>
      </c>
      <c r="AB709" s="17" t="str">
        <f t="shared" si="201"/>
        <v/>
      </c>
      <c r="AC709" s="18" t="str">
        <f t="shared" si="202"/>
        <v/>
      </c>
      <c r="AD709" s="19" t="str">
        <f t="shared" si="203"/>
        <v/>
      </c>
    </row>
    <row r="710" spans="1:30" x14ac:dyDescent="0.25">
      <c r="A710" s="8">
        <v>859</v>
      </c>
      <c r="B710" s="9">
        <v>45934</v>
      </c>
      <c r="C710" s="10">
        <v>1.958333333333333</v>
      </c>
      <c r="D710" s="11">
        <v>142294.83058209741</v>
      </c>
      <c r="E710" s="11">
        <v>6562.0649213570032</v>
      </c>
      <c r="F710" s="11">
        <v>3102.8919584444502</v>
      </c>
      <c r="G710" s="11">
        <v>35643.358444038997</v>
      </c>
      <c r="H710" s="12">
        <v>3.0861446594678849E-2</v>
      </c>
      <c r="I710" s="13">
        <v>978</v>
      </c>
      <c r="J710" s="13">
        <v>1000434</v>
      </c>
      <c r="K710" s="12"/>
      <c r="L710" s="14">
        <v>233.06460000000001</v>
      </c>
      <c r="M710" s="15">
        <v>138659749410</v>
      </c>
      <c r="N710" s="16">
        <f t="shared" si="187"/>
        <v>106651.47213805841</v>
      </c>
      <c r="O710" s="17">
        <f t="shared" si="188"/>
        <v>151959.78746189884</v>
      </c>
      <c r="P710" s="18">
        <f t="shared" si="189"/>
        <v>35416447.080892473</v>
      </c>
      <c r="Q710" s="19">
        <f t="shared" si="190"/>
        <v>4.3182904049548776E-2</v>
      </c>
      <c r="R710" s="20">
        <f t="shared" si="191"/>
        <v>3.0861446594678849E-2</v>
      </c>
      <c r="S710" s="20" t="str">
        <f t="shared" si="192"/>
        <v/>
      </c>
      <c r="T710" s="20" t="str">
        <f t="shared" si="193"/>
        <v/>
      </c>
      <c r="U710" s="20" t="str">
        <f t="shared" si="194"/>
        <v/>
      </c>
      <c r="V710" s="21" t="str">
        <f t="shared" si="195"/>
        <v/>
      </c>
      <c r="W710" s="21">
        <f t="shared" si="196"/>
        <v>594941271.26127255</v>
      </c>
      <c r="X710" s="19" t="str">
        <f t="shared" si="197"/>
        <v/>
      </c>
      <c r="Y710" s="17" t="str">
        <f t="shared" si="198"/>
        <v/>
      </c>
      <c r="Z710" s="17" t="str">
        <f t="shared" si="199"/>
        <v/>
      </c>
      <c r="AA710" s="20">
        <f t="shared" si="200"/>
        <v>3.2448778644305037E-2</v>
      </c>
      <c r="AB710" s="17" t="str">
        <f t="shared" si="201"/>
        <v/>
      </c>
      <c r="AC710" s="18" t="str">
        <f t="shared" si="202"/>
        <v/>
      </c>
      <c r="AD710" s="19" t="str">
        <f t="shared" si="203"/>
        <v/>
      </c>
    </row>
    <row r="711" spans="1:30" x14ac:dyDescent="0.25">
      <c r="A711" s="8">
        <v>860</v>
      </c>
      <c r="B711" s="9">
        <v>45936</v>
      </c>
      <c r="C711" s="10">
        <v>1.958333333333333</v>
      </c>
      <c r="D711" s="11">
        <v>142201.03120023021</v>
      </c>
      <c r="E711" s="11">
        <v>7634.4795721260016</v>
      </c>
      <c r="F711" s="11">
        <v>4048.02585671836</v>
      </c>
      <c r="G711" s="11">
        <v>36110.489169797002</v>
      </c>
      <c r="H711" s="12">
        <v>3.1259654358157168E-2</v>
      </c>
      <c r="I711" s="13">
        <v>980</v>
      </c>
      <c r="J711" s="13">
        <v>985496</v>
      </c>
      <c r="K711" s="12"/>
      <c r="L711" s="14">
        <v>228.54429999999999</v>
      </c>
      <c r="M711" s="15">
        <v>136011602906</v>
      </c>
      <c r="N711" s="16">
        <f t="shared" si="187"/>
        <v>106090.54203043321</v>
      </c>
      <c r="O711" s="17">
        <f t="shared" si="188"/>
        <v>153883.53662907457</v>
      </c>
      <c r="P711" s="18">
        <f t="shared" si="189"/>
        <v>35169205.160416208</v>
      </c>
      <c r="Q711" s="19">
        <f t="shared" si="190"/>
        <v>4.9612062078663921E-2</v>
      </c>
      <c r="R711" s="20">
        <f t="shared" si="191"/>
        <v>3.1259654358157168E-2</v>
      </c>
      <c r="S711" s="20" t="str">
        <f t="shared" si="192"/>
        <v/>
      </c>
      <c r="T711" s="20" t="str">
        <f t="shared" si="193"/>
        <v/>
      </c>
      <c r="U711" s="20" t="str">
        <f t="shared" si="194"/>
        <v/>
      </c>
      <c r="V711" s="21" t="str">
        <f t="shared" si="195"/>
        <v/>
      </c>
      <c r="W711" s="21">
        <f t="shared" si="196"/>
        <v>595121396.18445969</v>
      </c>
      <c r="X711" s="19" t="str">
        <f t="shared" si="197"/>
        <v/>
      </c>
      <c r="Y711" s="17" t="str">
        <f t="shared" si="198"/>
        <v/>
      </c>
      <c r="Z711" s="17" t="str">
        <f t="shared" si="199"/>
        <v/>
      </c>
      <c r="AA711" s="20">
        <f t="shared" si="200"/>
        <v>3.2419915153604921E-2</v>
      </c>
      <c r="AB711" s="17" t="str">
        <f t="shared" si="201"/>
        <v/>
      </c>
      <c r="AC711" s="18" t="str">
        <f t="shared" si="202"/>
        <v/>
      </c>
      <c r="AD711" s="19" t="str">
        <f t="shared" si="203"/>
        <v/>
      </c>
    </row>
    <row r="712" spans="1:30" x14ac:dyDescent="0.25">
      <c r="A712" s="8">
        <v>861</v>
      </c>
      <c r="B712" s="9">
        <v>45938</v>
      </c>
      <c r="C712" s="10">
        <v>1.958333333333333</v>
      </c>
      <c r="D712" s="11">
        <v>142107.2581933024</v>
      </c>
      <c r="E712" s="11">
        <v>5560.5544762959971</v>
      </c>
      <c r="F712" s="11">
        <v>2787.6419925797982</v>
      </c>
      <c r="G712" s="11">
        <v>36255.697312274002</v>
      </c>
      <c r="H712" s="12">
        <v>3.136608895798166E-2</v>
      </c>
      <c r="I712" s="13">
        <v>975</v>
      </c>
      <c r="J712" s="13">
        <v>987149</v>
      </c>
      <c r="K712" s="12"/>
      <c r="L712" s="14">
        <v>220.92330000000001</v>
      </c>
      <c r="M712" s="15">
        <v>131572429829</v>
      </c>
      <c r="N712" s="16">
        <f t="shared" si="187"/>
        <v>105851.5608810284</v>
      </c>
      <c r="O712" s="17">
        <f t="shared" si="188"/>
        <v>150455.45466217821</v>
      </c>
      <c r="P712" s="18">
        <f t="shared" si="189"/>
        <v>33239115.546968795</v>
      </c>
      <c r="Q712" s="19">
        <f t="shared" si="190"/>
        <v>3.6958144779670923E-2</v>
      </c>
      <c r="R712" s="20">
        <f t="shared" si="191"/>
        <v>3.136608895798166E-2</v>
      </c>
      <c r="S712" s="20" t="str">
        <f t="shared" si="192"/>
        <v/>
      </c>
      <c r="T712" s="20" t="str">
        <f t="shared" si="193"/>
        <v/>
      </c>
      <c r="U712" s="20" t="str">
        <f t="shared" si="194"/>
        <v/>
      </c>
      <c r="V712" s="21" t="str">
        <f t="shared" si="195"/>
        <v/>
      </c>
      <c r="W712" s="21">
        <f t="shared" si="196"/>
        <v>595557054.54789054</v>
      </c>
      <c r="X712" s="19" t="str">
        <f t="shared" si="197"/>
        <v/>
      </c>
      <c r="Y712" s="17" t="str">
        <f t="shared" si="198"/>
        <v/>
      </c>
      <c r="Z712" s="17" t="str">
        <f t="shared" si="199"/>
        <v/>
      </c>
      <c r="AA712" s="20">
        <f t="shared" si="200"/>
        <v>3.2391077337248497E-2</v>
      </c>
      <c r="AB712" s="17" t="str">
        <f t="shared" si="201"/>
        <v/>
      </c>
      <c r="AC712" s="18" t="str">
        <f t="shared" si="202"/>
        <v/>
      </c>
      <c r="AD712" s="19" t="str">
        <f t="shared" si="203"/>
        <v/>
      </c>
    </row>
    <row r="713" spans="1:30" x14ac:dyDescent="0.25">
      <c r="A713" s="8">
        <v>862</v>
      </c>
      <c r="B713" s="9">
        <v>45940</v>
      </c>
      <c r="C713" s="10">
        <v>1.958333333333333</v>
      </c>
      <c r="D713" s="11">
        <v>142013.5141355466</v>
      </c>
      <c r="E713" s="11">
        <v>9796.4557704820072</v>
      </c>
      <c r="F713" s="11">
        <v>13958.08610731911</v>
      </c>
      <c r="G713" s="11">
        <v>36061.880913474</v>
      </c>
      <c r="H713" s="12">
        <v>3.1378140497318269E-2</v>
      </c>
      <c r="I713" s="13">
        <v>972</v>
      </c>
      <c r="J713" s="13">
        <v>978971</v>
      </c>
      <c r="K713" s="12"/>
      <c r="L713" s="14">
        <v>220.8065</v>
      </c>
      <c r="M713" s="15">
        <v>131477786886</v>
      </c>
      <c r="N713" s="16">
        <f t="shared" si="187"/>
        <v>105951.6332220726</v>
      </c>
      <c r="O713" s="17">
        <f t="shared" si="188"/>
        <v>165768.05601334773</v>
      </c>
      <c r="P713" s="18">
        <f t="shared" si="189"/>
        <v>36602664.260111265</v>
      </c>
      <c r="Q713" s="19">
        <f t="shared" si="190"/>
        <v>5.9097367768451071E-2</v>
      </c>
      <c r="R713" s="20">
        <f t="shared" si="191"/>
        <v>3.1378140497318269E-2</v>
      </c>
      <c r="S713" s="20" t="str">
        <f t="shared" si="192"/>
        <v/>
      </c>
      <c r="T713" s="20" t="str">
        <f t="shared" si="193"/>
        <v/>
      </c>
      <c r="U713" s="20" t="str">
        <f t="shared" si="194"/>
        <v/>
      </c>
      <c r="V713" s="21" t="str">
        <f t="shared" si="195"/>
        <v/>
      </c>
      <c r="W713" s="21">
        <f t="shared" si="196"/>
        <v>595443462.42524564</v>
      </c>
      <c r="X713" s="19" t="str">
        <f t="shared" si="197"/>
        <v/>
      </c>
      <c r="Y713" s="17" t="str">
        <f t="shared" si="198"/>
        <v/>
      </c>
      <c r="Z713" s="17" t="str">
        <f t="shared" si="199"/>
        <v/>
      </c>
      <c r="AA713" s="20">
        <f t="shared" si="200"/>
        <v>3.2362265172398194E-2</v>
      </c>
      <c r="AB713" s="17" t="str">
        <f t="shared" si="201"/>
        <v/>
      </c>
      <c r="AC713" s="18" t="str">
        <f t="shared" si="202"/>
        <v/>
      </c>
      <c r="AD713" s="19" t="str">
        <f t="shared" si="203"/>
        <v/>
      </c>
    </row>
    <row r="714" spans="1:30" x14ac:dyDescent="0.25">
      <c r="A714" s="8">
        <v>863</v>
      </c>
      <c r="B714" s="9">
        <v>45942</v>
      </c>
      <c r="C714" s="10">
        <v>1.958333333333333</v>
      </c>
      <c r="D714" s="11">
        <v>141919.781442076</v>
      </c>
      <c r="E714" s="11">
        <v>5805.4095832760022</v>
      </c>
      <c r="F714" s="11">
        <v>3392.4126569032178</v>
      </c>
      <c r="G714" s="11">
        <v>35966.465090609003</v>
      </c>
      <c r="H714" s="12">
        <v>3.1257604065377087E-2</v>
      </c>
      <c r="I714" s="13">
        <v>963</v>
      </c>
      <c r="J714" s="13">
        <v>998657</v>
      </c>
      <c r="K714" s="12"/>
      <c r="L714" s="14">
        <v>178.30619999999999</v>
      </c>
      <c r="M714" s="15">
        <v>106284941779</v>
      </c>
      <c r="N714" s="16">
        <f t="shared" si="187"/>
        <v>105953.31635146699</v>
      </c>
      <c r="O714" s="17">
        <f t="shared" si="188"/>
        <v>151117.6036822552</v>
      </c>
      <c r="P714" s="18">
        <f t="shared" si="189"/>
        <v>26945205.665688932</v>
      </c>
      <c r="Q714" s="19">
        <f t="shared" si="190"/>
        <v>3.8416501068152496E-2</v>
      </c>
      <c r="R714" s="20">
        <f t="shared" si="191"/>
        <v>3.1257604065377087E-2</v>
      </c>
      <c r="S714" s="20" t="str">
        <f t="shared" si="192"/>
        <v/>
      </c>
      <c r="T714" s="20" t="str">
        <f t="shared" si="193"/>
        <v/>
      </c>
      <c r="U714" s="20" t="str">
        <f t="shared" si="194"/>
        <v/>
      </c>
      <c r="V714" s="21" t="str">
        <f t="shared" si="195"/>
        <v/>
      </c>
      <c r="W714" s="21">
        <f t="shared" si="196"/>
        <v>596081021.18154061</v>
      </c>
      <c r="X714" s="19" t="str">
        <f t="shared" si="197"/>
        <v/>
      </c>
      <c r="Y714" s="17" t="str">
        <f t="shared" si="198"/>
        <v/>
      </c>
      <c r="Z714" s="17" t="str">
        <f t="shared" si="199"/>
        <v/>
      </c>
      <c r="AA714" s="20">
        <f t="shared" si="200"/>
        <v>3.2333478636236777E-2</v>
      </c>
      <c r="AB714" s="17" t="str">
        <f t="shared" si="201"/>
        <v/>
      </c>
      <c r="AC714" s="18" t="str">
        <f t="shared" si="202"/>
        <v/>
      </c>
      <c r="AD714" s="19" t="str">
        <f t="shared" si="203"/>
        <v/>
      </c>
    </row>
    <row r="715" spans="1:30" x14ac:dyDescent="0.25">
      <c r="A715" s="8">
        <v>864</v>
      </c>
      <c r="B715" s="9">
        <v>45944</v>
      </c>
      <c r="C715" s="10">
        <v>1.958333333333333</v>
      </c>
      <c r="D715" s="11">
        <v>141826.09628864061</v>
      </c>
      <c r="E715" s="11">
        <v>6879.1772184620004</v>
      </c>
      <c r="F715" s="11">
        <v>3524.3304100514629</v>
      </c>
      <c r="G715" s="11">
        <v>36192.850523005</v>
      </c>
      <c r="H715" s="12">
        <v>3.1257115083676769E-2</v>
      </c>
      <c r="I715" s="13">
        <v>969</v>
      </c>
      <c r="J715" s="13">
        <v>974258</v>
      </c>
      <c r="K715" s="12"/>
      <c r="L715" s="14">
        <v>207.92930000000001</v>
      </c>
      <c r="M715" s="15">
        <v>123882389097</v>
      </c>
      <c r="N715" s="16">
        <f t="shared" si="187"/>
        <v>105633.2457656356</v>
      </c>
      <c r="O715" s="17">
        <f t="shared" si="188"/>
        <v>152229.60391715405</v>
      </c>
      <c r="P715" s="18">
        <f t="shared" si="189"/>
        <v>31652994.9817711</v>
      </c>
      <c r="Q715" s="19">
        <f t="shared" si="190"/>
        <v>4.5189483789275092E-2</v>
      </c>
      <c r="R715" s="20">
        <f t="shared" si="191"/>
        <v>3.1257115083676769E-2</v>
      </c>
      <c r="S715" s="20" t="str">
        <f t="shared" si="192"/>
        <v/>
      </c>
      <c r="T715" s="20" t="str">
        <f t="shared" si="193"/>
        <v/>
      </c>
      <c r="U715" s="20" t="str">
        <f t="shared" si="194"/>
        <v/>
      </c>
      <c r="V715" s="21" t="str">
        <f t="shared" si="195"/>
        <v/>
      </c>
      <c r="W715" s="21">
        <f t="shared" si="196"/>
        <v>595790920.74565721</v>
      </c>
      <c r="X715" s="19" t="str">
        <f t="shared" si="197"/>
        <v/>
      </c>
      <c r="Y715" s="17" t="str">
        <f t="shared" si="198"/>
        <v/>
      </c>
      <c r="Z715" s="17" t="str">
        <f t="shared" si="199"/>
        <v/>
      </c>
      <c r="AA715" s="20">
        <f t="shared" si="200"/>
        <v>3.2304717705967267E-2</v>
      </c>
      <c r="AB715" s="17" t="str">
        <f t="shared" si="201"/>
        <v/>
      </c>
      <c r="AC715" s="18" t="str">
        <f t="shared" si="202"/>
        <v/>
      </c>
      <c r="AD715" s="19" t="str">
        <f t="shared" si="203"/>
        <v/>
      </c>
    </row>
    <row r="716" spans="1:30" x14ac:dyDescent="0.25">
      <c r="A716" s="8">
        <v>865</v>
      </c>
      <c r="B716" s="9">
        <v>45946</v>
      </c>
      <c r="C716" s="10">
        <v>1.958333333333333</v>
      </c>
      <c r="D716" s="11">
        <v>141732.44424392309</v>
      </c>
      <c r="E716" s="11">
        <v>6812.0238598660017</v>
      </c>
      <c r="F716" s="11">
        <v>3198.381151991473</v>
      </c>
      <c r="G716" s="11">
        <v>36574.846299662</v>
      </c>
      <c r="H716" s="12">
        <v>3.1596519895692683E-2</v>
      </c>
      <c r="I716" s="13">
        <v>971</v>
      </c>
      <c r="J716" s="13">
        <v>981267</v>
      </c>
      <c r="K716" s="12"/>
      <c r="L716" s="14">
        <v>193.96279999999999</v>
      </c>
      <c r="M716" s="15">
        <v>115741994955</v>
      </c>
      <c r="N716" s="16">
        <f t="shared" si="187"/>
        <v>105157.5979442611</v>
      </c>
      <c r="O716" s="17">
        <f t="shared" si="188"/>
        <v>151742.84925578054</v>
      </c>
      <c r="P716" s="18">
        <f t="shared" si="189"/>
        <v>29432467.921629108</v>
      </c>
      <c r="Q716" s="19">
        <f t="shared" si="190"/>
        <v>4.4891893708833217E-2</v>
      </c>
      <c r="R716" s="20">
        <f t="shared" si="191"/>
        <v>3.1596519895692683E-2</v>
      </c>
      <c r="S716" s="20" t="str">
        <f t="shared" si="192"/>
        <v/>
      </c>
      <c r="T716" s="20" t="str">
        <f t="shared" si="193"/>
        <v/>
      </c>
      <c r="U716" s="20" t="str">
        <f t="shared" si="194"/>
        <v/>
      </c>
      <c r="V716" s="21" t="str">
        <f t="shared" si="195"/>
        <v/>
      </c>
      <c r="W716" s="21">
        <f t="shared" si="196"/>
        <v>596722644.52255797</v>
      </c>
      <c r="X716" s="19" t="str">
        <f t="shared" si="197"/>
        <v/>
      </c>
      <c r="Y716" s="17" t="str">
        <f t="shared" si="198"/>
        <v/>
      </c>
      <c r="Z716" s="17" t="str">
        <f t="shared" si="199"/>
        <v/>
      </c>
      <c r="AA716" s="20">
        <f t="shared" si="200"/>
        <v>3.2275982358813002E-2</v>
      </c>
      <c r="AB716" s="17" t="str">
        <f t="shared" si="201"/>
        <v/>
      </c>
      <c r="AC716" s="18" t="str">
        <f t="shared" si="202"/>
        <v/>
      </c>
      <c r="AD716" s="19" t="str">
        <f t="shared" si="203"/>
        <v/>
      </c>
    </row>
    <row r="717" spans="1:30" x14ac:dyDescent="0.25">
      <c r="A717" s="8">
        <v>866</v>
      </c>
      <c r="B717" s="9">
        <v>45948</v>
      </c>
      <c r="C717" s="10">
        <v>1.958333333333333</v>
      </c>
      <c r="D717" s="11">
        <v>141638.81712550699</v>
      </c>
      <c r="E717" s="11">
        <v>6036.9923402140057</v>
      </c>
      <c r="F717" s="11">
        <v>2555.0624925982288</v>
      </c>
      <c r="G717" s="11">
        <v>36695.358606257003</v>
      </c>
      <c r="H717" s="12">
        <v>3.1154300313604479E-2</v>
      </c>
      <c r="I717" s="13">
        <v>965</v>
      </c>
      <c r="J717" s="13">
        <v>966295</v>
      </c>
      <c r="K717" s="12"/>
      <c r="L717" s="14">
        <v>182.07050000000001</v>
      </c>
      <c r="M717" s="15">
        <v>108598531845</v>
      </c>
      <c r="N717" s="16">
        <f t="shared" si="187"/>
        <v>104943.45851924998</v>
      </c>
      <c r="O717" s="17">
        <f t="shared" si="188"/>
        <v>150230.87195831921</v>
      </c>
      <c r="P717" s="18">
        <f t="shared" si="189"/>
        <v>27352609.972887158</v>
      </c>
      <c r="Q717" s="19">
        <f t="shared" si="190"/>
        <v>4.0184765364930708E-2</v>
      </c>
      <c r="R717" s="20">
        <f t="shared" si="191"/>
        <v>3.1154300313604479E-2</v>
      </c>
      <c r="S717" s="20" t="str">
        <f t="shared" si="192"/>
        <v/>
      </c>
      <c r="T717" s="20" t="str">
        <f t="shared" si="193"/>
        <v/>
      </c>
      <c r="U717" s="20" t="str">
        <f t="shared" si="194"/>
        <v/>
      </c>
      <c r="V717" s="21" t="str">
        <f t="shared" si="195"/>
        <v/>
      </c>
      <c r="W717" s="21">
        <f t="shared" si="196"/>
        <v>596464181.97895873</v>
      </c>
      <c r="X717" s="19" t="str">
        <f t="shared" si="197"/>
        <v/>
      </c>
      <c r="Y717" s="17" t="str">
        <f t="shared" si="198"/>
        <v/>
      </c>
      <c r="Z717" s="17" t="str">
        <f t="shared" si="199"/>
        <v/>
      </c>
      <c r="AA717" s="20">
        <f t="shared" si="200"/>
        <v>3.2247272572017559E-2</v>
      </c>
      <c r="AB717" s="17" t="str">
        <f t="shared" si="201"/>
        <v/>
      </c>
      <c r="AC717" s="18" t="str">
        <f t="shared" si="202"/>
        <v/>
      </c>
      <c r="AD717" s="19" t="str">
        <f t="shared" si="203"/>
        <v/>
      </c>
    </row>
    <row r="718" spans="1:30" x14ac:dyDescent="0.25">
      <c r="A718" s="8">
        <v>867</v>
      </c>
      <c r="B718" s="9">
        <v>45950</v>
      </c>
      <c r="C718" s="10">
        <v>1.958333333333333</v>
      </c>
      <c r="D718" s="11">
        <v>141545.24400789771</v>
      </c>
      <c r="E718" s="11">
        <v>7865.2188148950008</v>
      </c>
      <c r="F718" s="11">
        <v>3681.89956469751</v>
      </c>
      <c r="G718" s="11">
        <v>37933.767503035</v>
      </c>
      <c r="H718" s="12">
        <v>3.132139798684816E-2</v>
      </c>
      <c r="I718" s="13">
        <v>962</v>
      </c>
      <c r="J718" s="13">
        <v>970676</v>
      </c>
      <c r="K718" s="12"/>
      <c r="L718" s="14">
        <v>187.62100000000001</v>
      </c>
      <c r="M718" s="15">
        <v>111748963865</v>
      </c>
      <c r="N718" s="16">
        <f t="shared" si="187"/>
        <v>103611.47650486272</v>
      </c>
      <c r="O718" s="17">
        <f t="shared" si="188"/>
        <v>153092.36238749023</v>
      </c>
      <c r="P718" s="18">
        <f t="shared" si="189"/>
        <v>28723342.123503305</v>
      </c>
      <c r="Q718" s="19">
        <f t="shared" si="190"/>
        <v>5.1375644690800713E-2</v>
      </c>
      <c r="R718" s="20">
        <f t="shared" si="191"/>
        <v>3.132139798684816E-2</v>
      </c>
      <c r="S718" s="20" t="str">
        <f t="shared" si="192"/>
        <v/>
      </c>
      <c r="T718" s="20" t="str">
        <f t="shared" si="193"/>
        <v/>
      </c>
      <c r="U718" s="20" t="str">
        <f t="shared" si="194"/>
        <v/>
      </c>
      <c r="V718" s="21" t="str">
        <f t="shared" si="195"/>
        <v/>
      </c>
      <c r="W718" s="21">
        <f t="shared" si="196"/>
        <v>595610106.89101958</v>
      </c>
      <c r="X718" s="19" t="str">
        <f t="shared" si="197"/>
        <v/>
      </c>
      <c r="Y718" s="17" t="str">
        <f t="shared" si="198"/>
        <v/>
      </c>
      <c r="Z718" s="17" t="str">
        <f t="shared" si="199"/>
        <v/>
      </c>
      <c r="AA718" s="20">
        <f t="shared" si="200"/>
        <v>3.2218588322844743E-2</v>
      </c>
      <c r="AB718" s="17" t="str">
        <f t="shared" si="201"/>
        <v/>
      </c>
      <c r="AC718" s="18" t="str">
        <f t="shared" si="202"/>
        <v/>
      </c>
      <c r="AD718" s="19" t="str">
        <f t="shared" si="203"/>
        <v/>
      </c>
    </row>
    <row r="719" spans="1:30" x14ac:dyDescent="0.25">
      <c r="A719" s="8">
        <v>868</v>
      </c>
      <c r="B719" s="9">
        <v>45952</v>
      </c>
      <c r="C719" s="10">
        <v>1.958333333333333</v>
      </c>
      <c r="D719" s="11">
        <v>141451.69134571249</v>
      </c>
      <c r="E719" s="11">
        <v>6844.930574582002</v>
      </c>
      <c r="F719" s="11">
        <v>3060.0532102041529</v>
      </c>
      <c r="G719" s="11">
        <v>37952.360534751002</v>
      </c>
      <c r="H719" s="12">
        <v>3.1421407573209097E-2</v>
      </c>
      <c r="I719" s="13">
        <v>958</v>
      </c>
      <c r="J719" s="13">
        <v>970294</v>
      </c>
      <c r="K719" s="12"/>
      <c r="L719" s="14">
        <v>185.78989999999999</v>
      </c>
      <c r="M719" s="15">
        <v>110691116854</v>
      </c>
      <c r="N719" s="16">
        <f t="shared" si="187"/>
        <v>103499.33081096149</v>
      </c>
      <c r="O719" s="17">
        <f t="shared" si="188"/>
        <v>151356.67513049862</v>
      </c>
      <c r="P719" s="18">
        <f t="shared" si="189"/>
        <v>28120541.536827825</v>
      </c>
      <c r="Q719" s="19">
        <f t="shared" si="190"/>
        <v>4.5223843406181803E-2</v>
      </c>
      <c r="R719" s="20">
        <f t="shared" si="191"/>
        <v>3.1421407573209097E-2</v>
      </c>
      <c r="S719" s="20" t="str">
        <f t="shared" si="192"/>
        <v/>
      </c>
      <c r="T719" s="20" t="str">
        <f t="shared" si="193"/>
        <v/>
      </c>
      <c r="U719" s="20" t="str">
        <f t="shared" si="194"/>
        <v/>
      </c>
      <c r="V719" s="21" t="str">
        <f t="shared" si="195"/>
        <v/>
      </c>
      <c r="W719" s="21">
        <f t="shared" si="196"/>
        <v>595786513.98165345</v>
      </c>
      <c r="X719" s="19" t="str">
        <f t="shared" si="197"/>
        <v/>
      </c>
      <c r="Y719" s="17" t="str">
        <f t="shared" si="198"/>
        <v/>
      </c>
      <c r="Z719" s="17" t="str">
        <f t="shared" si="199"/>
        <v/>
      </c>
      <c r="AA719" s="20">
        <f t="shared" si="200"/>
        <v>3.2189929588578622E-2</v>
      </c>
      <c r="AB719" s="17" t="str">
        <f t="shared" si="201"/>
        <v/>
      </c>
      <c r="AC719" s="18" t="str">
        <f t="shared" si="202"/>
        <v/>
      </c>
      <c r="AD719" s="19" t="str">
        <f t="shared" si="203"/>
        <v/>
      </c>
    </row>
    <row r="720" spans="1:30" x14ac:dyDescent="0.25">
      <c r="A720" s="8">
        <v>869</v>
      </c>
      <c r="B720" s="9">
        <v>45954</v>
      </c>
      <c r="C720" s="10">
        <v>1.958333333333333</v>
      </c>
      <c r="D720" s="11">
        <v>141358.18419937161</v>
      </c>
      <c r="E720" s="11">
        <v>6064.933848970004</v>
      </c>
      <c r="F720" s="11">
        <v>2127.9895200146711</v>
      </c>
      <c r="G720" s="11">
        <v>38135.741542828</v>
      </c>
      <c r="H720" s="12">
        <v>3.2235361061866918E-2</v>
      </c>
      <c r="I720" s="13">
        <v>953</v>
      </c>
      <c r="J720" s="13">
        <v>974492</v>
      </c>
      <c r="K720" s="12"/>
      <c r="L720" s="14">
        <v>191.42420000000001</v>
      </c>
      <c r="M720" s="15">
        <v>114641989936</v>
      </c>
      <c r="N720" s="16">
        <f t="shared" si="187"/>
        <v>103222.4426565436</v>
      </c>
      <c r="O720" s="17">
        <f t="shared" si="188"/>
        <v>149551.1075683563</v>
      </c>
      <c r="P720" s="18">
        <f t="shared" si="189"/>
        <v>28627701.125386551</v>
      </c>
      <c r="Q720" s="19">
        <f t="shared" si="190"/>
        <v>4.0554255649346262E-2</v>
      </c>
      <c r="R720" s="20">
        <f t="shared" si="191"/>
        <v>3.2235361061866918E-2</v>
      </c>
      <c r="S720" s="20" t="str">
        <f t="shared" si="192"/>
        <v/>
      </c>
      <c r="T720" s="20" t="str">
        <f t="shared" si="193"/>
        <v/>
      </c>
      <c r="U720" s="20" t="str">
        <f t="shared" si="194"/>
        <v/>
      </c>
      <c r="V720" s="21" t="str">
        <f t="shared" si="195"/>
        <v/>
      </c>
      <c r="W720" s="21">
        <f t="shared" si="196"/>
        <v>598889742.96875727</v>
      </c>
      <c r="X720" s="19" t="str">
        <f t="shared" si="197"/>
        <v/>
      </c>
      <c r="Y720" s="17" t="str">
        <f t="shared" si="198"/>
        <v/>
      </c>
      <c r="Z720" s="17" t="str">
        <f t="shared" si="199"/>
        <v/>
      </c>
      <c r="AA720" s="20">
        <f t="shared" si="200"/>
        <v>3.2161296346523448E-2</v>
      </c>
      <c r="AB720" s="17" t="str">
        <f t="shared" si="201"/>
        <v/>
      </c>
      <c r="AC720" s="18" t="str">
        <f t="shared" si="202"/>
        <v/>
      </c>
      <c r="AD720" s="19" t="str">
        <f t="shared" si="203"/>
        <v/>
      </c>
    </row>
    <row r="721" spans="1:30" x14ac:dyDescent="0.25">
      <c r="A721" s="8">
        <v>870</v>
      </c>
      <c r="B721" s="9">
        <v>45956</v>
      </c>
      <c r="C721" s="10">
        <v>1.958333333333333</v>
      </c>
      <c r="D721" s="11">
        <v>141264.72157962469</v>
      </c>
      <c r="E721" s="11">
        <v>6690.8525971399986</v>
      </c>
      <c r="F721" s="11">
        <v>1996.240637723474</v>
      </c>
      <c r="G721" s="11">
        <v>38516.128422558002</v>
      </c>
      <c r="H721" s="12">
        <v>3.2174622606446657E-2</v>
      </c>
      <c r="I721" s="13">
        <v>949</v>
      </c>
      <c r="J721" s="13">
        <v>962920</v>
      </c>
      <c r="K721" s="12"/>
      <c r="L721" s="14">
        <v>194.011</v>
      </c>
      <c r="M721" s="15">
        <v>116293116591</v>
      </c>
      <c r="N721" s="16">
        <f t="shared" si="187"/>
        <v>102748.59315706669</v>
      </c>
      <c r="O721" s="17">
        <f t="shared" si="188"/>
        <v>149951.81481448817</v>
      </c>
      <c r="P721" s="18">
        <f t="shared" si="189"/>
        <v>29092301.543973666</v>
      </c>
      <c r="Q721" s="19">
        <f t="shared" si="190"/>
        <v>4.4620017473063198E-2</v>
      </c>
      <c r="R721" s="20">
        <f t="shared" si="191"/>
        <v>3.2174622606446657E-2</v>
      </c>
      <c r="S721" s="20" t="str">
        <f t="shared" si="192"/>
        <v/>
      </c>
      <c r="T721" s="20" t="str">
        <f t="shared" si="193"/>
        <v/>
      </c>
      <c r="U721" s="20" t="str">
        <f t="shared" si="194"/>
        <v/>
      </c>
      <c r="V721" s="21" t="str">
        <f t="shared" si="195"/>
        <v/>
      </c>
      <c r="W721" s="21">
        <f t="shared" si="196"/>
        <v>599415067.14052296</v>
      </c>
      <c r="X721" s="19" t="str">
        <f t="shared" si="197"/>
        <v/>
      </c>
      <c r="Y721" s="17" t="str">
        <f t="shared" si="198"/>
        <v/>
      </c>
      <c r="Z721" s="17" t="str">
        <f t="shared" si="199"/>
        <v/>
      </c>
      <c r="AA721" s="20">
        <f t="shared" si="200"/>
        <v>3.2132688574003643E-2</v>
      </c>
      <c r="AB721" s="17" t="str">
        <f t="shared" si="201"/>
        <v/>
      </c>
      <c r="AC721" s="18" t="str">
        <f t="shared" si="202"/>
        <v/>
      </c>
      <c r="AD721" s="19" t="str">
        <f t="shared" si="203"/>
        <v/>
      </c>
    </row>
    <row r="722" spans="1:30" x14ac:dyDescent="0.25">
      <c r="A722" s="8">
        <v>871</v>
      </c>
      <c r="B722" s="9">
        <v>45958</v>
      </c>
      <c r="C722" s="10">
        <v>1.958333333333333</v>
      </c>
      <c r="D722" s="11">
        <v>141171.290132817</v>
      </c>
      <c r="E722" s="11">
        <v>8893.2330061819976</v>
      </c>
      <c r="F722" s="11">
        <v>3474.2176910107842</v>
      </c>
      <c r="G722" s="11">
        <v>38490.80384688</v>
      </c>
      <c r="H722" s="12">
        <v>3.2320658319408578E-2</v>
      </c>
      <c r="I722" s="13">
        <v>938</v>
      </c>
      <c r="J722" s="13">
        <v>969650</v>
      </c>
      <c r="K722" s="12"/>
      <c r="L722" s="14">
        <v>198.81129999999999</v>
      </c>
      <c r="M722" s="15">
        <v>119067999452</v>
      </c>
      <c r="N722" s="16">
        <f t="shared" si="187"/>
        <v>102680.48628593699</v>
      </c>
      <c r="O722" s="17">
        <f t="shared" si="188"/>
        <v>153538.7408300098</v>
      </c>
      <c r="P722" s="18">
        <f t="shared" si="189"/>
        <v>30525236.664777327</v>
      </c>
      <c r="Q722" s="19">
        <f t="shared" si="190"/>
        <v>5.7921752895108918E-2</v>
      </c>
      <c r="R722" s="20">
        <f t="shared" si="191"/>
        <v>3.2320658319408578E-2</v>
      </c>
      <c r="S722" s="20" t="str">
        <f t="shared" si="192"/>
        <v/>
      </c>
      <c r="T722" s="20" t="str">
        <f t="shared" si="193"/>
        <v/>
      </c>
      <c r="U722" s="20" t="str">
        <f t="shared" si="194"/>
        <v/>
      </c>
      <c r="V722" s="21" t="str">
        <f t="shared" si="195"/>
        <v/>
      </c>
      <c r="W722" s="21">
        <f t="shared" si="196"/>
        <v>598899556.7756964</v>
      </c>
      <c r="X722" s="19" t="str">
        <f t="shared" si="197"/>
        <v/>
      </c>
      <c r="Y722" s="17" t="str">
        <f t="shared" si="198"/>
        <v/>
      </c>
      <c r="Z722" s="17" t="str">
        <f t="shared" si="199"/>
        <v/>
      </c>
      <c r="AA722" s="20">
        <f t="shared" si="200"/>
        <v>3.2104106248363837E-2</v>
      </c>
      <c r="AB722" s="17" t="str">
        <f t="shared" si="201"/>
        <v/>
      </c>
      <c r="AC722" s="18" t="str">
        <f t="shared" si="202"/>
        <v/>
      </c>
      <c r="AD722" s="19" t="str">
        <f t="shared" si="203"/>
        <v/>
      </c>
    </row>
    <row r="723" spans="1:30" x14ac:dyDescent="0.25">
      <c r="A723" s="8">
        <v>872</v>
      </c>
      <c r="B723" s="9">
        <v>45960</v>
      </c>
      <c r="C723" s="10">
        <v>1.958333333333333</v>
      </c>
      <c r="D723" s="11">
        <v>141077.87954337121</v>
      </c>
      <c r="E723" s="11">
        <v>8662.1733181349973</v>
      </c>
      <c r="F723" s="11">
        <v>4060.140268791446</v>
      </c>
      <c r="G723" s="11">
        <v>38564.293714234002</v>
      </c>
      <c r="H723" s="12">
        <v>3.243542351538025E-2</v>
      </c>
      <c r="I723" s="13">
        <v>924</v>
      </c>
      <c r="J723" s="13">
        <v>962494</v>
      </c>
      <c r="K723" s="12"/>
      <c r="L723" s="14">
        <v>194.22059999999999</v>
      </c>
      <c r="M723" s="15">
        <v>116308168005</v>
      </c>
      <c r="N723" s="16">
        <f t="shared" si="187"/>
        <v>102513.58582913721</v>
      </c>
      <c r="O723" s="17">
        <f t="shared" si="188"/>
        <v>153800.19313029764</v>
      </c>
      <c r="P723" s="18">
        <f t="shared" si="189"/>
        <v>29871165.789882284</v>
      </c>
      <c r="Q723" s="19">
        <f t="shared" si="190"/>
        <v>5.6320952151188194E-2</v>
      </c>
      <c r="R723" s="20">
        <f t="shared" si="191"/>
        <v>3.243542351538025E-2</v>
      </c>
      <c r="S723" s="20" t="str">
        <f t="shared" si="192"/>
        <v/>
      </c>
      <c r="T723" s="20" t="str">
        <f t="shared" si="193"/>
        <v/>
      </c>
      <c r="U723" s="20" t="str">
        <f t="shared" si="194"/>
        <v/>
      </c>
      <c r="V723" s="21" t="str">
        <f t="shared" si="195"/>
        <v/>
      </c>
      <c r="W723" s="21">
        <f t="shared" si="196"/>
        <v>598845683.74827385</v>
      </c>
      <c r="X723" s="19" t="str">
        <f t="shared" si="197"/>
        <v/>
      </c>
      <c r="Y723" s="17" t="str">
        <f t="shared" si="198"/>
        <v/>
      </c>
      <c r="Z723" s="17" t="str">
        <f t="shared" si="199"/>
        <v/>
      </c>
      <c r="AA723" s="20">
        <f t="shared" si="200"/>
        <v>3.2075549346968789E-2</v>
      </c>
      <c r="AB723" s="17" t="str">
        <f t="shared" si="201"/>
        <v/>
      </c>
      <c r="AC723" s="18" t="str">
        <f t="shared" si="202"/>
        <v/>
      </c>
      <c r="AD723" s="19" t="str">
        <f t="shared" si="203"/>
        <v/>
      </c>
    </row>
    <row r="724" spans="1:30" x14ac:dyDescent="0.25">
      <c r="A724" s="8">
        <v>873</v>
      </c>
      <c r="B724" s="9">
        <v>45962</v>
      </c>
      <c r="C724" s="10">
        <v>2</v>
      </c>
      <c r="D724" s="11">
        <v>140984.50148529801</v>
      </c>
      <c r="E724" s="11">
        <v>6941.5250669320012</v>
      </c>
      <c r="F724" s="11">
        <v>2719.7641094046021</v>
      </c>
      <c r="G724" s="11">
        <v>38507.342108716002</v>
      </c>
      <c r="H724" s="12">
        <v>3.2361552013945173E-2</v>
      </c>
      <c r="I724" s="13">
        <v>916</v>
      </c>
      <c r="J724" s="13">
        <v>961666</v>
      </c>
      <c r="K724" s="12"/>
      <c r="L724" s="14">
        <v>187.2627</v>
      </c>
      <c r="M724" s="15">
        <v>112805860579</v>
      </c>
      <c r="N724" s="16">
        <f t="shared" si="187"/>
        <v>102477.15937658201</v>
      </c>
      <c r="O724" s="17">
        <f t="shared" si="188"/>
        <v>150645.79066163462</v>
      </c>
      <c r="P724" s="18">
        <f t="shared" si="189"/>
        <v>28210337.502932485</v>
      </c>
      <c r="Q724" s="19">
        <f t="shared" si="190"/>
        <v>4.6078453546195358E-2</v>
      </c>
      <c r="R724" s="20">
        <f t="shared" si="191"/>
        <v>3.2361552013945173E-2</v>
      </c>
      <c r="S724" s="20" t="str">
        <f t="shared" si="192"/>
        <v/>
      </c>
      <c r="T724" s="20" t="str">
        <f t="shared" si="193"/>
        <v/>
      </c>
      <c r="U724" s="20" t="str">
        <f t="shared" si="194"/>
        <v/>
      </c>
      <c r="V724" s="21" t="str">
        <f t="shared" si="195"/>
        <v/>
      </c>
      <c r="W724" s="21">
        <f t="shared" si="196"/>
        <v>602393645.81948245</v>
      </c>
      <c r="X724" s="19" t="str">
        <f t="shared" si="197"/>
        <v/>
      </c>
      <c r="Y724" s="17" t="str">
        <f t="shared" si="198"/>
        <v/>
      </c>
      <c r="Z724" s="17" t="str">
        <f t="shared" si="199"/>
        <v/>
      </c>
      <c r="AA724" s="20">
        <f t="shared" si="200"/>
        <v>3.2047017847203388E-2</v>
      </c>
      <c r="AB724" s="17" t="str">
        <f t="shared" si="201"/>
        <v/>
      </c>
      <c r="AC724" s="18" t="str">
        <f t="shared" si="202"/>
        <v/>
      </c>
      <c r="AD724" s="19" t="str">
        <f t="shared" si="203"/>
        <v/>
      </c>
    </row>
    <row r="725" spans="1:30" x14ac:dyDescent="0.25">
      <c r="A725" s="8">
        <v>874</v>
      </c>
      <c r="B725" s="9">
        <v>45964</v>
      </c>
      <c r="C725" s="10">
        <v>2</v>
      </c>
      <c r="D725" s="11">
        <v>140891.1710795626</v>
      </c>
      <c r="E725" s="11">
        <v>9324.8991291679977</v>
      </c>
      <c r="F725" s="11">
        <v>4917.2901078786899</v>
      </c>
      <c r="G725" s="11">
        <v>38188.949019624997</v>
      </c>
      <c r="H725" s="12">
        <v>3.2212837028814743E-2</v>
      </c>
      <c r="I725" s="13">
        <v>910</v>
      </c>
      <c r="J725" s="13">
        <v>956742</v>
      </c>
      <c r="K725" s="12"/>
      <c r="L725" s="14">
        <v>187.19630000000001</v>
      </c>
      <c r="M725" s="15">
        <v>112611946651</v>
      </c>
      <c r="N725" s="16">
        <f t="shared" si="187"/>
        <v>102702.2220599376</v>
      </c>
      <c r="O725" s="17">
        <f t="shared" si="188"/>
        <v>155133.36031660927</v>
      </c>
      <c r="P725" s="18">
        <f t="shared" si="189"/>
        <v>29040391.057836086</v>
      </c>
      <c r="Q725" s="19">
        <f t="shared" si="190"/>
        <v>6.0108922478936545E-2</v>
      </c>
      <c r="R725" s="20">
        <f t="shared" si="191"/>
        <v>3.2212837028814743E-2</v>
      </c>
      <c r="S725" s="20" t="str">
        <f t="shared" si="192"/>
        <v/>
      </c>
      <c r="T725" s="20" t="str">
        <f t="shared" si="193"/>
        <v/>
      </c>
      <c r="U725" s="20" t="str">
        <f t="shared" si="194"/>
        <v/>
      </c>
      <c r="V725" s="21" t="str">
        <f t="shared" si="195"/>
        <v/>
      </c>
      <c r="W725" s="21">
        <f t="shared" si="196"/>
        <v>601571434.10954165</v>
      </c>
      <c r="X725" s="19" t="str">
        <f t="shared" si="197"/>
        <v/>
      </c>
      <c r="Y725" s="17" t="str">
        <f t="shared" si="198"/>
        <v/>
      </c>
      <c r="Z725" s="17" t="str">
        <f t="shared" si="199"/>
        <v/>
      </c>
      <c r="AA725" s="20">
        <f t="shared" si="200"/>
        <v>3.2018511726472659E-2</v>
      </c>
      <c r="AB725" s="17" t="str">
        <f t="shared" si="201"/>
        <v/>
      </c>
      <c r="AC725" s="18" t="str">
        <f t="shared" si="202"/>
        <v/>
      </c>
      <c r="AD725" s="19" t="str">
        <f t="shared" si="203"/>
        <v/>
      </c>
    </row>
    <row r="726" spans="1:30" x14ac:dyDescent="0.25">
      <c r="A726" s="8">
        <v>875</v>
      </c>
      <c r="B726" s="9">
        <v>45966</v>
      </c>
      <c r="C726" s="10">
        <v>2</v>
      </c>
      <c r="D726" s="11">
        <v>140797.8545271366</v>
      </c>
      <c r="E726" s="11">
        <v>8996.7552135869973</v>
      </c>
      <c r="F726" s="11">
        <v>3163.5737201297429</v>
      </c>
      <c r="G726" s="11">
        <v>38023.879968153997</v>
      </c>
      <c r="H726" s="12">
        <v>3.2010900698680692E-2</v>
      </c>
      <c r="I726" s="13">
        <v>904</v>
      </c>
      <c r="J726" s="13">
        <v>958671</v>
      </c>
      <c r="K726" s="12"/>
      <c r="L726" s="14">
        <v>155.51339999999999</v>
      </c>
      <c r="M726" s="15">
        <v>93726407049</v>
      </c>
      <c r="N726" s="16">
        <f t="shared" si="187"/>
        <v>102773.97455898261</v>
      </c>
      <c r="O726" s="17">
        <f t="shared" si="188"/>
        <v>152958.18346085332</v>
      </c>
      <c r="P726" s="18">
        <f t="shared" si="189"/>
        <v>23787047.167821065</v>
      </c>
      <c r="Q726" s="19">
        <f t="shared" si="190"/>
        <v>5.8818397355572295E-2</v>
      </c>
      <c r="R726" s="20">
        <f t="shared" si="191"/>
        <v>3.2010900698680692E-2</v>
      </c>
      <c r="S726" s="20" t="str">
        <f t="shared" si="192"/>
        <v/>
      </c>
      <c r="T726" s="20" t="str">
        <f t="shared" si="193"/>
        <v/>
      </c>
      <c r="U726" s="20" t="str">
        <f t="shared" si="194"/>
        <v/>
      </c>
      <c r="V726" s="21" t="str">
        <f t="shared" si="195"/>
        <v/>
      </c>
      <c r="W726" s="21">
        <f t="shared" si="196"/>
        <v>602690231.51059651</v>
      </c>
      <c r="X726" s="19" t="str">
        <f t="shared" si="197"/>
        <v/>
      </c>
      <c r="Y726" s="17" t="str">
        <f t="shared" si="198"/>
        <v/>
      </c>
      <c r="Z726" s="17" t="str">
        <f t="shared" si="199"/>
        <v/>
      </c>
      <c r="AA726" s="20">
        <f t="shared" si="200"/>
        <v>3.199003096220171E-2</v>
      </c>
      <c r="AB726" s="17" t="str">
        <f t="shared" si="201"/>
        <v/>
      </c>
      <c r="AC726" s="18" t="str">
        <f t="shared" si="202"/>
        <v/>
      </c>
      <c r="AD726" s="19" t="str">
        <f t="shared" si="203"/>
        <v/>
      </c>
    </row>
    <row r="727" spans="1:30" x14ac:dyDescent="0.25">
      <c r="A727" s="8">
        <v>876</v>
      </c>
      <c r="B727" s="9">
        <v>45968</v>
      </c>
      <c r="C727" s="10">
        <v>2</v>
      </c>
      <c r="D727" s="11">
        <v>140704.58961949559</v>
      </c>
      <c r="E727" s="11">
        <v>7690.8256698510013</v>
      </c>
      <c r="F727" s="11">
        <v>2541.993020349767</v>
      </c>
      <c r="G727" s="11">
        <v>37502.114158258002</v>
      </c>
      <c r="H727" s="12">
        <v>3.1718710859604003E-2</v>
      </c>
      <c r="I727" s="13">
        <v>884</v>
      </c>
      <c r="J727" s="13">
        <v>951688</v>
      </c>
      <c r="K727" s="12"/>
      <c r="L727" s="14">
        <v>154.84889999999999</v>
      </c>
      <c r="M727" s="15">
        <v>93307040722</v>
      </c>
      <c r="N727" s="16">
        <f t="shared" si="187"/>
        <v>103202.47546123758</v>
      </c>
      <c r="O727" s="17">
        <f t="shared" si="188"/>
        <v>150937.40830969636</v>
      </c>
      <c r="P727" s="18">
        <f t="shared" si="189"/>
        <v>23372491.645607337</v>
      </c>
      <c r="Q727" s="19">
        <f t="shared" si="190"/>
        <v>5.0953741395047762E-2</v>
      </c>
      <c r="R727" s="20">
        <f t="shared" si="191"/>
        <v>3.1718710859604003E-2</v>
      </c>
      <c r="S727" s="20" t="str">
        <f t="shared" si="192"/>
        <v/>
      </c>
      <c r="T727" s="20" t="str">
        <f t="shared" si="193"/>
        <v/>
      </c>
      <c r="U727" s="20" t="str">
        <f t="shared" si="194"/>
        <v/>
      </c>
      <c r="V727" s="21" t="str">
        <f t="shared" si="195"/>
        <v/>
      </c>
      <c r="W727" s="21">
        <f t="shared" si="196"/>
        <v>602568314.80236542</v>
      </c>
      <c r="X727" s="19" t="str">
        <f t="shared" si="197"/>
        <v/>
      </c>
      <c r="Y727" s="17" t="str">
        <f t="shared" si="198"/>
        <v/>
      </c>
      <c r="Z727" s="17" t="str">
        <f t="shared" si="199"/>
        <v/>
      </c>
      <c r="AA727" s="20">
        <f t="shared" si="200"/>
        <v>3.1961575531835734E-2</v>
      </c>
      <c r="AB727" s="17" t="str">
        <f t="shared" si="201"/>
        <v/>
      </c>
      <c r="AC727" s="18" t="str">
        <f t="shared" si="202"/>
        <v/>
      </c>
      <c r="AD727" s="19" t="str">
        <f t="shared" si="203"/>
        <v/>
      </c>
    </row>
    <row r="728" spans="1:30" x14ac:dyDescent="0.25">
      <c r="A728" s="8">
        <v>877</v>
      </c>
      <c r="B728" s="9">
        <v>45970</v>
      </c>
      <c r="C728" s="10">
        <v>2</v>
      </c>
      <c r="D728" s="11">
        <v>140611.36709545809</v>
      </c>
      <c r="E728" s="11">
        <v>8102.5508698269996</v>
      </c>
      <c r="F728" s="11">
        <v>3169.256588439177</v>
      </c>
      <c r="G728" s="11">
        <v>37241.059731499998</v>
      </c>
      <c r="H728" s="12">
        <v>3.1405310274248553E-2</v>
      </c>
      <c r="I728" s="13">
        <v>891</v>
      </c>
      <c r="J728" s="13">
        <v>962766</v>
      </c>
      <c r="K728" s="12"/>
      <c r="L728" s="14">
        <v>158.15620000000001</v>
      </c>
      <c r="M728" s="15">
        <v>95492012518</v>
      </c>
      <c r="N728" s="16">
        <f t="shared" si="187"/>
        <v>103370.3073639581</v>
      </c>
      <c r="O728" s="17">
        <f t="shared" si="188"/>
        <v>151883.17455372427</v>
      </c>
      <c r="P728" s="18">
        <f t="shared" si="189"/>
        <v>24021265.731353726</v>
      </c>
      <c r="Q728" s="19">
        <f t="shared" si="190"/>
        <v>5.3347257809395844E-2</v>
      </c>
      <c r="R728" s="20">
        <f t="shared" si="191"/>
        <v>3.1405310274248553E-2</v>
      </c>
      <c r="S728" s="20" t="str">
        <f t="shared" si="192"/>
        <v/>
      </c>
      <c r="T728" s="20" t="str">
        <f t="shared" si="193"/>
        <v/>
      </c>
      <c r="U728" s="20" t="str">
        <f t="shared" si="194"/>
        <v/>
      </c>
      <c r="V728" s="21" t="str">
        <f t="shared" si="195"/>
        <v/>
      </c>
      <c r="W728" s="21">
        <f t="shared" si="196"/>
        <v>603782921.68122399</v>
      </c>
      <c r="X728" s="19" t="str">
        <f t="shared" si="197"/>
        <v/>
      </c>
      <c r="Y728" s="17" t="str">
        <f t="shared" si="198"/>
        <v/>
      </c>
      <c r="Z728" s="17" t="str">
        <f t="shared" si="199"/>
        <v/>
      </c>
      <c r="AA728" s="20">
        <f t="shared" si="200"/>
        <v>3.1933145412839987E-2</v>
      </c>
      <c r="AB728" s="17" t="str">
        <f t="shared" si="201"/>
        <v/>
      </c>
      <c r="AC728" s="18" t="str">
        <f t="shared" si="202"/>
        <v/>
      </c>
      <c r="AD728" s="19" t="str">
        <f t="shared" si="203"/>
        <v/>
      </c>
    </row>
    <row r="729" spans="1:30" x14ac:dyDescent="0.25">
      <c r="A729" s="8">
        <v>878</v>
      </c>
      <c r="B729" s="9">
        <v>45972</v>
      </c>
      <c r="C729" s="10">
        <v>2</v>
      </c>
      <c r="D729" s="11">
        <v>140518.17544186421</v>
      </c>
      <c r="E729" s="11">
        <v>9273.7096951319982</v>
      </c>
      <c r="F729" s="11">
        <v>4100.1691590637629</v>
      </c>
      <c r="G729" s="11">
        <v>37252.535572007</v>
      </c>
      <c r="H729" s="12">
        <v>3.1512971233376437E-2</v>
      </c>
      <c r="I729" s="13">
        <v>881</v>
      </c>
      <c r="J729" s="13">
        <v>958295</v>
      </c>
      <c r="K729" s="12"/>
      <c r="L729" s="14">
        <v>167.54839999999999</v>
      </c>
      <c r="M729" s="15">
        <v>101271972387</v>
      </c>
      <c r="N729" s="16">
        <f t="shared" si="187"/>
        <v>103265.6398698572</v>
      </c>
      <c r="O729" s="17">
        <f t="shared" si="188"/>
        <v>153892.05429605997</v>
      </c>
      <c r="P729" s="18">
        <f t="shared" si="189"/>
        <v>25784367.470017973</v>
      </c>
      <c r="Q729" s="19">
        <f t="shared" si="190"/>
        <v>6.0261133932822085E-2</v>
      </c>
      <c r="R729" s="20">
        <f t="shared" si="191"/>
        <v>3.1512971233376437E-2</v>
      </c>
      <c r="S729" s="20" t="str">
        <f t="shared" si="192"/>
        <v/>
      </c>
      <c r="T729" s="20" t="str">
        <f t="shared" si="193"/>
        <v/>
      </c>
      <c r="U729" s="20" t="str">
        <f t="shared" si="194"/>
        <v/>
      </c>
      <c r="V729" s="21" t="str">
        <f t="shared" si="195"/>
        <v/>
      </c>
      <c r="W729" s="21">
        <f t="shared" si="196"/>
        <v>604434135.96906924</v>
      </c>
      <c r="X729" s="19" t="str">
        <f t="shared" si="197"/>
        <v/>
      </c>
      <c r="Y729" s="17" t="str">
        <f t="shared" si="198"/>
        <v/>
      </c>
      <c r="Z729" s="17" t="str">
        <f t="shared" si="199"/>
        <v/>
      </c>
      <c r="AA729" s="20">
        <f t="shared" si="200"/>
        <v>3.1904740582699764E-2</v>
      </c>
      <c r="AB729" s="17" t="str">
        <f t="shared" si="201"/>
        <v/>
      </c>
      <c r="AC729" s="18" t="str">
        <f t="shared" si="202"/>
        <v/>
      </c>
      <c r="AD729" s="19" t="str">
        <f t="shared" si="203"/>
        <v/>
      </c>
    </row>
    <row r="730" spans="1:30" x14ac:dyDescent="0.25">
      <c r="A730" s="8">
        <v>879</v>
      </c>
      <c r="B730" s="9">
        <v>45974</v>
      </c>
      <c r="C730" s="10">
        <v>2</v>
      </c>
      <c r="D730" s="11">
        <v>140425.00411970509</v>
      </c>
      <c r="E730" s="11">
        <v>7494.8471024849987</v>
      </c>
      <c r="F730" s="11">
        <v>3087.015954438652</v>
      </c>
      <c r="G730" s="11">
        <v>37226.287646602999</v>
      </c>
      <c r="H730" s="12">
        <v>3.1422418967876099E-2</v>
      </c>
      <c r="I730" s="13">
        <v>867</v>
      </c>
      <c r="J730" s="13">
        <v>961766</v>
      </c>
      <c r="K730" s="12"/>
      <c r="L730" s="14">
        <v>153.1952</v>
      </c>
      <c r="M730" s="15">
        <v>92532688105</v>
      </c>
      <c r="N730" s="16">
        <f t="shared" si="187"/>
        <v>103198.71647310209</v>
      </c>
      <c r="O730" s="17">
        <f t="shared" si="188"/>
        <v>151006.86717662873</v>
      </c>
      <c r="P730" s="18">
        <f t="shared" si="189"/>
        <v>23133527.218497075</v>
      </c>
      <c r="Q730" s="19">
        <f t="shared" si="190"/>
        <v>4.9632491837066424E-2</v>
      </c>
      <c r="R730" s="20">
        <f t="shared" si="191"/>
        <v>3.1422418967876099E-2</v>
      </c>
      <c r="S730" s="20" t="str">
        <f t="shared" si="192"/>
        <v/>
      </c>
      <c r="T730" s="20" t="str">
        <f t="shared" si="193"/>
        <v/>
      </c>
      <c r="U730" s="20" t="str">
        <f t="shared" si="194"/>
        <v/>
      </c>
      <c r="V730" s="21" t="str">
        <f t="shared" si="195"/>
        <v/>
      </c>
      <c r="W730" s="21">
        <f t="shared" si="196"/>
        <v>604018194.46692848</v>
      </c>
      <c r="X730" s="19" t="str">
        <f t="shared" si="197"/>
        <v/>
      </c>
      <c r="Y730" s="17" t="str">
        <f t="shared" si="198"/>
        <v/>
      </c>
      <c r="Z730" s="17" t="str">
        <f t="shared" si="199"/>
        <v/>
      </c>
      <c r="AA730" s="20">
        <f t="shared" si="200"/>
        <v>3.1876361018920413E-2</v>
      </c>
      <c r="AB730" s="17" t="str">
        <f t="shared" si="201"/>
        <v/>
      </c>
      <c r="AC730" s="18" t="str">
        <f t="shared" si="202"/>
        <v/>
      </c>
      <c r="AD730" s="19" t="str">
        <f t="shared" si="203"/>
        <v/>
      </c>
    </row>
    <row r="731" spans="1:30" x14ac:dyDescent="0.25">
      <c r="A731" s="8">
        <v>880</v>
      </c>
      <c r="B731" s="9">
        <v>45976</v>
      </c>
      <c r="C731" s="10">
        <v>2</v>
      </c>
      <c r="D731" s="11">
        <v>140331.87044327139</v>
      </c>
      <c r="E731" s="11">
        <v>6296.1511131419966</v>
      </c>
      <c r="F731" s="11">
        <v>2188.2753129553698</v>
      </c>
      <c r="G731" s="11">
        <v>37291.438623727001</v>
      </c>
      <c r="H731" s="12">
        <v>3.1666794517059831E-2</v>
      </c>
      <c r="I731" s="13">
        <v>871</v>
      </c>
      <c r="J731" s="13">
        <v>960663</v>
      </c>
      <c r="K731" s="12"/>
      <c r="L731" s="14">
        <v>139.00280000000001</v>
      </c>
      <c r="M731" s="15">
        <v>84099771369</v>
      </c>
      <c r="N731" s="16">
        <f t="shared" si="187"/>
        <v>103040.43181954438</v>
      </c>
      <c r="O731" s="17">
        <f t="shared" si="188"/>
        <v>148816.29686936876</v>
      </c>
      <c r="P731" s="18">
        <f t="shared" si="189"/>
        <v>20685881.950473491</v>
      </c>
      <c r="Q731" s="19">
        <f t="shared" si="190"/>
        <v>4.2308209823745113E-2</v>
      </c>
      <c r="R731" s="20">
        <f t="shared" si="191"/>
        <v>3.1666794517059831E-2</v>
      </c>
      <c r="S731" s="20" t="str">
        <f t="shared" si="192"/>
        <v/>
      </c>
      <c r="T731" s="20" t="str">
        <f t="shared" si="193"/>
        <v/>
      </c>
      <c r="U731" s="20" t="str">
        <f t="shared" si="194"/>
        <v/>
      </c>
      <c r="V731" s="21" t="str">
        <f t="shared" si="195"/>
        <v/>
      </c>
      <c r="W731" s="21">
        <f t="shared" si="196"/>
        <v>605022138.8993603</v>
      </c>
      <c r="X731" s="19" t="str">
        <f t="shared" si="197"/>
        <v/>
      </c>
      <c r="Y731" s="17" t="str">
        <f t="shared" si="198"/>
        <v/>
      </c>
      <c r="Z731" s="17" t="str">
        <f t="shared" si="199"/>
        <v/>
      </c>
      <c r="AA731" s="20">
        <f t="shared" si="200"/>
        <v>3.1848006699027244E-2</v>
      </c>
      <c r="AB731" s="17" t="str">
        <f t="shared" si="201"/>
        <v/>
      </c>
      <c r="AC731" s="18" t="str">
        <f t="shared" si="202"/>
        <v/>
      </c>
      <c r="AD731" s="19" t="str">
        <f t="shared" si="203"/>
        <v/>
      </c>
    </row>
    <row r="732" spans="1:30" x14ac:dyDescent="0.25">
      <c r="A732" s="8">
        <v>881</v>
      </c>
      <c r="B732" s="9">
        <v>45978</v>
      </c>
      <c r="C732" s="10">
        <v>1.958333333333333</v>
      </c>
      <c r="D732" s="11">
        <v>140238.7870678787</v>
      </c>
      <c r="E732" s="11">
        <v>7171.2164469170002</v>
      </c>
      <c r="F732" s="11">
        <v>2812.191690664994</v>
      </c>
      <c r="G732" s="11">
        <v>37282.413479233001</v>
      </c>
      <c r="H732" s="12">
        <v>3.1621731240483723E-2</v>
      </c>
      <c r="I732" s="13">
        <v>864</v>
      </c>
      <c r="J732" s="13">
        <v>967863</v>
      </c>
      <c r="K732" s="12"/>
      <c r="L732" s="14">
        <v>137.49760000000001</v>
      </c>
      <c r="M732" s="15">
        <v>83113249074</v>
      </c>
      <c r="N732" s="16">
        <f t="shared" si="187"/>
        <v>102956.3735886457</v>
      </c>
      <c r="O732" s="17">
        <f t="shared" si="188"/>
        <v>150222.19520546071</v>
      </c>
      <c r="P732" s="18">
        <f t="shared" si="189"/>
        <v>20655191.307482354</v>
      </c>
      <c r="Q732" s="19">
        <f t="shared" si="190"/>
        <v>4.7737396175770434E-2</v>
      </c>
      <c r="R732" s="20">
        <f t="shared" si="191"/>
        <v>3.1621731240483723E-2</v>
      </c>
      <c r="S732" s="20" t="str">
        <f t="shared" si="192"/>
        <v/>
      </c>
      <c r="T732" s="20" t="str">
        <f t="shared" si="193"/>
        <v/>
      </c>
      <c r="U732" s="20" t="str">
        <f t="shared" si="194"/>
        <v/>
      </c>
      <c r="V732" s="21" t="str">
        <f t="shared" si="195"/>
        <v/>
      </c>
      <c r="W732" s="21">
        <f t="shared" si="196"/>
        <v>604470544.02404118</v>
      </c>
      <c r="X732" s="19" t="str">
        <f t="shared" si="197"/>
        <v/>
      </c>
      <c r="Y732" s="17" t="str">
        <f t="shared" si="198"/>
        <v/>
      </c>
      <c r="Z732" s="17" t="str">
        <f t="shared" si="199"/>
        <v/>
      </c>
      <c r="AA732" s="20">
        <f t="shared" si="200"/>
        <v>3.1819677600565595E-2</v>
      </c>
      <c r="AB732" s="17" t="str">
        <f t="shared" si="201"/>
        <v/>
      </c>
      <c r="AC732" s="18" t="str">
        <f t="shared" si="202"/>
        <v/>
      </c>
      <c r="AD732" s="19" t="str">
        <f t="shared" si="203"/>
        <v/>
      </c>
    </row>
    <row r="733" spans="1:30" x14ac:dyDescent="0.25">
      <c r="A733" s="8">
        <v>882</v>
      </c>
      <c r="B733" s="9">
        <v>45980</v>
      </c>
      <c r="C733" s="10">
        <v>1.958333333333333</v>
      </c>
      <c r="D733" s="11">
        <v>140145.72602567129</v>
      </c>
      <c r="E733" s="11">
        <v>7275.4605219879968</v>
      </c>
      <c r="F733" s="11">
        <v>2778.9599892894698</v>
      </c>
      <c r="G733" s="11">
        <v>37519.277052092002</v>
      </c>
      <c r="H733" s="12">
        <v>3.1963684862161168E-2</v>
      </c>
      <c r="I733" s="13">
        <v>872</v>
      </c>
      <c r="J733" s="13">
        <v>958476</v>
      </c>
      <c r="K733" s="12"/>
      <c r="L733" s="14">
        <v>140.60159999999999</v>
      </c>
      <c r="M733" s="15">
        <v>84988022809</v>
      </c>
      <c r="N733" s="16">
        <f t="shared" si="187"/>
        <v>102626.44897357929</v>
      </c>
      <c r="O733" s="17">
        <f t="shared" si="188"/>
        <v>150200.14653694874</v>
      </c>
      <c r="P733" s="18">
        <f t="shared" si="189"/>
        <v>21118380.92332945</v>
      </c>
      <c r="Q733" s="19">
        <f t="shared" si="190"/>
        <v>4.8438438242124203E-2</v>
      </c>
      <c r="R733" s="20">
        <f t="shared" si="191"/>
        <v>3.1963684862161168E-2</v>
      </c>
      <c r="S733" s="20" t="str">
        <f t="shared" si="192"/>
        <v/>
      </c>
      <c r="T733" s="20" t="str">
        <f t="shared" si="193"/>
        <v/>
      </c>
      <c r="U733" s="20" t="str">
        <f t="shared" si="194"/>
        <v/>
      </c>
      <c r="V733" s="21" t="str">
        <f t="shared" si="195"/>
        <v/>
      </c>
      <c r="W733" s="21">
        <f t="shared" si="196"/>
        <v>604459855.42838776</v>
      </c>
      <c r="X733" s="19" t="str">
        <f t="shared" si="197"/>
        <v/>
      </c>
      <c r="Y733" s="17" t="str">
        <f t="shared" si="198"/>
        <v/>
      </c>
      <c r="Z733" s="17" t="str">
        <f t="shared" si="199"/>
        <v/>
      </c>
      <c r="AA733" s="20">
        <f t="shared" si="200"/>
        <v>3.1791373701100779E-2</v>
      </c>
      <c r="AB733" s="17" t="str">
        <f t="shared" si="201"/>
        <v/>
      </c>
      <c r="AC733" s="18" t="str">
        <f t="shared" si="202"/>
        <v/>
      </c>
      <c r="AD733" s="19" t="str">
        <f t="shared" si="203"/>
        <v/>
      </c>
    </row>
    <row r="734" spans="1:30" x14ac:dyDescent="0.25">
      <c r="A734" s="8">
        <v>883</v>
      </c>
      <c r="B734" s="9">
        <v>45982</v>
      </c>
      <c r="C734" s="10">
        <v>1.958333333333333</v>
      </c>
      <c r="D734" s="11">
        <v>140052.6907444266</v>
      </c>
      <c r="E734" s="11">
        <v>6681.846717911003</v>
      </c>
      <c r="F734" s="11">
        <v>2496.727200489569</v>
      </c>
      <c r="G734" s="11">
        <v>38014.045708411002</v>
      </c>
      <c r="H734" s="12">
        <v>3.2060197948820923E-2</v>
      </c>
      <c r="I734" s="13">
        <v>863</v>
      </c>
      <c r="J734" s="13">
        <v>970552</v>
      </c>
      <c r="K734" s="12"/>
      <c r="L734" s="14">
        <v>133.60339999999999</v>
      </c>
      <c r="M734" s="15">
        <v>81619158337</v>
      </c>
      <c r="N734" s="16">
        <f t="shared" si="187"/>
        <v>102038.6450360156</v>
      </c>
      <c r="O734" s="17">
        <f t="shared" si="188"/>
        <v>149231.26466282719</v>
      </c>
      <c r="P734" s="18">
        <f t="shared" si="189"/>
        <v>19937804.345253564</v>
      </c>
      <c r="Q734" s="19">
        <f t="shared" si="190"/>
        <v>4.4775112862629377E-2</v>
      </c>
      <c r="R734" s="20">
        <f t="shared" si="191"/>
        <v>3.2060197948820923E-2</v>
      </c>
      <c r="S734" s="20" t="str">
        <f t="shared" si="192"/>
        <v/>
      </c>
      <c r="T734" s="20" t="str">
        <f t="shared" si="193"/>
        <v/>
      </c>
      <c r="U734" s="20" t="str">
        <f t="shared" si="194"/>
        <v/>
      </c>
      <c r="V734" s="21" t="str">
        <f t="shared" si="195"/>
        <v/>
      </c>
      <c r="W734" s="21">
        <f t="shared" si="196"/>
        <v>610906296.82328451</v>
      </c>
      <c r="X734" s="19" t="str">
        <f t="shared" si="197"/>
        <v/>
      </c>
      <c r="Y734" s="17" t="str">
        <f t="shared" si="198"/>
        <v/>
      </c>
      <c r="Z734" s="17" t="str">
        <f t="shared" si="199"/>
        <v/>
      </c>
      <c r="AA734" s="20">
        <f t="shared" si="200"/>
        <v>3.1763094978218033E-2</v>
      </c>
      <c r="AB734" s="17" t="str">
        <f t="shared" si="201"/>
        <v/>
      </c>
      <c r="AC734" s="18" t="str">
        <f t="shared" si="202"/>
        <v/>
      </c>
      <c r="AD734" s="19" t="str">
        <f t="shared" si="203"/>
        <v/>
      </c>
    </row>
    <row r="735" spans="1:30" x14ac:dyDescent="0.25">
      <c r="A735" s="8">
        <v>884</v>
      </c>
      <c r="B735" s="9">
        <v>45984</v>
      </c>
      <c r="C735" s="10">
        <v>1.958333333333333</v>
      </c>
      <c r="D735" s="11">
        <v>139959.69070925241</v>
      </c>
      <c r="E735" s="11">
        <v>5812.9339545690027</v>
      </c>
      <c r="F735" s="11">
        <v>2076.6231558802042</v>
      </c>
      <c r="G735" s="11">
        <v>37862.639714728</v>
      </c>
      <c r="H735" s="12">
        <v>3.2041202582118317E-2</v>
      </c>
      <c r="I735" s="13">
        <v>867</v>
      </c>
      <c r="J735" s="13">
        <v>962381</v>
      </c>
      <c r="K735" s="12"/>
      <c r="L735" s="14">
        <v>127.6281</v>
      </c>
      <c r="M735" s="15">
        <v>77808018274</v>
      </c>
      <c r="N735" s="16">
        <f t="shared" si="187"/>
        <v>102097.05099452441</v>
      </c>
      <c r="O735" s="17">
        <f t="shared" si="188"/>
        <v>147849.24781970162</v>
      </c>
      <c r="P735" s="18">
        <f t="shared" si="189"/>
        <v>18869718.58565766</v>
      </c>
      <c r="Q735" s="19">
        <f t="shared" si="190"/>
        <v>3.9316628527307267E-2</v>
      </c>
      <c r="R735" s="20">
        <f t="shared" si="191"/>
        <v>3.2041202582118317E-2</v>
      </c>
      <c r="S735" s="20" t="str">
        <f t="shared" si="192"/>
        <v/>
      </c>
      <c r="T735" s="20" t="str">
        <f t="shared" si="193"/>
        <v/>
      </c>
      <c r="U735" s="20" t="str">
        <f t="shared" si="194"/>
        <v/>
      </c>
      <c r="V735" s="21" t="str">
        <f t="shared" si="195"/>
        <v/>
      </c>
      <c r="W735" s="21">
        <f t="shared" si="196"/>
        <v>609646451.47894549</v>
      </c>
      <c r="X735" s="19" t="str">
        <f t="shared" si="197"/>
        <v/>
      </c>
      <c r="Y735" s="17" t="str">
        <f t="shared" si="198"/>
        <v/>
      </c>
      <c r="Z735" s="17" t="str">
        <f t="shared" si="199"/>
        <v/>
      </c>
      <c r="AA735" s="20">
        <f t="shared" si="200"/>
        <v>3.1734841409522568E-2</v>
      </c>
      <c r="AB735" s="17" t="str">
        <f t="shared" si="201"/>
        <v/>
      </c>
      <c r="AC735" s="18" t="str">
        <f t="shared" si="202"/>
        <v/>
      </c>
      <c r="AD735" s="19" t="str">
        <f t="shared" si="203"/>
        <v/>
      </c>
    </row>
    <row r="736" spans="1:30" x14ac:dyDescent="0.25">
      <c r="A736" s="8">
        <v>885</v>
      </c>
      <c r="B736" s="9">
        <v>45986</v>
      </c>
      <c r="C736" s="10">
        <v>1.958333333333333</v>
      </c>
      <c r="D736" s="11">
        <v>139866.73345852859</v>
      </c>
      <c r="E736" s="11">
        <v>7270.1270625710004</v>
      </c>
      <c r="F736" s="11">
        <v>2502.5855056838359</v>
      </c>
      <c r="G736" s="11">
        <v>37452.427436938997</v>
      </c>
      <c r="H736" s="12">
        <v>3.1681464666009317E-2</v>
      </c>
      <c r="I736" s="13">
        <v>852</v>
      </c>
      <c r="J736" s="13">
        <v>969973</v>
      </c>
      <c r="K736" s="12"/>
      <c r="L736" s="14">
        <v>138.36770000000001</v>
      </c>
      <c r="M736" s="15">
        <v>84370035467</v>
      </c>
      <c r="N736" s="16">
        <f t="shared" si="187"/>
        <v>102414.30602158958</v>
      </c>
      <c r="O736" s="17">
        <f t="shared" si="188"/>
        <v>149639.44602678344</v>
      </c>
      <c r="P736" s="18">
        <f t="shared" si="189"/>
        <v>20705265.976000164</v>
      </c>
      <c r="Q736" s="19">
        <f t="shared" si="190"/>
        <v>4.8584295488969843E-2</v>
      </c>
      <c r="R736" s="20">
        <f t="shared" si="191"/>
        <v>3.1681464666009317E-2</v>
      </c>
      <c r="S736" s="20" t="str">
        <f t="shared" si="192"/>
        <v/>
      </c>
      <c r="T736" s="20" t="str">
        <f t="shared" si="193"/>
        <v/>
      </c>
      <c r="U736" s="20" t="str">
        <f t="shared" si="194"/>
        <v/>
      </c>
      <c r="V736" s="21" t="str">
        <f t="shared" si="195"/>
        <v/>
      </c>
      <c r="W736" s="21">
        <f t="shared" si="196"/>
        <v>609752387.7826978</v>
      </c>
      <c r="X736" s="19" t="str">
        <f t="shared" si="197"/>
        <v/>
      </c>
      <c r="Y736" s="17" t="str">
        <f t="shared" si="198"/>
        <v/>
      </c>
      <c r="Z736" s="17" t="str">
        <f t="shared" si="199"/>
        <v/>
      </c>
      <c r="AA736" s="20">
        <f t="shared" si="200"/>
        <v>3.1706612972639506E-2</v>
      </c>
      <c r="AB736" s="17" t="str">
        <f t="shared" si="201"/>
        <v/>
      </c>
      <c r="AC736" s="18" t="str">
        <f t="shared" si="202"/>
        <v/>
      </c>
      <c r="AD736" s="19" t="str">
        <f t="shared" si="203"/>
        <v/>
      </c>
    </row>
    <row r="737" spans="1:30" x14ac:dyDescent="0.25">
      <c r="A737" s="8">
        <v>886</v>
      </c>
      <c r="B737" s="9">
        <v>45988</v>
      </c>
      <c r="C737" s="10">
        <v>1.916666666666667</v>
      </c>
      <c r="D737" s="11">
        <v>139773.80817732721</v>
      </c>
      <c r="E737" s="11">
        <v>6878.903252238003</v>
      </c>
      <c r="F737" s="11">
        <v>2280.359627110699</v>
      </c>
      <c r="G737" s="11">
        <v>37716.234892045002</v>
      </c>
      <c r="H737" s="12">
        <v>3.1335113754155652E-2</v>
      </c>
      <c r="I737" s="13">
        <v>858</v>
      </c>
      <c r="J737" s="13">
        <v>967184</v>
      </c>
      <c r="K737" s="12"/>
      <c r="L737" s="14">
        <v>142.92250000000001</v>
      </c>
      <c r="M737" s="15">
        <v>87158991084</v>
      </c>
      <c r="N737" s="16">
        <f t="shared" si="187"/>
        <v>102057.57328528221</v>
      </c>
      <c r="O737" s="17">
        <f t="shared" si="188"/>
        <v>148933.07105667592</v>
      </c>
      <c r="P737" s="18">
        <f t="shared" si="189"/>
        <v>21285886.848097768</v>
      </c>
      <c r="Q737" s="19">
        <f t="shared" si="190"/>
        <v>4.6187882942535056E-2</v>
      </c>
      <c r="R737" s="20">
        <f t="shared" si="191"/>
        <v>3.1335113754155652E-2</v>
      </c>
      <c r="S737" s="20" t="str">
        <f t="shared" si="192"/>
        <v/>
      </c>
      <c r="T737" s="20" t="str">
        <f t="shared" si="193"/>
        <v/>
      </c>
      <c r="U737" s="20" t="str">
        <f t="shared" si="194"/>
        <v/>
      </c>
      <c r="V737" s="21" t="str">
        <f t="shared" si="195"/>
        <v/>
      </c>
      <c r="W737" s="21">
        <f t="shared" si="196"/>
        <v>609833938.56110823</v>
      </c>
      <c r="X737" s="19" t="str">
        <f t="shared" si="197"/>
        <v/>
      </c>
      <c r="Y737" s="17" t="str">
        <f t="shared" si="198"/>
        <v/>
      </c>
      <c r="Z737" s="17" t="str">
        <f t="shared" si="199"/>
        <v/>
      </c>
      <c r="AA737" s="20">
        <f t="shared" si="200"/>
        <v>3.1678409645213845E-2</v>
      </c>
      <c r="AB737" s="17" t="str">
        <f t="shared" si="201"/>
        <v/>
      </c>
      <c r="AC737" s="18" t="str">
        <f t="shared" si="202"/>
        <v/>
      </c>
      <c r="AD737" s="19" t="str">
        <f t="shared" si="203"/>
        <v/>
      </c>
    </row>
    <row r="738" spans="1:30" x14ac:dyDescent="0.25">
      <c r="A738" s="8">
        <v>887</v>
      </c>
      <c r="B738" s="9">
        <v>45989</v>
      </c>
      <c r="C738" s="10">
        <v>1.916666666666667</v>
      </c>
      <c r="D738" s="11">
        <v>139680.9243390671</v>
      </c>
      <c r="E738" s="11">
        <v>6752.7431969589998</v>
      </c>
      <c r="F738" s="11">
        <v>2450.1316073113539</v>
      </c>
      <c r="G738" s="11">
        <v>37292.058059720002</v>
      </c>
      <c r="H738" s="12">
        <v>3.1871727212910511E-2</v>
      </c>
      <c r="I738" s="13">
        <v>852</v>
      </c>
      <c r="J738" s="13">
        <v>970229</v>
      </c>
      <c r="K738" s="12"/>
      <c r="L738" s="14">
        <v>140.82990000000001</v>
      </c>
      <c r="M738" s="15">
        <v>85907979881</v>
      </c>
      <c r="N738" s="16">
        <f t="shared" si="187"/>
        <v>102388.8662793471</v>
      </c>
      <c r="O738" s="17">
        <f t="shared" si="188"/>
        <v>148883.79914333744</v>
      </c>
      <c r="P738" s="18">
        <f t="shared" si="189"/>
        <v>20967290.544976298</v>
      </c>
      <c r="Q738" s="19">
        <f t="shared" si="190"/>
        <v>4.5355795834157997E-2</v>
      </c>
      <c r="R738" s="20">
        <f t="shared" si="191"/>
        <v>3.1871727212910511E-2</v>
      </c>
      <c r="S738" s="20" t="str">
        <f t="shared" si="192"/>
        <v/>
      </c>
      <c r="T738" s="20" t="str">
        <f t="shared" si="193"/>
        <v/>
      </c>
      <c r="U738" s="20" t="str">
        <f t="shared" si="194"/>
        <v/>
      </c>
      <c r="V738" s="21" t="str">
        <f t="shared" si="195"/>
        <v/>
      </c>
      <c r="W738" s="21">
        <f t="shared" si="196"/>
        <v>610012361.58656645</v>
      </c>
      <c r="X738" s="19" t="str">
        <f t="shared" si="197"/>
        <v/>
      </c>
      <c r="Y738" s="17" t="str">
        <f t="shared" si="198"/>
        <v/>
      </c>
      <c r="Z738" s="17" t="str">
        <f t="shared" si="199"/>
        <v/>
      </c>
      <c r="AA738" s="20">
        <f t="shared" si="200"/>
        <v>3.1664317390567055E-2</v>
      </c>
      <c r="AB738" s="17" t="str">
        <f t="shared" si="201"/>
        <v/>
      </c>
      <c r="AC738" s="18" t="str">
        <f t="shared" si="202"/>
        <v/>
      </c>
      <c r="AD738" s="19" t="str">
        <f t="shared" si="203"/>
        <v/>
      </c>
    </row>
    <row r="739" spans="1:30" x14ac:dyDescent="0.25">
      <c r="A739" s="8">
        <v>888</v>
      </c>
      <c r="B739" s="9">
        <v>45991</v>
      </c>
      <c r="C739" s="10">
        <v>1.916666666666667</v>
      </c>
      <c r="D739" s="11">
        <v>139588.08173813979</v>
      </c>
      <c r="E739" s="11">
        <v>7915.5912317829961</v>
      </c>
      <c r="F739" s="11">
        <v>2712.6034005829911</v>
      </c>
      <c r="G739" s="11">
        <v>37251.737374236</v>
      </c>
      <c r="H739" s="12">
        <v>3.196703582914022E-2</v>
      </c>
      <c r="I739" s="13">
        <v>855</v>
      </c>
      <c r="J739" s="13">
        <v>968956</v>
      </c>
      <c r="K739" s="12"/>
      <c r="L739" s="14">
        <v>136.08879999999999</v>
      </c>
      <c r="M739" s="15">
        <v>83008088547</v>
      </c>
      <c r="N739" s="16">
        <f t="shared" si="187"/>
        <v>102336.3443639038</v>
      </c>
      <c r="O739" s="17">
        <f t="shared" si="188"/>
        <v>150216.2763705058</v>
      </c>
      <c r="P739" s="18">
        <f t="shared" si="189"/>
        <v>20442752.79173049</v>
      </c>
      <c r="Q739" s="19">
        <f t="shared" si="190"/>
        <v>5.2694630855176637E-2</v>
      </c>
      <c r="R739" s="20">
        <f t="shared" si="191"/>
        <v>3.196703582914022E-2</v>
      </c>
      <c r="S739" s="20" t="str">
        <f t="shared" si="192"/>
        <v/>
      </c>
      <c r="T739" s="20" t="str">
        <f t="shared" si="193"/>
        <v/>
      </c>
      <c r="U739" s="20" t="str">
        <f t="shared" si="194"/>
        <v/>
      </c>
      <c r="V739" s="21" t="str">
        <f t="shared" si="195"/>
        <v/>
      </c>
      <c r="W739" s="21">
        <f t="shared" si="196"/>
        <v>609955327.30834579</v>
      </c>
      <c r="X739" s="19" t="str">
        <f t="shared" si="197"/>
        <v/>
      </c>
      <c r="Y739" s="17" t="str">
        <f t="shared" si="198"/>
        <v/>
      </c>
      <c r="Z739" s="17" t="str">
        <f t="shared" si="199"/>
        <v/>
      </c>
      <c r="AA739" s="20">
        <f t="shared" si="200"/>
        <v>3.1636151685455416E-2</v>
      </c>
      <c r="AB739" s="17" t="str">
        <f t="shared" si="201"/>
        <v/>
      </c>
      <c r="AC739" s="18" t="str">
        <f t="shared" si="202"/>
        <v/>
      </c>
      <c r="AD739" s="19" t="str">
        <f t="shared" si="203"/>
        <v/>
      </c>
    </row>
    <row r="740" spans="1:30" x14ac:dyDescent="0.25">
      <c r="A740" s="8">
        <v>889</v>
      </c>
      <c r="B740" s="9">
        <v>45993</v>
      </c>
      <c r="C740" s="10">
        <v>1.916666666666667</v>
      </c>
      <c r="D740" s="11">
        <v>139495.26035171919</v>
      </c>
      <c r="E740" s="11">
        <v>9645.2651874179992</v>
      </c>
      <c r="F740" s="11">
        <v>3485.197631597915</v>
      </c>
      <c r="G740" s="11">
        <v>37315.214667323002</v>
      </c>
      <c r="H740" s="12">
        <v>3.1884407416717067E-2</v>
      </c>
      <c r="I740" s="13">
        <v>840</v>
      </c>
      <c r="J740" s="13">
        <v>980763</v>
      </c>
      <c r="K740" s="12"/>
      <c r="L740" s="14">
        <v>126.74720000000001</v>
      </c>
      <c r="M740" s="15">
        <v>77389527409</v>
      </c>
      <c r="N740" s="16">
        <f t="shared" si="187"/>
        <v>102180.04568439619</v>
      </c>
      <c r="O740" s="17">
        <f t="shared" si="188"/>
        <v>152625.72317073512</v>
      </c>
      <c r="P740" s="18">
        <f t="shared" si="189"/>
        <v>19344883.059865799</v>
      </c>
      <c r="Q740" s="19">
        <f t="shared" si="190"/>
        <v>6.3195541269464139E-2</v>
      </c>
      <c r="R740" s="20">
        <f t="shared" si="191"/>
        <v>3.1884407416717067E-2</v>
      </c>
      <c r="S740" s="20" t="str">
        <f t="shared" si="192"/>
        <v/>
      </c>
      <c r="T740" s="20" t="str">
        <f t="shared" si="193"/>
        <v/>
      </c>
      <c r="U740" s="20" t="str">
        <f t="shared" si="194"/>
        <v/>
      </c>
      <c r="V740" s="21" t="str">
        <f t="shared" si="195"/>
        <v/>
      </c>
      <c r="W740" s="21">
        <f t="shared" si="196"/>
        <v>610581751.77834296</v>
      </c>
      <c r="X740" s="19" t="str">
        <f t="shared" si="197"/>
        <v/>
      </c>
      <c r="Y740" s="17" t="str">
        <f t="shared" si="198"/>
        <v/>
      </c>
      <c r="Z740" s="17" t="str">
        <f t="shared" si="199"/>
        <v/>
      </c>
      <c r="AA740" s="20">
        <f t="shared" si="200"/>
        <v>3.1608011034000696E-2</v>
      </c>
      <c r="AB740" s="17" t="str">
        <f t="shared" si="201"/>
        <v/>
      </c>
      <c r="AC740" s="18" t="str">
        <f t="shared" si="202"/>
        <v/>
      </c>
      <c r="AD740" s="19" t="str">
        <f t="shared" si="203"/>
        <v/>
      </c>
    </row>
    <row r="741" spans="1:30" x14ac:dyDescent="0.25">
      <c r="A741" s="8">
        <v>890</v>
      </c>
      <c r="B741" s="9">
        <v>45995</v>
      </c>
      <c r="C741" s="10">
        <v>1.916666666666667</v>
      </c>
      <c r="D741" s="11">
        <v>139402.47380392661</v>
      </c>
      <c r="E741" s="11">
        <v>7259.006304375006</v>
      </c>
      <c r="F741" s="11">
        <v>2220.31620865169</v>
      </c>
      <c r="G741" s="11">
        <v>37567.423162995001</v>
      </c>
      <c r="H741" s="12">
        <v>3.2487331589838957E-2</v>
      </c>
      <c r="I741" s="13">
        <v>825</v>
      </c>
      <c r="J741" s="13">
        <v>972288</v>
      </c>
      <c r="K741" s="12"/>
      <c r="L741" s="14">
        <v>145.0324</v>
      </c>
      <c r="M741" s="15">
        <v>88558592508</v>
      </c>
      <c r="N741" s="16">
        <f t="shared" si="187"/>
        <v>101835.05064093161</v>
      </c>
      <c r="O741" s="17">
        <f t="shared" si="188"/>
        <v>148881.79631695332</v>
      </c>
      <c r="P741" s="18">
        <f t="shared" si="189"/>
        <v>21592684.2361589</v>
      </c>
      <c r="Q741" s="19">
        <f t="shared" si="190"/>
        <v>4.8756842568727227E-2</v>
      </c>
      <c r="R741" s="20">
        <f t="shared" si="191"/>
        <v>3.2487331589838957E-2</v>
      </c>
      <c r="S741" s="20" t="str">
        <f t="shared" si="192"/>
        <v/>
      </c>
      <c r="T741" s="20" t="str">
        <f t="shared" si="193"/>
        <v/>
      </c>
      <c r="U741" s="20" t="str">
        <f t="shared" si="194"/>
        <v/>
      </c>
      <c r="V741" s="21" t="str">
        <f t="shared" si="195"/>
        <v/>
      </c>
      <c r="W741" s="21">
        <f t="shared" si="196"/>
        <v>610612473.54384267</v>
      </c>
      <c r="X741" s="19" t="str">
        <f t="shared" si="197"/>
        <v/>
      </c>
      <c r="Y741" s="17" t="str">
        <f t="shared" si="198"/>
        <v/>
      </c>
      <c r="Z741" s="17" t="str">
        <f t="shared" si="199"/>
        <v/>
      </c>
      <c r="AA741" s="20">
        <f t="shared" si="200"/>
        <v>3.1579895413917439E-2</v>
      </c>
      <c r="AB741" s="17" t="str">
        <f t="shared" si="201"/>
        <v/>
      </c>
      <c r="AC741" s="18" t="str">
        <f t="shared" si="202"/>
        <v/>
      </c>
      <c r="AD741" s="19" t="str">
        <f t="shared" si="203"/>
        <v/>
      </c>
    </row>
    <row r="742" spans="1:30" x14ac:dyDescent="0.25">
      <c r="A742" s="8">
        <v>891</v>
      </c>
      <c r="B742" s="9">
        <v>45997</v>
      </c>
      <c r="C742" s="10">
        <v>1.916666666666667</v>
      </c>
      <c r="D742" s="11">
        <v>139309.7283606712</v>
      </c>
      <c r="E742" s="11">
        <v>7792.4073157610019</v>
      </c>
      <c r="F742" s="11">
        <v>2220.2178252209478</v>
      </c>
      <c r="G742" s="11">
        <v>37336.444125223003</v>
      </c>
      <c r="H742" s="12">
        <v>3.2321308933413007E-2</v>
      </c>
      <c r="I742" s="13">
        <v>823</v>
      </c>
      <c r="J742" s="13">
        <v>978872</v>
      </c>
      <c r="K742" s="12"/>
      <c r="L742" s="14">
        <v>133.1994</v>
      </c>
      <c r="M742" s="15">
        <v>81315725228</v>
      </c>
      <c r="N742" s="16">
        <f t="shared" si="187"/>
        <v>101973.2842354482</v>
      </c>
      <c r="O742" s="17">
        <f t="shared" si="188"/>
        <v>149322.35350165315</v>
      </c>
      <c r="P742" s="18">
        <f t="shared" si="189"/>
        <v>19889647.893008098</v>
      </c>
      <c r="Q742" s="19">
        <f t="shared" si="190"/>
        <v>5.2185135935958388E-2</v>
      </c>
      <c r="R742" s="20">
        <f t="shared" si="191"/>
        <v>3.2321308933413007E-2</v>
      </c>
      <c r="S742" s="20" t="str">
        <f t="shared" si="192"/>
        <v/>
      </c>
      <c r="T742" s="20" t="str">
        <f t="shared" si="193"/>
        <v/>
      </c>
      <c r="U742" s="20" t="str">
        <f t="shared" si="194"/>
        <v/>
      </c>
      <c r="V742" s="21" t="str">
        <f t="shared" si="195"/>
        <v/>
      </c>
      <c r="W742" s="21">
        <f t="shared" si="196"/>
        <v>610481167.54279673</v>
      </c>
      <c r="X742" s="19" t="str">
        <f t="shared" si="197"/>
        <v/>
      </c>
      <c r="Y742" s="17" t="str">
        <f t="shared" si="198"/>
        <v/>
      </c>
      <c r="Z742" s="17" t="str">
        <f t="shared" si="199"/>
        <v/>
      </c>
      <c r="AA742" s="20">
        <f t="shared" si="200"/>
        <v>3.1551804802939995E-2</v>
      </c>
      <c r="AB742" s="17" t="str">
        <f t="shared" si="201"/>
        <v/>
      </c>
      <c r="AC742" s="18" t="str">
        <f t="shared" si="202"/>
        <v/>
      </c>
      <c r="AD742" s="19" t="str">
        <f t="shared" si="203"/>
        <v/>
      </c>
    </row>
    <row r="743" spans="1:30" x14ac:dyDescent="0.25">
      <c r="A743" s="8">
        <v>892</v>
      </c>
      <c r="B743" s="9">
        <v>45999</v>
      </c>
      <c r="C743" s="10">
        <v>1.916666666666667</v>
      </c>
      <c r="D743" s="11">
        <v>139217.0132127986</v>
      </c>
      <c r="E743" s="11">
        <v>8634.6382113450054</v>
      </c>
      <c r="F743" s="11">
        <v>2529.853827977643</v>
      </c>
      <c r="G743" s="11">
        <v>37352.284927002001</v>
      </c>
      <c r="H743" s="12">
        <v>3.2714203457640777E-2</v>
      </c>
      <c r="I743" s="13">
        <v>813</v>
      </c>
      <c r="J743" s="13">
        <v>976474</v>
      </c>
      <c r="K743" s="12"/>
      <c r="L743" s="14">
        <v>131.63669999999999</v>
      </c>
      <c r="M743" s="15">
        <v>80414229675</v>
      </c>
      <c r="N743" s="16">
        <f t="shared" si="187"/>
        <v>101864.72828579659</v>
      </c>
      <c r="O743" s="17">
        <f t="shared" si="188"/>
        <v>150381.50525212125</v>
      </c>
      <c r="P743" s="18">
        <f t="shared" si="189"/>
        <v>19795725.092421908</v>
      </c>
      <c r="Q743" s="19">
        <f t="shared" si="190"/>
        <v>5.7418219061370956E-2</v>
      </c>
      <c r="R743" s="20">
        <f t="shared" si="191"/>
        <v>3.2714203457640777E-2</v>
      </c>
      <c r="S743" s="20" t="str">
        <f t="shared" si="192"/>
        <v/>
      </c>
      <c r="T743" s="20" t="str">
        <f t="shared" si="193"/>
        <v/>
      </c>
      <c r="U743" s="20" t="str">
        <f t="shared" si="194"/>
        <v/>
      </c>
      <c r="V743" s="21" t="str">
        <f t="shared" si="195"/>
        <v/>
      </c>
      <c r="W743" s="21">
        <f t="shared" si="196"/>
        <v>610880018.07246768</v>
      </c>
      <c r="X743" s="19" t="str">
        <f t="shared" si="197"/>
        <v/>
      </c>
      <c r="Y743" s="17" t="str">
        <f t="shared" si="198"/>
        <v/>
      </c>
      <c r="Z743" s="17" t="str">
        <f t="shared" si="199"/>
        <v/>
      </c>
      <c r="AA743" s="20">
        <f t="shared" si="200"/>
        <v>3.1523739178822535E-2</v>
      </c>
      <c r="AB743" s="17" t="str">
        <f t="shared" si="201"/>
        <v/>
      </c>
      <c r="AC743" s="18" t="str">
        <f t="shared" si="202"/>
        <v/>
      </c>
      <c r="AD743" s="19" t="str">
        <f t="shared" si="203"/>
        <v/>
      </c>
    </row>
    <row r="744" spans="1:30" x14ac:dyDescent="0.25">
      <c r="A744" s="8">
        <v>893</v>
      </c>
      <c r="B744" s="9">
        <v>46001</v>
      </c>
      <c r="C744" s="10">
        <v>1.916666666666667</v>
      </c>
      <c r="D744" s="11">
        <v>139124.32985851759</v>
      </c>
      <c r="E744" s="11">
        <v>9138.7906318890036</v>
      </c>
      <c r="F744" s="11">
        <v>3422.1309850741632</v>
      </c>
      <c r="G744" s="11">
        <v>37346.981977773998</v>
      </c>
      <c r="H744" s="12">
        <v>3.2856558606223038E-2</v>
      </c>
      <c r="I744" s="13">
        <v>811</v>
      </c>
      <c r="J744" s="13">
        <v>984135</v>
      </c>
      <c r="K744" s="12"/>
      <c r="L744" s="14">
        <v>138.0127</v>
      </c>
      <c r="M744" s="15">
        <v>84597239403</v>
      </c>
      <c r="N744" s="16">
        <f t="shared" si="187"/>
        <v>101777.34788074359</v>
      </c>
      <c r="O744" s="17">
        <f t="shared" si="188"/>
        <v>151685.25147548076</v>
      </c>
      <c r="P744" s="18">
        <f t="shared" si="189"/>
        <v>20934491.106310084</v>
      </c>
      <c r="Q744" s="19">
        <f t="shared" si="190"/>
        <v>6.0248379740242892E-2</v>
      </c>
      <c r="R744" s="20">
        <f t="shared" si="191"/>
        <v>3.2856558606223038E-2</v>
      </c>
      <c r="S744" s="20" t="str">
        <f t="shared" si="192"/>
        <v/>
      </c>
      <c r="T744" s="20" t="str">
        <f t="shared" si="193"/>
        <v/>
      </c>
      <c r="U744" s="20" t="str">
        <f t="shared" si="194"/>
        <v/>
      </c>
      <c r="V744" s="21" t="str">
        <f t="shared" si="195"/>
        <v/>
      </c>
      <c r="W744" s="21">
        <f t="shared" si="196"/>
        <v>612967063.19780719</v>
      </c>
      <c r="X744" s="19" t="str">
        <f t="shared" si="197"/>
        <v/>
      </c>
      <c r="Y744" s="17" t="str">
        <f t="shared" si="198"/>
        <v/>
      </c>
      <c r="Z744" s="17" t="str">
        <f t="shared" si="199"/>
        <v/>
      </c>
      <c r="AA744" s="20">
        <f t="shared" si="200"/>
        <v>3.1495698519339019E-2</v>
      </c>
      <c r="AB744" s="17" t="str">
        <f t="shared" si="201"/>
        <v/>
      </c>
      <c r="AC744" s="18" t="str">
        <f t="shared" si="202"/>
        <v/>
      </c>
      <c r="AD744" s="19" t="str">
        <f t="shared" si="203"/>
        <v/>
      </c>
    </row>
    <row r="745" spans="1:30" x14ac:dyDescent="0.25">
      <c r="A745" s="8">
        <v>894</v>
      </c>
      <c r="B745" s="9">
        <v>46003</v>
      </c>
      <c r="C745" s="10">
        <v>1.916666666666667</v>
      </c>
      <c r="D745" s="11">
        <v>139031.6804301599</v>
      </c>
      <c r="E745" s="11">
        <v>6610.7511858899979</v>
      </c>
      <c r="F745" s="11">
        <v>2495.5357711742322</v>
      </c>
      <c r="G745" s="11">
        <v>37640.168325181003</v>
      </c>
      <c r="H745" s="12">
        <v>3.3104424107592297E-2</v>
      </c>
      <c r="I745" s="13">
        <v>806</v>
      </c>
      <c r="J745" s="13">
        <v>980295</v>
      </c>
      <c r="K745" s="12"/>
      <c r="L745" s="14">
        <v>136.44040000000001</v>
      </c>
      <c r="M745" s="15">
        <v>83690153640</v>
      </c>
      <c r="N745" s="16">
        <f t="shared" si="187"/>
        <v>101391.5121049789</v>
      </c>
      <c r="O745" s="17">
        <f t="shared" si="188"/>
        <v>148137.96738722414</v>
      </c>
      <c r="P745" s="18">
        <f t="shared" si="189"/>
        <v>20212003.525499817</v>
      </c>
      <c r="Q745" s="19">
        <f t="shared" si="190"/>
        <v>4.4625637184624478E-2</v>
      </c>
      <c r="R745" s="20">
        <f t="shared" si="191"/>
        <v>3.3104424107592297E-2</v>
      </c>
      <c r="S745" s="20" t="str">
        <f t="shared" si="192"/>
        <v/>
      </c>
      <c r="T745" s="20" t="str">
        <f t="shared" si="193"/>
        <v/>
      </c>
      <c r="U745" s="20" t="str">
        <f t="shared" si="194"/>
        <v/>
      </c>
      <c r="V745" s="21" t="str">
        <f t="shared" si="195"/>
        <v/>
      </c>
      <c r="W745" s="21">
        <f t="shared" si="196"/>
        <v>613382499.90472031</v>
      </c>
      <c r="X745" s="19" t="str">
        <f t="shared" si="197"/>
        <v/>
      </c>
      <c r="Y745" s="17" t="str">
        <f t="shared" si="198"/>
        <v/>
      </c>
      <c r="Z745" s="17" t="str">
        <f t="shared" si="199"/>
        <v/>
      </c>
      <c r="AA745" s="20">
        <f t="shared" si="200"/>
        <v>3.1467682802283181E-2</v>
      </c>
      <c r="AB745" s="17" t="str">
        <f t="shared" si="201"/>
        <v/>
      </c>
      <c r="AC745" s="18" t="str">
        <f t="shared" si="202"/>
        <v/>
      </c>
      <c r="AD745" s="19" t="str">
        <f t="shared" si="203"/>
        <v/>
      </c>
    </row>
    <row r="746" spans="1:30" x14ac:dyDescent="0.25">
      <c r="A746" s="8">
        <v>895</v>
      </c>
      <c r="B746" s="9">
        <v>46005</v>
      </c>
      <c r="C746" s="10">
        <v>1.916666666666667</v>
      </c>
      <c r="D746" s="11">
        <v>138939.0789350117</v>
      </c>
      <c r="E746" s="11">
        <v>6951.414971625004</v>
      </c>
      <c r="F746" s="11">
        <v>2495.6114067400958</v>
      </c>
      <c r="G746" s="11">
        <v>37555.271154934999</v>
      </c>
      <c r="H746" s="12">
        <v>3.3174372973484183E-2</v>
      </c>
      <c r="I746" s="13">
        <v>809</v>
      </c>
      <c r="J746" s="13">
        <v>991971</v>
      </c>
      <c r="K746" s="12"/>
      <c r="L746" s="14">
        <v>133.22110000000001</v>
      </c>
      <c r="M746" s="15">
        <v>81615441993</v>
      </c>
      <c r="N746" s="16">
        <f t="shared" si="187"/>
        <v>101383.80778007669</v>
      </c>
      <c r="O746" s="17">
        <f t="shared" si="188"/>
        <v>148386.10531337679</v>
      </c>
      <c r="P746" s="18">
        <f t="shared" si="189"/>
        <v>19768160.1745639</v>
      </c>
      <c r="Q746" s="19">
        <f t="shared" si="190"/>
        <v>4.6846805210934692E-2</v>
      </c>
      <c r="R746" s="20">
        <f t="shared" si="191"/>
        <v>3.3174372973484183E-2</v>
      </c>
      <c r="S746" s="20" t="str">
        <f t="shared" si="192"/>
        <v/>
      </c>
      <c r="T746" s="20" t="str">
        <f t="shared" si="193"/>
        <v/>
      </c>
      <c r="U746" s="20" t="str">
        <f t="shared" si="194"/>
        <v/>
      </c>
      <c r="V746" s="21" t="str">
        <f t="shared" si="195"/>
        <v/>
      </c>
      <c r="W746" s="21">
        <f t="shared" si="196"/>
        <v>612631497.5105294</v>
      </c>
      <c r="X746" s="19" t="str">
        <f t="shared" si="197"/>
        <v/>
      </c>
      <c r="Y746" s="17" t="str">
        <f t="shared" si="198"/>
        <v/>
      </c>
      <c r="Z746" s="17" t="str">
        <f t="shared" si="199"/>
        <v/>
      </c>
      <c r="AA746" s="20">
        <f t="shared" si="200"/>
        <v>3.1439692005468478E-2</v>
      </c>
      <c r="AB746" s="17" t="str">
        <f t="shared" si="201"/>
        <v/>
      </c>
      <c r="AC746" s="18" t="str">
        <f t="shared" si="202"/>
        <v/>
      </c>
      <c r="AD746" s="19" t="str">
        <f t="shared" si="203"/>
        <v/>
      </c>
    </row>
    <row r="747" spans="1:30" x14ac:dyDescent="0.25">
      <c r="A747" s="8">
        <v>896</v>
      </c>
      <c r="B747" s="9">
        <v>46007</v>
      </c>
      <c r="C747" s="10">
        <v>1.916666666666667</v>
      </c>
      <c r="D747" s="11">
        <v>138846.50623013411</v>
      </c>
      <c r="E747" s="11">
        <v>7218.9086568479997</v>
      </c>
      <c r="F747" s="11">
        <v>2528.1375312022178</v>
      </c>
      <c r="G747" s="11">
        <v>37258.934372631003</v>
      </c>
      <c r="H747" s="12">
        <v>3.2910713767860728E-2</v>
      </c>
      <c r="I747" s="13">
        <v>804</v>
      </c>
      <c r="J747" s="13">
        <v>986073</v>
      </c>
      <c r="K747" s="12"/>
      <c r="L747" s="14">
        <v>127.7016</v>
      </c>
      <c r="M747" s="15">
        <v>78256624498</v>
      </c>
      <c r="N747" s="16">
        <f t="shared" si="187"/>
        <v>101587.57185750311</v>
      </c>
      <c r="O747" s="17">
        <f t="shared" si="188"/>
        <v>148593.55241818435</v>
      </c>
      <c r="P747" s="18">
        <f t="shared" si="189"/>
        <v>18975634.393486012</v>
      </c>
      <c r="Q747" s="19">
        <f t="shared" si="190"/>
        <v>4.8581573960436358E-2</v>
      </c>
      <c r="R747" s="20">
        <f t="shared" si="191"/>
        <v>3.2910713767860728E-2</v>
      </c>
      <c r="S747" s="20" t="str">
        <f t="shared" si="192"/>
        <v/>
      </c>
      <c r="T747" s="20" t="str">
        <f t="shared" si="193"/>
        <v/>
      </c>
      <c r="U747" s="20" t="str">
        <f t="shared" si="194"/>
        <v/>
      </c>
      <c r="V747" s="21" t="str">
        <f t="shared" si="195"/>
        <v/>
      </c>
      <c r="W747" s="21">
        <f t="shared" si="196"/>
        <v>612808488.67985988</v>
      </c>
      <c r="X747" s="19" t="str">
        <f t="shared" si="197"/>
        <v/>
      </c>
      <c r="Y747" s="17" t="str">
        <f t="shared" si="198"/>
        <v/>
      </c>
      <c r="Z747" s="17" t="str">
        <f t="shared" si="199"/>
        <v/>
      </c>
      <c r="AA747" s="20">
        <f t="shared" si="200"/>
        <v>3.1411726106728134E-2</v>
      </c>
      <c r="AB747" s="17" t="str">
        <f t="shared" si="201"/>
        <v/>
      </c>
      <c r="AC747" s="18" t="str">
        <f t="shared" si="202"/>
        <v/>
      </c>
      <c r="AD747" s="19" t="str">
        <f t="shared" si="203"/>
        <v/>
      </c>
    </row>
    <row r="748" spans="1:30" x14ac:dyDescent="0.25">
      <c r="A748" s="8">
        <v>897</v>
      </c>
      <c r="B748" s="9">
        <v>46009</v>
      </c>
      <c r="C748" s="10">
        <v>1.916666666666667</v>
      </c>
      <c r="D748" s="11">
        <v>138753.96965086559</v>
      </c>
      <c r="E748" s="11">
        <v>6961.3062668400034</v>
      </c>
      <c r="F748" s="11">
        <v>2523.672487561013</v>
      </c>
      <c r="G748" s="11">
        <v>37173.057767601</v>
      </c>
      <c r="H748" s="12">
        <v>3.2859539311403098E-2</v>
      </c>
      <c r="I748" s="13">
        <v>805</v>
      </c>
      <c r="J748" s="13">
        <v>993442</v>
      </c>
      <c r="K748" s="12"/>
      <c r="L748" s="14">
        <v>123.0812</v>
      </c>
      <c r="M748" s="15">
        <v>75453495203</v>
      </c>
      <c r="N748" s="16">
        <f t="shared" si="187"/>
        <v>101580.91188326459</v>
      </c>
      <c r="O748" s="17">
        <f t="shared" si="188"/>
        <v>148238.94840526659</v>
      </c>
      <c r="P748" s="18">
        <f t="shared" si="189"/>
        <v>18245427.6564583</v>
      </c>
      <c r="Q748" s="19">
        <f t="shared" si="190"/>
        <v>4.696003541396334E-2</v>
      </c>
      <c r="R748" s="20">
        <f t="shared" si="191"/>
        <v>3.2859539311403098E-2</v>
      </c>
      <c r="S748" s="20" t="str">
        <f t="shared" si="192"/>
        <v/>
      </c>
      <c r="T748" s="20" t="str">
        <f t="shared" si="193"/>
        <v/>
      </c>
      <c r="U748" s="20" t="str">
        <f t="shared" si="194"/>
        <v/>
      </c>
      <c r="V748" s="21" t="str">
        <f t="shared" si="195"/>
        <v/>
      </c>
      <c r="W748" s="21">
        <f t="shared" si="196"/>
        <v>613038345.44187093</v>
      </c>
      <c r="X748" s="19" t="str">
        <f t="shared" si="197"/>
        <v/>
      </c>
      <c r="Y748" s="17" t="str">
        <f t="shared" si="198"/>
        <v/>
      </c>
      <c r="Z748" s="17" t="str">
        <f t="shared" si="199"/>
        <v/>
      </c>
      <c r="AA748" s="20">
        <f t="shared" si="200"/>
        <v>3.1383785083915081E-2</v>
      </c>
      <c r="AB748" s="17" t="str">
        <f t="shared" si="201"/>
        <v/>
      </c>
      <c r="AC748" s="18" t="str">
        <f t="shared" si="202"/>
        <v/>
      </c>
      <c r="AD748" s="19" t="str">
        <f t="shared" si="203"/>
        <v/>
      </c>
    </row>
    <row r="749" spans="1:30" x14ac:dyDescent="0.25">
      <c r="A749" s="8">
        <v>898</v>
      </c>
      <c r="B749" s="9">
        <v>46011</v>
      </c>
      <c r="C749" s="10">
        <v>1.916666666666667</v>
      </c>
      <c r="D749" s="11">
        <v>138661.46564898521</v>
      </c>
      <c r="E749" s="11">
        <v>6285.0053888320044</v>
      </c>
      <c r="F749" s="11">
        <v>2072.3124961733638</v>
      </c>
      <c r="G749" s="11">
        <v>37126.479675868002</v>
      </c>
      <c r="H749" s="12">
        <v>3.2862262221906878E-2</v>
      </c>
      <c r="I749" s="13">
        <v>804</v>
      </c>
      <c r="J749" s="13">
        <v>993433</v>
      </c>
      <c r="K749" s="12"/>
      <c r="L749" s="14">
        <v>126.1879</v>
      </c>
      <c r="M749" s="15">
        <v>77367246941</v>
      </c>
      <c r="N749" s="16">
        <f t="shared" si="187"/>
        <v>101534.9859731172</v>
      </c>
      <c r="O749" s="17">
        <f t="shared" si="188"/>
        <v>147018.78353399059</v>
      </c>
      <c r="P749" s="18">
        <f t="shared" si="189"/>
        <v>18551991.55470885</v>
      </c>
      <c r="Q749" s="19">
        <f t="shared" si="190"/>
        <v>4.2749676182560155E-2</v>
      </c>
      <c r="R749" s="20">
        <f t="shared" si="191"/>
        <v>3.2862262221906878E-2</v>
      </c>
      <c r="S749" s="20" t="str">
        <f t="shared" si="192"/>
        <v/>
      </c>
      <c r="T749" s="20" t="str">
        <f t="shared" si="193"/>
        <v/>
      </c>
      <c r="U749" s="20" t="str">
        <f t="shared" si="194"/>
        <v/>
      </c>
      <c r="V749" s="21" t="str">
        <f t="shared" si="195"/>
        <v/>
      </c>
      <c r="W749" s="21">
        <f t="shared" si="196"/>
        <v>613111454.75120831</v>
      </c>
      <c r="X749" s="19" t="str">
        <f t="shared" si="197"/>
        <v/>
      </c>
      <c r="Y749" s="17" t="str">
        <f t="shared" si="198"/>
        <v/>
      </c>
      <c r="Z749" s="17" t="str">
        <f t="shared" si="199"/>
        <v/>
      </c>
      <c r="AA749" s="20">
        <f t="shared" si="200"/>
        <v>3.1355868914901955E-2</v>
      </c>
      <c r="AB749" s="17" t="str">
        <f t="shared" si="201"/>
        <v/>
      </c>
      <c r="AC749" s="18" t="str">
        <f t="shared" si="202"/>
        <v/>
      </c>
      <c r="AD749" s="19" t="str">
        <f t="shared" si="203"/>
        <v/>
      </c>
    </row>
    <row r="750" spans="1:30" x14ac:dyDescent="0.25">
      <c r="A750" s="8">
        <v>899</v>
      </c>
      <c r="B750" s="9">
        <v>46013</v>
      </c>
      <c r="C750" s="10">
        <v>1.916666666666667</v>
      </c>
      <c r="D750" s="11">
        <v>138569.00935151981</v>
      </c>
      <c r="E750" s="11">
        <v>7551.5575047249986</v>
      </c>
      <c r="F750" s="11">
        <v>2886.0503246395551</v>
      </c>
      <c r="G750" s="11">
        <v>35791.209874970998</v>
      </c>
      <c r="H750" s="12">
        <v>3.2416166391386489E-2</v>
      </c>
      <c r="I750" s="13">
        <v>807</v>
      </c>
      <c r="J750" s="13">
        <v>996964</v>
      </c>
      <c r="K750" s="12"/>
      <c r="L750" s="14">
        <v>126.0187</v>
      </c>
      <c r="M750" s="15">
        <v>77281069191</v>
      </c>
      <c r="N750" s="16">
        <f t="shared" si="187"/>
        <v>102777.79947654881</v>
      </c>
      <c r="O750" s="17">
        <f t="shared" si="188"/>
        <v>149006.61718088438</v>
      </c>
      <c r="P750" s="18">
        <f t="shared" si="189"/>
        <v>18777620.188532714</v>
      </c>
      <c r="Q750" s="19">
        <f t="shared" si="190"/>
        <v>5.0679343290894907E-2</v>
      </c>
      <c r="R750" s="20">
        <f t="shared" si="191"/>
        <v>3.2416166391386489E-2</v>
      </c>
      <c r="S750" s="20" t="str">
        <f t="shared" si="192"/>
        <v/>
      </c>
      <c r="T750" s="20" t="str">
        <f t="shared" si="193"/>
        <v/>
      </c>
      <c r="U750" s="20" t="str">
        <f t="shared" si="194"/>
        <v/>
      </c>
      <c r="V750" s="21" t="str">
        <f t="shared" si="195"/>
        <v/>
      </c>
      <c r="W750" s="21">
        <f t="shared" si="196"/>
        <v>613250804.7694509</v>
      </c>
      <c r="X750" s="19" t="str">
        <f t="shared" si="197"/>
        <v/>
      </c>
      <c r="Y750" s="17" t="str">
        <f t="shared" si="198"/>
        <v/>
      </c>
      <c r="Z750" s="17" t="str">
        <f t="shared" si="199"/>
        <v/>
      </c>
      <c r="AA750" s="20">
        <f t="shared" si="200"/>
        <v>3.1327977577581059E-2</v>
      </c>
      <c r="AB750" s="17" t="str">
        <f t="shared" si="201"/>
        <v/>
      </c>
      <c r="AC750" s="18" t="str">
        <f t="shared" si="202"/>
        <v/>
      </c>
      <c r="AD750" s="19" t="str">
        <f t="shared" si="203"/>
        <v/>
      </c>
    </row>
    <row r="751" spans="1:30" x14ac:dyDescent="0.25">
      <c r="A751" s="8">
        <v>900</v>
      </c>
      <c r="B751" s="9">
        <v>46015</v>
      </c>
      <c r="C751" s="10">
        <v>1.958333333333333</v>
      </c>
      <c r="D751" s="11">
        <v>138476.57129477101</v>
      </c>
      <c r="E751" s="11">
        <v>6226.2422728400006</v>
      </c>
      <c r="F751" s="11">
        <v>2283.1744893247569</v>
      </c>
      <c r="G751" s="11">
        <v>35722.024538065001</v>
      </c>
      <c r="H751" s="12">
        <v>3.2315732211374099E-2</v>
      </c>
      <c r="I751" s="13">
        <v>809</v>
      </c>
      <c r="J751" s="13">
        <v>993692</v>
      </c>
      <c r="K751" s="12"/>
      <c r="L751" s="14">
        <v>123.91930000000001</v>
      </c>
      <c r="M751" s="15">
        <v>76013163096</v>
      </c>
      <c r="N751" s="16">
        <f t="shared" si="187"/>
        <v>102754.54675670601</v>
      </c>
      <c r="O751" s="17">
        <f t="shared" si="188"/>
        <v>146985.98805693578</v>
      </c>
      <c r="P751" s="18">
        <f t="shared" si="189"/>
        <v>18214400.749823842</v>
      </c>
      <c r="Q751" s="19">
        <f t="shared" si="190"/>
        <v>4.2359427283832206E-2</v>
      </c>
      <c r="R751" s="20">
        <f t="shared" si="191"/>
        <v>3.2315732211374099E-2</v>
      </c>
      <c r="S751" s="20" t="str">
        <f t="shared" si="192"/>
        <v/>
      </c>
      <c r="T751" s="20" t="str">
        <f t="shared" si="193"/>
        <v/>
      </c>
      <c r="U751" s="20" t="str">
        <f t="shared" si="194"/>
        <v/>
      </c>
      <c r="V751" s="21" t="str">
        <f t="shared" si="195"/>
        <v/>
      </c>
      <c r="W751" s="21">
        <f t="shared" si="196"/>
        <v>613408590.07434678</v>
      </c>
      <c r="X751" s="19" t="str">
        <f t="shared" si="197"/>
        <v/>
      </c>
      <c r="Y751" s="17" t="str">
        <f t="shared" si="198"/>
        <v/>
      </c>
      <c r="Z751" s="17" t="str">
        <f t="shared" si="199"/>
        <v/>
      </c>
      <c r="AA751" s="20">
        <f t="shared" si="200"/>
        <v>3.1300111049864382E-2</v>
      </c>
      <c r="AB751" s="17" t="str">
        <f t="shared" si="201"/>
        <v/>
      </c>
      <c r="AC751" s="18" t="str">
        <f t="shared" si="202"/>
        <v/>
      </c>
      <c r="AD751" s="19" t="str">
        <f t="shared" si="203"/>
        <v/>
      </c>
    </row>
    <row r="752" spans="1:30" x14ac:dyDescent="0.25">
      <c r="A752" s="8">
        <v>901</v>
      </c>
      <c r="B752" s="9">
        <v>46017</v>
      </c>
      <c r="C752" s="10">
        <v>1.958333333333333</v>
      </c>
      <c r="D752" s="11">
        <v>138384.17294185149</v>
      </c>
      <c r="E752" s="11">
        <v>6531.9356023799965</v>
      </c>
      <c r="F752" s="11">
        <v>2249.5564052959621</v>
      </c>
      <c r="G752" s="11">
        <v>35804.074538633999</v>
      </c>
      <c r="H752" s="12">
        <v>3.2302399786098189E-2</v>
      </c>
      <c r="I752" s="13">
        <v>808</v>
      </c>
      <c r="J752" s="13">
        <v>1003964</v>
      </c>
      <c r="K752" s="12"/>
      <c r="L752" s="14">
        <v>120.09010000000001</v>
      </c>
      <c r="M752" s="15">
        <v>73720358881</v>
      </c>
      <c r="N752" s="16">
        <f t="shared" si="187"/>
        <v>102580.09840321749</v>
      </c>
      <c r="O752" s="17">
        <f t="shared" si="188"/>
        <v>147165.66494952745</v>
      </c>
      <c r="P752" s="18">
        <f t="shared" si="189"/>
        <v>17673139.420355245</v>
      </c>
      <c r="Q752" s="19">
        <f t="shared" si="190"/>
        <v>4.4384915493843054E-2</v>
      </c>
      <c r="R752" s="20">
        <f t="shared" si="191"/>
        <v>3.2302399786098189E-2</v>
      </c>
      <c r="S752" s="20" t="str">
        <f t="shared" si="192"/>
        <v/>
      </c>
      <c r="T752" s="20" t="str">
        <f t="shared" si="193"/>
        <v/>
      </c>
      <c r="U752" s="20" t="str">
        <f t="shared" si="194"/>
        <v/>
      </c>
      <c r="V752" s="21" t="str">
        <f t="shared" si="195"/>
        <v/>
      </c>
      <c r="W752" s="21">
        <f t="shared" si="196"/>
        <v>613875405.8910768</v>
      </c>
      <c r="X752" s="19" t="str">
        <f t="shared" si="197"/>
        <v/>
      </c>
      <c r="Y752" s="17" t="str">
        <f t="shared" si="198"/>
        <v/>
      </c>
      <c r="Z752" s="17" t="str">
        <f t="shared" si="199"/>
        <v/>
      </c>
      <c r="AA752" s="20">
        <f t="shared" si="200"/>
        <v>3.1272269309683534E-2</v>
      </c>
      <c r="AB752" s="17" t="str">
        <f t="shared" si="201"/>
        <v/>
      </c>
      <c r="AC752" s="18" t="str">
        <f t="shared" si="202"/>
        <v/>
      </c>
      <c r="AD752" s="19" t="str">
        <f t="shared" si="203"/>
        <v/>
      </c>
    </row>
    <row r="753" spans="1:30" x14ac:dyDescent="0.25">
      <c r="A753" s="8">
        <v>902</v>
      </c>
      <c r="B753" s="9">
        <v>46019</v>
      </c>
      <c r="C753" s="10">
        <v>1.958333333333333</v>
      </c>
      <c r="D753" s="11">
        <v>138291.81701107399</v>
      </c>
      <c r="E753" s="11">
        <v>8022.8963538940015</v>
      </c>
      <c r="F753" s="11">
        <v>2995.0856971275689</v>
      </c>
      <c r="G753" s="11">
        <v>35624.343679288999</v>
      </c>
      <c r="H753" s="12">
        <v>3.210704051180184E-2</v>
      </c>
      <c r="I753" s="13">
        <v>807</v>
      </c>
      <c r="J753" s="13">
        <v>993782</v>
      </c>
      <c r="K753" s="12"/>
      <c r="L753" s="14">
        <v>124.63849999999999</v>
      </c>
      <c r="M753" s="15">
        <v>76402078282</v>
      </c>
      <c r="N753" s="16">
        <f t="shared" si="187"/>
        <v>102667.47333178499</v>
      </c>
      <c r="O753" s="17">
        <f t="shared" si="188"/>
        <v>149309.79906209555</v>
      </c>
      <c r="P753" s="18">
        <f t="shared" si="189"/>
        <v>18609749.390400995</v>
      </c>
      <c r="Q753" s="19">
        <f t="shared" si="190"/>
        <v>5.3733220487139008E-2</v>
      </c>
      <c r="R753" s="20">
        <f t="shared" si="191"/>
        <v>3.210704051180184E-2</v>
      </c>
      <c r="S753" s="20" t="str">
        <f t="shared" si="192"/>
        <v/>
      </c>
      <c r="T753" s="20" t="str">
        <f t="shared" si="193"/>
        <v/>
      </c>
      <c r="U753" s="20" t="str">
        <f t="shared" si="194"/>
        <v/>
      </c>
      <c r="V753" s="21" t="str">
        <f t="shared" si="195"/>
        <v/>
      </c>
      <c r="W753" s="21">
        <f t="shared" si="196"/>
        <v>612989391.57643914</v>
      </c>
      <c r="X753" s="19" t="str">
        <f t="shared" si="197"/>
        <v/>
      </c>
      <c r="Y753" s="17" t="str">
        <f t="shared" si="198"/>
        <v/>
      </c>
      <c r="Z753" s="17" t="str">
        <f t="shared" si="199"/>
        <v/>
      </c>
      <c r="AA753" s="20">
        <f t="shared" si="200"/>
        <v>3.1244452334989785E-2</v>
      </c>
      <c r="AB753" s="17" t="str">
        <f t="shared" si="201"/>
        <v/>
      </c>
      <c r="AC753" s="18" t="str">
        <f t="shared" si="202"/>
        <v/>
      </c>
      <c r="AD753" s="19" t="str">
        <f t="shared" si="203"/>
        <v/>
      </c>
    </row>
    <row r="754" spans="1:30" x14ac:dyDescent="0.25">
      <c r="A754" s="8">
        <v>903</v>
      </c>
      <c r="B754" s="9">
        <v>46021</v>
      </c>
      <c r="C754" s="10">
        <v>1.958333333333333</v>
      </c>
      <c r="D754" s="11">
        <v>138199.4885701132</v>
      </c>
      <c r="E754" s="11">
        <v>7640.197820892</v>
      </c>
      <c r="F754" s="11">
        <v>2968.3875988405912</v>
      </c>
      <c r="G754" s="11">
        <v>35638.744963739002</v>
      </c>
      <c r="H754" s="12">
        <v>3.2082665732095658E-2</v>
      </c>
      <c r="I754" s="13">
        <v>805</v>
      </c>
      <c r="J754" s="13">
        <v>1003614</v>
      </c>
      <c r="K754" s="12"/>
      <c r="L754" s="14">
        <v>123.0993</v>
      </c>
      <c r="M754" s="15">
        <v>75566792819</v>
      </c>
      <c r="N754" s="16">
        <f t="shared" si="187"/>
        <v>102560.74360637419</v>
      </c>
      <c r="O754" s="17">
        <f t="shared" si="188"/>
        <v>148808.07398984578</v>
      </c>
      <c r="P754" s="18">
        <f t="shared" si="189"/>
        <v>18318169.742498223</v>
      </c>
      <c r="Q754" s="19">
        <f t="shared" si="190"/>
        <v>5.1342629576761702E-2</v>
      </c>
      <c r="R754" s="20">
        <f t="shared" si="191"/>
        <v>3.2082665732095658E-2</v>
      </c>
      <c r="S754" s="20" t="str">
        <f t="shared" si="192"/>
        <v/>
      </c>
      <c r="T754" s="20" t="str">
        <f t="shared" si="193"/>
        <v/>
      </c>
      <c r="U754" s="20" t="str">
        <f t="shared" si="194"/>
        <v/>
      </c>
      <c r="V754" s="21" t="str">
        <f t="shared" si="195"/>
        <v/>
      </c>
      <c r="W754" s="21">
        <f t="shared" si="196"/>
        <v>613868582.67268777</v>
      </c>
      <c r="X754" s="19" t="str">
        <f t="shared" si="197"/>
        <v/>
      </c>
      <c r="Y754" s="17" t="str">
        <f t="shared" si="198"/>
        <v/>
      </c>
      <c r="Z754" s="17" t="str">
        <f t="shared" si="199"/>
        <v/>
      </c>
      <c r="AA754" s="20">
        <f t="shared" si="200"/>
        <v>3.1216660103753999E-2</v>
      </c>
      <c r="AB754" s="17" t="str">
        <f t="shared" si="201"/>
        <v/>
      </c>
      <c r="AC754" s="18" t="str">
        <f t="shared" si="202"/>
        <v/>
      </c>
      <c r="AD754" s="19" t="str">
        <f t="shared" si="203"/>
        <v/>
      </c>
    </row>
    <row r="755" spans="1:30" x14ac:dyDescent="0.25">
      <c r="A755" s="8">
        <v>904</v>
      </c>
      <c r="B755" s="9">
        <v>46023</v>
      </c>
      <c r="C755" s="10">
        <v>1.958333333333333</v>
      </c>
      <c r="D755" s="11">
        <v>138107.19263830091</v>
      </c>
      <c r="E755" s="11">
        <v>8382.7897357420006</v>
      </c>
      <c r="F755" s="11">
        <v>2781.3398110486919</v>
      </c>
      <c r="G755" s="11">
        <v>35648.364393484</v>
      </c>
      <c r="H755" s="12">
        <v>3.2087013503018499E-2</v>
      </c>
      <c r="I755" s="13">
        <v>800</v>
      </c>
      <c r="J755" s="13">
        <v>1003452</v>
      </c>
      <c r="K755" s="12"/>
      <c r="L755" s="14">
        <v>124.5164</v>
      </c>
      <c r="M755" s="15">
        <v>76432074047</v>
      </c>
      <c r="N755" s="16">
        <f t="shared" si="187"/>
        <v>102458.82824481692</v>
      </c>
      <c r="O755" s="17">
        <f t="shared" si="188"/>
        <v>149271.32218509162</v>
      </c>
      <c r="P755" s="18">
        <f t="shared" si="189"/>
        <v>18586727.661727741</v>
      </c>
      <c r="Q755" s="19">
        <f t="shared" si="190"/>
        <v>5.6158072515413326E-2</v>
      </c>
      <c r="R755" s="20">
        <f t="shared" si="191"/>
        <v>3.2087013503018499E-2</v>
      </c>
      <c r="S755" s="20" t="str">
        <f t="shared" si="192"/>
        <v/>
      </c>
      <c r="T755" s="20" t="str">
        <f t="shared" si="193"/>
        <v/>
      </c>
      <c r="U755" s="20" t="str">
        <f t="shared" si="194"/>
        <v/>
      </c>
      <c r="V755" s="21" t="str">
        <f t="shared" si="195"/>
        <v/>
      </c>
      <c r="W755" s="21">
        <f t="shared" si="196"/>
        <v>613831383.23144579</v>
      </c>
      <c r="X755" s="19" t="str">
        <f t="shared" si="197"/>
        <v/>
      </c>
      <c r="Y755" s="17" t="str">
        <f t="shared" si="198"/>
        <v/>
      </c>
      <c r="Z755" s="17" t="str">
        <f t="shared" si="199"/>
        <v/>
      </c>
      <c r="AA755" s="20">
        <f t="shared" si="200"/>
        <v>3.1188892593966649E-2</v>
      </c>
      <c r="AB755" s="17" t="str">
        <f t="shared" si="201"/>
        <v/>
      </c>
      <c r="AC755" s="18" t="str">
        <f t="shared" si="202"/>
        <v/>
      </c>
      <c r="AD755" s="19" t="str">
        <f t="shared" si="203"/>
        <v/>
      </c>
    </row>
    <row r="756" spans="1:30" x14ac:dyDescent="0.25">
      <c r="A756" s="8">
        <v>905</v>
      </c>
      <c r="B756" s="9">
        <v>46025</v>
      </c>
      <c r="C756" s="10">
        <v>1.958333333333333</v>
      </c>
      <c r="D756" s="11">
        <v>138014.93016517119</v>
      </c>
      <c r="E756" s="11">
        <v>9138.9673858870028</v>
      </c>
      <c r="F756" s="11">
        <v>3589.4274986232681</v>
      </c>
      <c r="G756" s="11">
        <v>35504.030460226997</v>
      </c>
      <c r="H756" s="12">
        <v>3.1966678353631837E-2</v>
      </c>
      <c r="I756" s="13">
        <v>800</v>
      </c>
      <c r="J756" s="13">
        <v>1008751</v>
      </c>
      <c r="K756" s="12"/>
      <c r="L756" s="14">
        <v>132.04839999999999</v>
      </c>
      <c r="M756" s="15">
        <v>81119764798</v>
      </c>
      <c r="N756" s="16">
        <f t="shared" si="187"/>
        <v>102510.8997049442</v>
      </c>
      <c r="O756" s="17">
        <f t="shared" si="188"/>
        <v>150743.32504968144</v>
      </c>
      <c r="P756" s="18">
        <f t="shared" si="189"/>
        <v>19905414.883490354</v>
      </c>
      <c r="Q756" s="19">
        <f t="shared" si="190"/>
        <v>6.0626016991963093E-2</v>
      </c>
      <c r="R756" s="20">
        <f t="shared" si="191"/>
        <v>3.1966678353631837E-2</v>
      </c>
      <c r="S756" s="20" t="str">
        <f t="shared" si="192"/>
        <v/>
      </c>
      <c r="T756" s="20" t="str">
        <f t="shared" si="193"/>
        <v/>
      </c>
      <c r="U756" s="20" t="str">
        <f t="shared" si="194"/>
        <v/>
      </c>
      <c r="V756" s="21" t="str">
        <f t="shared" si="195"/>
        <v/>
      </c>
      <c r="W756" s="21">
        <f t="shared" si="196"/>
        <v>614318422.62382591</v>
      </c>
      <c r="X756" s="19" t="str">
        <f t="shared" si="197"/>
        <v/>
      </c>
      <c r="Y756" s="17" t="str">
        <f t="shared" si="198"/>
        <v/>
      </c>
      <c r="Z756" s="17" t="str">
        <f t="shared" si="199"/>
        <v/>
      </c>
      <c r="AA756" s="20">
        <f t="shared" si="200"/>
        <v>3.1161149783637765E-2</v>
      </c>
      <c r="AB756" s="17" t="str">
        <f t="shared" si="201"/>
        <v/>
      </c>
      <c r="AC756" s="18" t="str">
        <f t="shared" si="202"/>
        <v/>
      </c>
      <c r="AD756" s="19" t="str">
        <f t="shared" si="203"/>
        <v/>
      </c>
    </row>
    <row r="757" spans="1:30" x14ac:dyDescent="0.25">
      <c r="A757" s="8">
        <v>906</v>
      </c>
      <c r="B757" s="9">
        <v>46027</v>
      </c>
      <c r="C757" s="10">
        <v>1.958333333333333</v>
      </c>
      <c r="D757" s="11">
        <v>137922.6950910016</v>
      </c>
      <c r="E757" s="11">
        <v>11867.077913450001</v>
      </c>
      <c r="F757" s="11">
        <v>4946.1122293301351</v>
      </c>
      <c r="G757" s="11">
        <v>35412.063321114998</v>
      </c>
      <c r="H757" s="12">
        <v>3.200444988083205E-2</v>
      </c>
      <c r="I757" s="13">
        <v>798</v>
      </c>
      <c r="J757" s="13">
        <v>1007651</v>
      </c>
      <c r="K757" s="12"/>
      <c r="L757" s="14">
        <v>133.8604</v>
      </c>
      <c r="M757" s="15">
        <v>82233489101</v>
      </c>
      <c r="N757" s="16">
        <f t="shared" si="187"/>
        <v>102510.6317698866</v>
      </c>
      <c r="O757" s="17">
        <f t="shared" si="188"/>
        <v>154735.88523378174</v>
      </c>
      <c r="P757" s="18">
        <f t="shared" si="189"/>
        <v>20713007.491748117</v>
      </c>
      <c r="Q757" s="19">
        <f t="shared" si="190"/>
        <v>7.669247437671424E-2</v>
      </c>
      <c r="R757" s="20">
        <f t="shared" si="191"/>
        <v>3.200444988083205E-2</v>
      </c>
      <c r="S757" s="20" t="str">
        <f t="shared" si="192"/>
        <v/>
      </c>
      <c r="T757" s="20" t="str">
        <f t="shared" si="193"/>
        <v/>
      </c>
      <c r="U757" s="20" t="str">
        <f t="shared" si="194"/>
        <v/>
      </c>
      <c r="V757" s="21" t="str">
        <f t="shared" si="195"/>
        <v/>
      </c>
      <c r="W757" s="21">
        <f t="shared" si="196"/>
        <v>614322750.42506969</v>
      </c>
      <c r="X757" s="19" t="str">
        <f t="shared" si="197"/>
        <v/>
      </c>
      <c r="Y757" s="17" t="str">
        <f t="shared" si="198"/>
        <v/>
      </c>
      <c r="Z757" s="17" t="str">
        <f t="shared" si="199"/>
        <v/>
      </c>
      <c r="AA757" s="20">
        <f t="shared" si="200"/>
        <v>3.1133431650796947E-2</v>
      </c>
      <c r="AB757" s="17" t="str">
        <f t="shared" si="201"/>
        <v/>
      </c>
      <c r="AC757" s="18" t="str">
        <f t="shared" si="202"/>
        <v/>
      </c>
      <c r="AD757" s="19" t="str">
        <f t="shared" si="203"/>
        <v/>
      </c>
    </row>
    <row r="758" spans="1:30" x14ac:dyDescent="0.25">
      <c r="A758" s="8">
        <v>907</v>
      </c>
      <c r="B758" s="9">
        <v>46029</v>
      </c>
      <c r="C758" s="10">
        <v>1.958333333333333</v>
      </c>
      <c r="D758" s="11">
        <v>137830.47825813771</v>
      </c>
      <c r="E758" s="11">
        <v>10811.82681896899</v>
      </c>
      <c r="F758" s="11">
        <v>3878.5307850509771</v>
      </c>
      <c r="G758" s="11">
        <v>35435.939820569001</v>
      </c>
      <c r="H758" s="12">
        <v>3.1972762541661121E-2</v>
      </c>
      <c r="I758" s="13">
        <v>796</v>
      </c>
      <c r="J758" s="13">
        <v>1017442</v>
      </c>
      <c r="K758" s="12"/>
      <c r="L758" s="14">
        <v>141.10230000000001</v>
      </c>
      <c r="M758" s="15">
        <v>86703825847</v>
      </c>
      <c r="N758" s="16">
        <f t="shared" si="187"/>
        <v>102394.5384375687</v>
      </c>
      <c r="O758" s="17">
        <f t="shared" si="188"/>
        <v>152520.83586215766</v>
      </c>
      <c r="P758" s="18">
        <f t="shared" si="189"/>
        <v>21521040.738072932</v>
      </c>
      <c r="Q758" s="19">
        <f t="shared" si="190"/>
        <v>7.0887539776796751E-2</v>
      </c>
      <c r="R758" s="20">
        <f t="shared" si="191"/>
        <v>3.1972762541661121E-2</v>
      </c>
      <c r="S758" s="20" t="str">
        <f t="shared" si="192"/>
        <v/>
      </c>
      <c r="T758" s="20" t="str">
        <f t="shared" si="193"/>
        <v/>
      </c>
      <c r="U758" s="20" t="str">
        <f t="shared" si="194"/>
        <v/>
      </c>
      <c r="V758" s="21" t="str">
        <f t="shared" si="195"/>
        <v/>
      </c>
      <c r="W758" s="21">
        <f t="shared" si="196"/>
        <v>614474929.51567757</v>
      </c>
      <c r="X758" s="19" t="str">
        <f t="shared" si="197"/>
        <v/>
      </c>
      <c r="Y758" s="17" t="str">
        <f t="shared" si="198"/>
        <v/>
      </c>
      <c r="Z758" s="17" t="str">
        <f t="shared" si="199"/>
        <v/>
      </c>
      <c r="AA758" s="20">
        <f t="shared" si="200"/>
        <v>3.1105738173493356E-2</v>
      </c>
      <c r="AB758" s="17" t="str">
        <f t="shared" si="201"/>
        <v/>
      </c>
      <c r="AC758" s="18" t="str">
        <f t="shared" si="202"/>
        <v/>
      </c>
      <c r="AD758" s="19" t="str">
        <f t="shared" si="203"/>
        <v/>
      </c>
    </row>
    <row r="759" spans="1:30" x14ac:dyDescent="0.25">
      <c r="A759" s="8">
        <v>908</v>
      </c>
      <c r="B759" s="9">
        <v>46031</v>
      </c>
      <c r="C759" s="10">
        <v>1.958333333333333</v>
      </c>
      <c r="D759" s="11">
        <v>137738.29718626259</v>
      </c>
      <c r="E759" s="11">
        <v>10058.713647319009</v>
      </c>
      <c r="F759" s="11">
        <v>3088.3791153487591</v>
      </c>
      <c r="G759" s="11">
        <v>35388.011402096003</v>
      </c>
      <c r="H759" s="12">
        <v>3.2009121801986222E-2</v>
      </c>
      <c r="I759" s="13">
        <v>799</v>
      </c>
      <c r="J759" s="13">
        <v>1013446</v>
      </c>
      <c r="K759" s="12"/>
      <c r="L759" s="14">
        <v>138.2946</v>
      </c>
      <c r="M759" s="15">
        <v>85097925572</v>
      </c>
      <c r="N759" s="16">
        <f t="shared" si="187"/>
        <v>102350.28578416658</v>
      </c>
      <c r="O759" s="17">
        <f t="shared" si="188"/>
        <v>150885.38994893036</v>
      </c>
      <c r="P759" s="18">
        <f t="shared" si="189"/>
        <v>20866634.648831345</v>
      </c>
      <c r="Q759" s="19">
        <f t="shared" si="190"/>
        <v>6.6664596557185207E-2</v>
      </c>
      <c r="R759" s="20">
        <f t="shared" si="191"/>
        <v>3.2009121801986222E-2</v>
      </c>
      <c r="S759" s="20" t="str">
        <f t="shared" si="192"/>
        <v/>
      </c>
      <c r="T759" s="20" t="str">
        <f t="shared" si="193"/>
        <v/>
      </c>
      <c r="U759" s="20" t="str">
        <f t="shared" si="194"/>
        <v/>
      </c>
      <c r="V759" s="21" t="str">
        <f t="shared" si="195"/>
        <v/>
      </c>
      <c r="W759" s="21">
        <f t="shared" si="196"/>
        <v>615338021.67257428</v>
      </c>
      <c r="X759" s="19" t="str">
        <f t="shared" si="197"/>
        <v/>
      </c>
      <c r="Y759" s="17" t="str">
        <f t="shared" si="198"/>
        <v/>
      </c>
      <c r="Z759" s="17" t="str">
        <f t="shared" si="199"/>
        <v/>
      </c>
      <c r="AA759" s="20">
        <f t="shared" si="200"/>
        <v>3.1078069329795639E-2</v>
      </c>
      <c r="AB759" s="17" t="str">
        <f t="shared" si="201"/>
        <v/>
      </c>
      <c r="AC759" s="18" t="str">
        <f t="shared" si="202"/>
        <v/>
      </c>
      <c r="AD759" s="19" t="str">
        <f t="shared" si="203"/>
        <v/>
      </c>
    </row>
    <row r="760" spans="1:30" x14ac:dyDescent="0.25">
      <c r="A760" s="8">
        <v>909</v>
      </c>
      <c r="B760" s="9">
        <v>46033</v>
      </c>
      <c r="C760" s="10">
        <v>1.958333333333333</v>
      </c>
      <c r="D760" s="11">
        <v>137646.16541817729</v>
      </c>
      <c r="E760" s="11">
        <v>11252.112676854011</v>
      </c>
      <c r="F760" s="11">
        <v>3508.4847883162261</v>
      </c>
      <c r="G760" s="11">
        <v>35446.520731787998</v>
      </c>
      <c r="H760" s="12">
        <v>3.2151642808202908E-2</v>
      </c>
      <c r="I760" s="13">
        <v>795</v>
      </c>
      <c r="J760" s="13">
        <v>1019680</v>
      </c>
      <c r="K760" s="12"/>
      <c r="L760" s="14">
        <v>135.80170000000001</v>
      </c>
      <c r="M760" s="15">
        <v>83578993338</v>
      </c>
      <c r="N760" s="16">
        <f t="shared" si="187"/>
        <v>102199.64468638929</v>
      </c>
      <c r="O760" s="17">
        <f t="shared" si="188"/>
        <v>152406.76288334752</v>
      </c>
      <c r="P760" s="18">
        <f t="shared" si="189"/>
        <v>20697097.491055496</v>
      </c>
      <c r="Q760" s="19">
        <f t="shared" si="190"/>
        <v>7.3829484098854606E-2</v>
      </c>
      <c r="R760" s="20">
        <f t="shared" si="191"/>
        <v>3.2151642808202908E-2</v>
      </c>
      <c r="S760" s="20" t="str">
        <f t="shared" si="192"/>
        <v/>
      </c>
      <c r="T760" s="20" t="str">
        <f t="shared" si="193"/>
        <v/>
      </c>
      <c r="U760" s="20" t="str">
        <f t="shared" si="194"/>
        <v/>
      </c>
      <c r="V760" s="21" t="str">
        <f t="shared" si="195"/>
        <v/>
      </c>
      <c r="W760" s="21">
        <f t="shared" si="196"/>
        <v>615448800.25802326</v>
      </c>
      <c r="X760" s="19" t="str">
        <f t="shared" si="197"/>
        <v/>
      </c>
      <c r="Y760" s="17" t="str">
        <f t="shared" si="198"/>
        <v/>
      </c>
      <c r="Z760" s="17" t="str">
        <f t="shared" si="199"/>
        <v/>
      </c>
      <c r="AA760" s="20">
        <f t="shared" si="200"/>
        <v>3.1050425097791993E-2</v>
      </c>
      <c r="AB760" s="17" t="str">
        <f t="shared" si="201"/>
        <v/>
      </c>
      <c r="AC760" s="18" t="str">
        <f t="shared" si="202"/>
        <v/>
      </c>
      <c r="AD760" s="19" t="str">
        <f t="shared" si="203"/>
        <v/>
      </c>
    </row>
    <row r="761" spans="1:30" x14ac:dyDescent="0.25">
      <c r="A761" s="8">
        <v>910</v>
      </c>
      <c r="B761" s="9">
        <v>46035</v>
      </c>
      <c r="C761" s="10">
        <v>1.958333333333333</v>
      </c>
      <c r="D761" s="11">
        <v>137554.05847747999</v>
      </c>
      <c r="E761" s="11">
        <v>12722.846886361</v>
      </c>
      <c r="F761" s="11">
        <v>4354.4431191161893</v>
      </c>
      <c r="G761" s="11">
        <v>35406.6808237</v>
      </c>
      <c r="H761" s="12">
        <v>3.2103216134318387E-2</v>
      </c>
      <c r="I761" s="13">
        <v>802</v>
      </c>
      <c r="J761" s="13">
        <v>1019386</v>
      </c>
      <c r="K761" s="12"/>
      <c r="L761" s="14">
        <v>139.1103</v>
      </c>
      <c r="M761" s="15">
        <v>85729166198</v>
      </c>
      <c r="N761" s="16">
        <f t="shared" si="187"/>
        <v>102147.37765377999</v>
      </c>
      <c r="O761" s="17">
        <f t="shared" si="188"/>
        <v>154631.34848295717</v>
      </c>
      <c r="P761" s="18">
        <f t="shared" si="189"/>
        <v>21510813.276868716</v>
      </c>
      <c r="Q761" s="19">
        <f t="shared" si="190"/>
        <v>8.2278574242423158E-2</v>
      </c>
      <c r="R761" s="20">
        <f t="shared" si="191"/>
        <v>3.2103216134318387E-2</v>
      </c>
      <c r="S761" s="20" t="str">
        <f t="shared" si="192"/>
        <v/>
      </c>
      <c r="T761" s="20" t="str">
        <f t="shared" si="193"/>
        <v/>
      </c>
      <c r="U761" s="20" t="str">
        <f t="shared" si="194"/>
        <v/>
      </c>
      <c r="V761" s="21" t="str">
        <f t="shared" si="195"/>
        <v/>
      </c>
      <c r="W761" s="21">
        <f t="shared" si="196"/>
        <v>616267567.52016211</v>
      </c>
      <c r="X761" s="19" t="str">
        <f t="shared" si="197"/>
        <v/>
      </c>
      <c r="Y761" s="17" t="str">
        <f t="shared" si="198"/>
        <v/>
      </c>
      <c r="Z761" s="17" t="str">
        <f t="shared" si="199"/>
        <v/>
      </c>
      <c r="AA761" s="20">
        <f t="shared" si="200"/>
        <v>3.1022805455590084E-2</v>
      </c>
      <c r="AB761" s="17" t="str">
        <f t="shared" si="201"/>
        <v/>
      </c>
      <c r="AC761" s="18" t="str">
        <f t="shared" si="202"/>
        <v/>
      </c>
      <c r="AD761" s="19" t="str">
        <f t="shared" si="203"/>
        <v/>
      </c>
    </row>
    <row r="762" spans="1:30" x14ac:dyDescent="0.25">
      <c r="A762" s="8">
        <v>911</v>
      </c>
      <c r="B762" s="9">
        <v>46037</v>
      </c>
      <c r="C762" s="10">
        <v>1.958333333333333</v>
      </c>
      <c r="D762" s="11">
        <v>137461.96766850611</v>
      </c>
      <c r="E762" s="11">
        <v>14927.987682804011</v>
      </c>
      <c r="F762" s="11">
        <v>5507.9517038643671</v>
      </c>
      <c r="G762" s="11">
        <v>35423.144575954</v>
      </c>
      <c r="H762" s="12">
        <v>3.2144079566104343E-2</v>
      </c>
      <c r="I762" s="13">
        <v>798</v>
      </c>
      <c r="J762" s="13">
        <v>1022163</v>
      </c>
      <c r="K762" s="12"/>
      <c r="L762" s="14">
        <v>146.70849999999999</v>
      </c>
      <c r="M762" s="15">
        <v>90382108450</v>
      </c>
      <c r="N762" s="16">
        <f t="shared" si="187"/>
        <v>102038.82309255211</v>
      </c>
      <c r="O762" s="17">
        <f t="shared" si="188"/>
        <v>157897.90705517447</v>
      </c>
      <c r="P762" s="18">
        <f t="shared" si="189"/>
        <v>23164965.097204059</v>
      </c>
      <c r="Q762" s="19">
        <f t="shared" si="190"/>
        <v>9.4542023774816117E-2</v>
      </c>
      <c r="R762" s="20">
        <f t="shared" si="191"/>
        <v>3.2144079566104343E-2</v>
      </c>
      <c r="S762" s="20" t="str">
        <f t="shared" si="192"/>
        <v/>
      </c>
      <c r="T762" s="20" t="str">
        <f t="shared" si="193"/>
        <v/>
      </c>
      <c r="U762" s="20" t="str">
        <f t="shared" si="194"/>
        <v/>
      </c>
      <c r="V762" s="21" t="str">
        <f t="shared" si="195"/>
        <v/>
      </c>
      <c r="W762" s="21">
        <f t="shared" si="196"/>
        <v>616065929.7177738</v>
      </c>
      <c r="X762" s="19" t="str">
        <f t="shared" si="197"/>
        <v/>
      </c>
      <c r="Y762" s="17" t="str">
        <f t="shared" si="198"/>
        <v/>
      </c>
      <c r="Z762" s="17" t="str">
        <f t="shared" si="199"/>
        <v/>
      </c>
      <c r="AA762" s="20">
        <f t="shared" si="200"/>
        <v>3.0995210381317043E-2</v>
      </c>
      <c r="AB762" s="17" t="str">
        <f t="shared" si="201"/>
        <v/>
      </c>
      <c r="AC762" s="18" t="str">
        <f t="shared" si="202"/>
        <v/>
      </c>
      <c r="AD762" s="19" t="str">
        <f t="shared" si="203"/>
        <v/>
      </c>
    </row>
    <row r="763" spans="1:30" x14ac:dyDescent="0.25">
      <c r="A763" s="8">
        <v>912</v>
      </c>
      <c r="B763" s="9">
        <v>46038</v>
      </c>
      <c r="C763" s="10">
        <v>1.958333333333333</v>
      </c>
      <c r="D763" s="11">
        <v>137369.90978477651</v>
      </c>
      <c r="E763" s="11">
        <v>10913.103521894</v>
      </c>
      <c r="F763" s="11">
        <v>3831.5270299787289</v>
      </c>
      <c r="G763" s="11">
        <v>35451.392801018003</v>
      </c>
      <c r="H763" s="12">
        <v>3.2088959926458077E-2</v>
      </c>
      <c r="I763" s="13">
        <v>800</v>
      </c>
      <c r="J763" s="13">
        <v>1016346</v>
      </c>
      <c r="K763" s="12"/>
      <c r="L763" s="14">
        <v>142.273</v>
      </c>
      <c r="M763" s="15">
        <v>87694005818</v>
      </c>
      <c r="N763" s="16">
        <f t="shared" si="187"/>
        <v>101918.51698375851</v>
      </c>
      <c r="O763" s="17">
        <f t="shared" si="188"/>
        <v>152114.54033664922</v>
      </c>
      <c r="P763" s="18">
        <f t="shared" si="189"/>
        <v>21641791.997316096</v>
      </c>
      <c r="Q763" s="19">
        <f t="shared" si="190"/>
        <v>7.1742671658750604E-2</v>
      </c>
      <c r="R763" s="20">
        <f t="shared" si="191"/>
        <v>3.2088959926458077E-2</v>
      </c>
      <c r="S763" s="20" t="str">
        <f t="shared" si="192"/>
        <v/>
      </c>
      <c r="T763" s="20" t="str">
        <f t="shared" si="193"/>
        <v/>
      </c>
      <c r="U763" s="20" t="str">
        <f t="shared" si="194"/>
        <v/>
      </c>
      <c r="V763" s="21" t="str">
        <f t="shared" si="195"/>
        <v/>
      </c>
      <c r="W763" s="21">
        <f t="shared" si="196"/>
        <v>616378412.05288422</v>
      </c>
      <c r="X763" s="19" t="str">
        <f t="shared" si="197"/>
        <v/>
      </c>
      <c r="Y763" s="17" t="str">
        <f t="shared" si="198"/>
        <v/>
      </c>
      <c r="Z763" s="17" t="str">
        <f t="shared" si="199"/>
        <v/>
      </c>
      <c r="AA763" s="20">
        <f t="shared" si="200"/>
        <v>3.0981422050323903E-2</v>
      </c>
      <c r="AB763" s="17" t="str">
        <f t="shared" si="201"/>
        <v/>
      </c>
      <c r="AC763" s="18" t="str">
        <f t="shared" si="202"/>
        <v/>
      </c>
      <c r="AD763" s="19" t="str">
        <f t="shared" si="203"/>
        <v/>
      </c>
    </row>
    <row r="764" spans="1:30" x14ac:dyDescent="0.25">
      <c r="A764" s="8">
        <v>913</v>
      </c>
      <c r="B764" s="9">
        <v>46040</v>
      </c>
      <c r="C764" s="10">
        <v>1.958333333333333</v>
      </c>
      <c r="D764" s="11">
        <v>137277.888252679</v>
      </c>
      <c r="E764" s="11">
        <v>12444.705822469999</v>
      </c>
      <c r="F764" s="11">
        <v>4873.691989647753</v>
      </c>
      <c r="G764" s="11">
        <v>35339.969716043997</v>
      </c>
      <c r="H764" s="12">
        <v>3.2442780271285457E-2</v>
      </c>
      <c r="I764" s="13">
        <v>794</v>
      </c>
      <c r="J764" s="13">
        <v>1028947</v>
      </c>
      <c r="K764" s="12"/>
      <c r="L764" s="14">
        <v>143.70920000000001</v>
      </c>
      <c r="M764" s="15">
        <v>88626463242</v>
      </c>
      <c r="N764" s="16">
        <f t="shared" si="187"/>
        <v>101937.918536635</v>
      </c>
      <c r="O764" s="17">
        <f t="shared" si="188"/>
        <v>154596.28606479673</v>
      </c>
      <c r="P764" s="18">
        <f t="shared" si="189"/>
        <v>22216908.593343087</v>
      </c>
      <c r="Q764" s="19">
        <f t="shared" si="190"/>
        <v>8.0498090473234182E-2</v>
      </c>
      <c r="R764" s="20">
        <f t="shared" si="191"/>
        <v>3.2442780271285457E-2</v>
      </c>
      <c r="S764" s="20" t="str">
        <f t="shared" si="192"/>
        <v/>
      </c>
      <c r="T764" s="20" t="str">
        <f t="shared" si="193"/>
        <v/>
      </c>
      <c r="U764" s="20" t="str">
        <f t="shared" si="194"/>
        <v/>
      </c>
      <c r="V764" s="21" t="str">
        <f t="shared" si="195"/>
        <v/>
      </c>
      <c r="W764" s="21">
        <f t="shared" si="196"/>
        <v>616706955.72726023</v>
      </c>
      <c r="X764" s="19" t="str">
        <f t="shared" si="197"/>
        <v/>
      </c>
      <c r="Y764" s="17" t="str">
        <f t="shared" si="198"/>
        <v/>
      </c>
      <c r="Z764" s="17" t="str">
        <f t="shared" si="199"/>
        <v/>
      </c>
      <c r="AA764" s="20">
        <f t="shared" si="200"/>
        <v>3.0953863786975126E-2</v>
      </c>
      <c r="AB764" s="17" t="str">
        <f t="shared" si="201"/>
        <v/>
      </c>
      <c r="AC764" s="18" t="str">
        <f t="shared" si="202"/>
        <v/>
      </c>
      <c r="AD764" s="19" t="str">
        <f t="shared" si="203"/>
        <v/>
      </c>
    </row>
    <row r="765" spans="1:30" x14ac:dyDescent="0.25">
      <c r="A765" s="8">
        <v>914</v>
      </c>
      <c r="B765" s="9">
        <v>46042</v>
      </c>
      <c r="C765" s="10">
        <v>1.958333333333333</v>
      </c>
      <c r="D765" s="11">
        <v>137185.89341527669</v>
      </c>
      <c r="E765" s="11">
        <v>12714.451432951</v>
      </c>
      <c r="F765" s="11">
        <v>4103.7691849292287</v>
      </c>
      <c r="G765" s="11">
        <v>35300.845337229999</v>
      </c>
      <c r="H765" s="12">
        <v>3.2445836131561767E-2</v>
      </c>
      <c r="I765" s="13">
        <v>799</v>
      </c>
      <c r="J765" s="13">
        <v>1021212</v>
      </c>
      <c r="K765" s="12"/>
      <c r="L765" s="14">
        <v>133.43360000000001</v>
      </c>
      <c r="M765" s="15">
        <v>82319019636</v>
      </c>
      <c r="N765" s="16">
        <f t="shared" si="187"/>
        <v>101885.04807804669</v>
      </c>
      <c r="O765" s="17">
        <f t="shared" si="188"/>
        <v>154004.11403315692</v>
      </c>
      <c r="P765" s="18">
        <f t="shared" si="189"/>
        <v>20549323.350254647</v>
      </c>
      <c r="Q765" s="19">
        <f t="shared" si="190"/>
        <v>8.2559167414278253E-2</v>
      </c>
      <c r="R765" s="20">
        <f t="shared" si="191"/>
        <v>3.2445836131561767E-2</v>
      </c>
      <c r="S765" s="20" t="str">
        <f t="shared" si="192"/>
        <v/>
      </c>
      <c r="T765" s="20" t="str">
        <f t="shared" si="193"/>
        <v/>
      </c>
      <c r="U765" s="20" t="str">
        <f t="shared" si="194"/>
        <v/>
      </c>
      <c r="V765" s="21" t="str">
        <f t="shared" si="195"/>
        <v/>
      </c>
      <c r="W765" s="21">
        <f t="shared" si="196"/>
        <v>616928716.87491</v>
      </c>
      <c r="X765" s="19" t="str">
        <f t="shared" si="197"/>
        <v/>
      </c>
      <c r="Y765" s="17" t="str">
        <f t="shared" si="198"/>
        <v/>
      </c>
      <c r="Z765" s="17" t="str">
        <f t="shared" si="199"/>
        <v/>
      </c>
      <c r="AA765" s="20">
        <f t="shared" si="200"/>
        <v>3.0926330036958164E-2</v>
      </c>
      <c r="AB765" s="17" t="str">
        <f t="shared" si="201"/>
        <v/>
      </c>
      <c r="AC765" s="18" t="str">
        <f t="shared" si="202"/>
        <v/>
      </c>
      <c r="AD765" s="19" t="str">
        <f t="shared" si="203"/>
        <v/>
      </c>
    </row>
    <row r="766" spans="1:30" x14ac:dyDescent="0.25">
      <c r="A766" s="8">
        <v>915</v>
      </c>
      <c r="B766" s="9">
        <v>46044</v>
      </c>
      <c r="C766" s="10">
        <v>1.958333333333333</v>
      </c>
      <c r="D766" s="11">
        <v>137093.92238194341</v>
      </c>
      <c r="E766" s="11">
        <v>12911.439691303</v>
      </c>
      <c r="F766" s="11">
        <v>4447.9155606040504</v>
      </c>
      <c r="G766" s="11">
        <v>35386.417558879999</v>
      </c>
      <c r="H766" s="12">
        <v>3.2816064516248578E-2</v>
      </c>
      <c r="I766" s="13">
        <v>793</v>
      </c>
      <c r="J766" s="13">
        <v>1028670</v>
      </c>
      <c r="K766" s="12"/>
      <c r="L766" s="14">
        <v>129.33789999999999</v>
      </c>
      <c r="M766" s="15">
        <v>79774183234</v>
      </c>
      <c r="N766" s="16">
        <f t="shared" si="187"/>
        <v>101707.50482306341</v>
      </c>
      <c r="O766" s="17">
        <f t="shared" si="188"/>
        <v>154453.27763385046</v>
      </c>
      <c r="P766" s="18">
        <f t="shared" si="189"/>
        <v>19976662.577279188</v>
      </c>
      <c r="Q766" s="19">
        <f t="shared" si="190"/>
        <v>8.3594468755212023E-2</v>
      </c>
      <c r="R766" s="20">
        <f t="shared" si="191"/>
        <v>3.2816064516248578E-2</v>
      </c>
      <c r="S766" s="20" t="str">
        <f t="shared" si="192"/>
        <v/>
      </c>
      <c r="T766" s="20" t="str">
        <f t="shared" si="193"/>
        <v/>
      </c>
      <c r="U766" s="20" t="str">
        <f t="shared" si="194"/>
        <v/>
      </c>
      <c r="V766" s="21" t="str">
        <f t="shared" si="195"/>
        <v/>
      </c>
      <c r="W766" s="21">
        <f t="shared" si="196"/>
        <v>616788916.73670292</v>
      </c>
      <c r="X766" s="19" t="str">
        <f t="shared" si="197"/>
        <v/>
      </c>
      <c r="Y766" s="17" t="str">
        <f t="shared" si="198"/>
        <v/>
      </c>
      <c r="Z766" s="17" t="str">
        <f t="shared" si="199"/>
        <v/>
      </c>
      <c r="AA766" s="20">
        <f t="shared" si="200"/>
        <v>3.0898820778468183E-2</v>
      </c>
      <c r="AB766" s="17" t="str">
        <f t="shared" si="201"/>
        <v/>
      </c>
      <c r="AC766" s="18" t="str">
        <f t="shared" si="202"/>
        <v/>
      </c>
      <c r="AD766" s="19" t="str">
        <f t="shared" si="203"/>
        <v/>
      </c>
    </row>
    <row r="767" spans="1:30" x14ac:dyDescent="0.25">
      <c r="A767" s="8">
        <v>916</v>
      </c>
      <c r="B767" s="9">
        <v>46046</v>
      </c>
      <c r="C767" s="10">
        <v>1.958333333333333</v>
      </c>
      <c r="D767" s="11">
        <v>137001.99351028461</v>
      </c>
      <c r="E767" s="11">
        <v>19923.005749370011</v>
      </c>
      <c r="F767" s="11">
        <v>8820.0927791114973</v>
      </c>
      <c r="G767" s="11">
        <v>35658.628987898002</v>
      </c>
      <c r="H767" s="12">
        <v>3.3293028000680722E-2</v>
      </c>
      <c r="I767" s="13">
        <v>800</v>
      </c>
      <c r="J767" s="13">
        <v>1025210</v>
      </c>
      <c r="K767" s="12"/>
      <c r="L767" s="14">
        <v>127.249</v>
      </c>
      <c r="M767" s="15">
        <v>78517184235</v>
      </c>
      <c r="N767" s="16">
        <f t="shared" si="187"/>
        <v>101343.3645223866</v>
      </c>
      <c r="O767" s="17">
        <f t="shared" si="188"/>
        <v>165745.0920387661</v>
      </c>
      <c r="P767" s="18">
        <f t="shared" si="189"/>
        <v>21090897.216840945</v>
      </c>
      <c r="Q767" s="19">
        <f t="shared" si="190"/>
        <v>0.1202026889864722</v>
      </c>
      <c r="R767" s="20">
        <f t="shared" si="191"/>
        <v>3.3293028000680722E-2</v>
      </c>
      <c r="S767" s="20" t="str">
        <f t="shared" si="192"/>
        <v/>
      </c>
      <c r="T767" s="20" t="str">
        <f t="shared" si="193"/>
        <v/>
      </c>
      <c r="U767" s="20" t="str">
        <f t="shared" si="194"/>
        <v/>
      </c>
      <c r="V767" s="21" t="str">
        <f t="shared" si="195"/>
        <v/>
      </c>
      <c r="W767" s="21">
        <f t="shared" si="196"/>
        <v>617035766.37144494</v>
      </c>
      <c r="X767" s="19" t="str">
        <f t="shared" si="197"/>
        <v/>
      </c>
      <c r="Y767" s="17" t="str">
        <f t="shared" si="198"/>
        <v/>
      </c>
      <c r="Z767" s="17" t="str">
        <f t="shared" si="199"/>
        <v/>
      </c>
      <c r="AA767" s="20">
        <f t="shared" si="200"/>
        <v>3.0871335989719726E-2</v>
      </c>
      <c r="AB767" s="17" t="str">
        <f t="shared" si="201"/>
        <v/>
      </c>
      <c r="AC767" s="18" t="str">
        <f t="shared" si="202"/>
        <v/>
      </c>
      <c r="AD767" s="19" t="str">
        <f t="shared" si="203"/>
        <v/>
      </c>
    </row>
    <row r="768" spans="1:30" x14ac:dyDescent="0.25">
      <c r="A768" s="8">
        <v>917</v>
      </c>
      <c r="B768" s="9">
        <v>46048</v>
      </c>
      <c r="C768" s="10">
        <v>2</v>
      </c>
      <c r="D768" s="11">
        <v>136910.07590585679</v>
      </c>
      <c r="E768" s="11">
        <v>19020.159957080021</v>
      </c>
      <c r="F768" s="11">
        <v>7441.5481657287673</v>
      </c>
      <c r="G768" s="11">
        <v>35549.155491493002</v>
      </c>
      <c r="H768" s="12">
        <v>3.3164374661492697E-2</v>
      </c>
      <c r="I768" s="13">
        <v>800</v>
      </c>
      <c r="J768" s="13">
        <v>1029192</v>
      </c>
      <c r="K768" s="12"/>
      <c r="L768" s="14">
        <v>118.8905</v>
      </c>
      <c r="M768" s="15">
        <v>73428723670</v>
      </c>
      <c r="N768" s="16">
        <f t="shared" si="187"/>
        <v>101360.92041436379</v>
      </c>
      <c r="O768" s="17">
        <f t="shared" si="188"/>
        <v>163371.7840286656</v>
      </c>
      <c r="P768" s="18">
        <f t="shared" si="189"/>
        <v>19423353.089060068</v>
      </c>
      <c r="Q768" s="19">
        <f t="shared" si="190"/>
        <v>0.11642255160623513</v>
      </c>
      <c r="R768" s="20">
        <f t="shared" si="191"/>
        <v>3.3164374661492697E-2</v>
      </c>
      <c r="S768" s="20" t="str">
        <f t="shared" si="192"/>
        <v/>
      </c>
      <c r="T768" s="20" t="str">
        <f t="shared" si="193"/>
        <v/>
      </c>
      <c r="U768" s="20" t="str">
        <f t="shared" si="194"/>
        <v/>
      </c>
      <c r="V768" s="21" t="str">
        <f t="shared" si="195"/>
        <v/>
      </c>
      <c r="W768" s="21">
        <f t="shared" si="196"/>
        <v>617616408.96455145</v>
      </c>
      <c r="X768" s="19" t="str">
        <f t="shared" si="197"/>
        <v/>
      </c>
      <c r="Y768" s="17" t="str">
        <f t="shared" si="198"/>
        <v/>
      </c>
      <c r="Z768" s="17" t="str">
        <f t="shared" si="199"/>
        <v/>
      </c>
      <c r="AA768" s="20">
        <f t="shared" si="200"/>
        <v>3.084387564894675E-2</v>
      </c>
      <c r="AB768" s="17" t="str">
        <f t="shared" si="201"/>
        <v/>
      </c>
      <c r="AC768" s="18" t="str">
        <f t="shared" si="202"/>
        <v/>
      </c>
      <c r="AD768" s="19" t="str">
        <f t="shared" si="203"/>
        <v/>
      </c>
    </row>
    <row r="769" spans="1:30" x14ac:dyDescent="0.25">
      <c r="A769" s="8">
        <v>918</v>
      </c>
      <c r="B769" s="9">
        <v>46050</v>
      </c>
      <c r="C769" s="10">
        <v>2</v>
      </c>
      <c r="D769" s="11">
        <v>136818.19516495621</v>
      </c>
      <c r="E769" s="11">
        <v>19595.877786795008</v>
      </c>
      <c r="F769" s="11">
        <v>7607.3650085570189</v>
      </c>
      <c r="G769" s="11">
        <v>35665.364121589002</v>
      </c>
      <c r="H769" s="12">
        <v>3.3287205907706008E-2</v>
      </c>
      <c r="I769" s="13">
        <v>804</v>
      </c>
      <c r="J769" s="13">
        <v>1029968</v>
      </c>
      <c r="K769" s="12"/>
      <c r="L769" s="14">
        <v>127.1523</v>
      </c>
      <c r="M769" s="15">
        <v>78562617493</v>
      </c>
      <c r="N769" s="16">
        <f t="shared" si="187"/>
        <v>101152.83104336722</v>
      </c>
      <c r="O769" s="17">
        <f t="shared" si="188"/>
        <v>164021.43796030822</v>
      </c>
      <c r="P769" s="18">
        <f t="shared" si="189"/>
        <v>20855703.0859605</v>
      </c>
      <c r="Q769" s="19">
        <f t="shared" si="190"/>
        <v>0.11947144245581509</v>
      </c>
      <c r="R769" s="20">
        <f t="shared" si="191"/>
        <v>3.3287205907706008E-2</v>
      </c>
      <c r="S769" s="20" t="str">
        <f t="shared" si="192"/>
        <v/>
      </c>
      <c r="T769" s="20" t="str">
        <f t="shared" si="193"/>
        <v/>
      </c>
      <c r="U769" s="20" t="str">
        <f t="shared" si="194"/>
        <v/>
      </c>
      <c r="V769" s="21" t="str">
        <f t="shared" si="195"/>
        <v/>
      </c>
      <c r="W769" s="21">
        <f t="shared" si="196"/>
        <v>617862339.04538107</v>
      </c>
      <c r="X769" s="19" t="str">
        <f t="shared" si="197"/>
        <v/>
      </c>
      <c r="Y769" s="17" t="str">
        <f t="shared" si="198"/>
        <v/>
      </c>
      <c r="Z769" s="17" t="str">
        <f t="shared" si="199"/>
        <v/>
      </c>
      <c r="AA769" s="20">
        <f t="shared" si="200"/>
        <v>3.0816439734402543E-2</v>
      </c>
      <c r="AB769" s="17" t="str">
        <f t="shared" si="201"/>
        <v/>
      </c>
      <c r="AC769" s="18" t="str">
        <f t="shared" si="202"/>
        <v/>
      </c>
      <c r="AD769" s="19" t="str">
        <f t="shared" si="203"/>
        <v/>
      </c>
    </row>
    <row r="770" spans="1:30" x14ac:dyDescent="0.25">
      <c r="A770" s="8">
        <v>919</v>
      </c>
      <c r="B770" s="9">
        <v>46052</v>
      </c>
      <c r="C770" s="10">
        <v>1.958333333333333</v>
      </c>
      <c r="D770" s="11">
        <v>136726.32145047159</v>
      </c>
      <c r="E770" s="11">
        <v>15773.429168954</v>
      </c>
      <c r="F770" s="11">
        <v>6505.7512062136529</v>
      </c>
      <c r="G770" s="11">
        <v>35675.705162396</v>
      </c>
      <c r="H770" s="12">
        <v>3.3089179388575841E-2</v>
      </c>
      <c r="I770" s="13">
        <v>796</v>
      </c>
      <c r="J770" s="13">
        <v>1039453</v>
      </c>
      <c r="K770" s="12"/>
      <c r="L770" s="14">
        <v>117.61750000000001</v>
      </c>
      <c r="M770" s="15">
        <v>72622349439</v>
      </c>
      <c r="N770" s="16">
        <f t="shared" ref="N770:N786" si="204">D770-G770</f>
        <v>101050.61628807559</v>
      </c>
      <c r="O770" s="17">
        <f t="shared" ref="O770:O786" si="205">D770+E770+F770</f>
        <v>159005.50182563925</v>
      </c>
      <c r="P770" s="18">
        <f t="shared" ref="P770:P833" si="206">O770*L770</f>
        <v>18701829.610977124</v>
      </c>
      <c r="Q770" s="19">
        <f t="shared" ref="Q770:Q786" si="207">IF(O770&gt;0,E770/O770,"")</f>
        <v>9.9200524433743678E-2</v>
      </c>
      <c r="R770" s="20">
        <f t="shared" ref="R770:R786" si="208">IF(H770&lt;&gt;"",H770,IF(D770&gt;0,G770/D770,""))</f>
        <v>3.3089179388575841E-2</v>
      </c>
      <c r="S770" s="20" t="str">
        <f t="shared" ref="S770:S786" si="209">IF(AND(K770&lt;&gt;"",D770&gt;0),E770*K770/D770,"")</f>
        <v/>
      </c>
      <c r="T770" s="20" t="str">
        <f t="shared" ref="T770:T786" si="210">IF(AND(K770&lt;&gt;"",D770&gt;0),F770*K770/D770,"")</f>
        <v/>
      </c>
      <c r="U770" s="20" t="str">
        <f t="shared" ref="U770:U833" si="211">IF(K770&lt;&gt;"",K770+S770+T770,"")</f>
        <v/>
      </c>
      <c r="V770" s="21" t="str">
        <f t="shared" ref="V770:V786" si="212">IF(AND(K770&lt;&gt;"",K770&gt;0,C770&gt;0),D770*(365.25/C770)/K770,"")</f>
        <v/>
      </c>
      <c r="W770" s="21">
        <f t="shared" ref="W770:W786" si="213">IF(AND(M770&lt;&gt;"",L770&gt;0),M770/L770,"")</f>
        <v>617445103.31370759</v>
      </c>
      <c r="X770" s="19" t="str">
        <f t="shared" ref="X770:X833" si="214">IF(AND(V770&lt;&gt;"",W770&lt;&gt;"",W770&gt;0),V770/W770,"")</f>
        <v/>
      </c>
      <c r="Y770" s="17" t="str">
        <f t="shared" ref="Y770:Y786" si="215">IF(A770&lt;620,E770*0.5,"")</f>
        <v/>
      </c>
      <c r="Z770" s="17" t="str">
        <f t="shared" ref="Z770:Z833" si="216">IF(Y770&lt;&gt;"",D770-Y770,"")</f>
        <v/>
      </c>
      <c r="AA770" s="20">
        <f t="shared" ref="AA770:AA786" si="217">IF(B770&lt;&gt;"",MAX(0.08*0.85^((B770-DATE(2020,3,16))/365.25),0.015),"")</f>
        <v>3.0789028224359756E-2</v>
      </c>
      <c r="AB770" s="17" t="str">
        <f t="shared" ref="AB770:AB786" si="218">IF(Z770&lt;&gt;"",Z770,"")</f>
        <v/>
      </c>
      <c r="AC770" s="18" t="str">
        <f t="shared" ref="AC770:AC833" si="219">IF(AB770&lt;&gt;"",AB770*L770,"")</f>
        <v/>
      </c>
      <c r="AD770" s="19" t="str">
        <f t="shared" ref="AD770:AD786" si="220">IF(AND(Y770&lt;&gt;"",D770&gt;0),Y770/D770,"")</f>
        <v/>
      </c>
    </row>
    <row r="771" spans="1:30" x14ac:dyDescent="0.25">
      <c r="A771" s="8">
        <v>920</v>
      </c>
      <c r="B771" s="9">
        <v>46054</v>
      </c>
      <c r="C771" s="10">
        <v>1.958333333333333</v>
      </c>
      <c r="D771" s="11">
        <v>136634.49842721631</v>
      </c>
      <c r="E771" s="11">
        <v>15657.59083010999</v>
      </c>
      <c r="F771" s="11">
        <v>5998.52999817621</v>
      </c>
      <c r="G771" s="11">
        <v>35468.109972147999</v>
      </c>
      <c r="H771" s="12">
        <v>3.3015490277183861E-2</v>
      </c>
      <c r="I771" s="13">
        <v>797</v>
      </c>
      <c r="J771" s="13">
        <v>1032941</v>
      </c>
      <c r="K771" s="12"/>
      <c r="L771" s="14">
        <v>105.3546</v>
      </c>
      <c r="M771" s="15">
        <v>65063494576</v>
      </c>
      <c r="N771" s="16">
        <f t="shared" si="204"/>
        <v>101166.38845506831</v>
      </c>
      <c r="O771" s="17">
        <f t="shared" si="205"/>
        <v>158290.6192555025</v>
      </c>
      <c r="P771" s="18">
        <f t="shared" si="206"/>
        <v>16676644.875415765</v>
      </c>
      <c r="Q771" s="19">
        <f t="shared" si="207"/>
        <v>9.8916732423900103E-2</v>
      </c>
      <c r="R771" s="20">
        <f t="shared" si="208"/>
        <v>3.3015490277183861E-2</v>
      </c>
      <c r="S771" s="20" t="str">
        <f t="shared" si="209"/>
        <v/>
      </c>
      <c r="T771" s="20" t="str">
        <f t="shared" si="210"/>
        <v/>
      </c>
      <c r="U771" s="20" t="str">
        <f t="shared" si="211"/>
        <v/>
      </c>
      <c r="V771" s="21" t="str">
        <f t="shared" si="212"/>
        <v/>
      </c>
      <c r="W771" s="21">
        <f t="shared" si="213"/>
        <v>617566718.26384413</v>
      </c>
      <c r="X771" s="19" t="str">
        <f t="shared" si="214"/>
        <v/>
      </c>
      <c r="Y771" s="17" t="str">
        <f t="shared" si="215"/>
        <v/>
      </c>
      <c r="Z771" s="17" t="str">
        <f t="shared" si="216"/>
        <v/>
      </c>
      <c r="AA771" s="20">
        <f t="shared" si="217"/>
        <v>3.0761641097110343E-2</v>
      </c>
      <c r="AB771" s="17" t="str">
        <f t="shared" si="218"/>
        <v/>
      </c>
      <c r="AC771" s="18" t="str">
        <f t="shared" si="219"/>
        <v/>
      </c>
      <c r="AD771" s="19" t="str">
        <f t="shared" si="220"/>
        <v/>
      </c>
    </row>
    <row r="772" spans="1:30" x14ac:dyDescent="0.25">
      <c r="A772" s="8">
        <v>921</v>
      </c>
      <c r="B772" s="9">
        <v>46056</v>
      </c>
      <c r="C772" s="10">
        <v>1.958333333333333</v>
      </c>
      <c r="D772" s="11">
        <v>136542.70122049641</v>
      </c>
      <c r="E772" s="11">
        <v>17112.02073621899</v>
      </c>
      <c r="F772" s="11">
        <v>7772.4381309550736</v>
      </c>
      <c r="G772" s="11">
        <v>35597.538661863</v>
      </c>
      <c r="H772" s="12">
        <v>3.2844305614911147E-2</v>
      </c>
      <c r="I772" s="13">
        <v>793</v>
      </c>
      <c r="J772" s="13">
        <v>1038279</v>
      </c>
      <c r="K772" s="12"/>
      <c r="L772" s="14">
        <v>104.51779999999999</v>
      </c>
      <c r="M772" s="15">
        <v>64559570646</v>
      </c>
      <c r="N772" s="16">
        <f t="shared" si="204"/>
        <v>100945.16255863341</v>
      </c>
      <c r="O772" s="17">
        <f t="shared" si="205"/>
        <v>161427.16008767046</v>
      </c>
      <c r="P772" s="18">
        <f t="shared" si="206"/>
        <v>16872011.632611122</v>
      </c>
      <c r="Q772" s="19">
        <f t="shared" si="207"/>
        <v>0.10600459505652901</v>
      </c>
      <c r="R772" s="20">
        <f t="shared" si="208"/>
        <v>3.2844305614911147E-2</v>
      </c>
      <c r="S772" s="20" t="str">
        <f t="shared" si="209"/>
        <v/>
      </c>
      <c r="T772" s="20" t="str">
        <f t="shared" si="210"/>
        <v/>
      </c>
      <c r="U772" s="20" t="str">
        <f t="shared" si="211"/>
        <v/>
      </c>
      <c r="V772" s="21" t="str">
        <f t="shared" si="212"/>
        <v/>
      </c>
      <c r="W772" s="21">
        <f t="shared" si="213"/>
        <v>617689720.27731168</v>
      </c>
      <c r="X772" s="19" t="str">
        <f t="shared" si="214"/>
        <v/>
      </c>
      <c r="Y772" s="17" t="str">
        <f t="shared" si="215"/>
        <v/>
      </c>
      <c r="Z772" s="17" t="str">
        <f t="shared" si="216"/>
        <v/>
      </c>
      <c r="AA772" s="20">
        <f t="shared" si="217"/>
        <v>3.0734278330965599E-2</v>
      </c>
      <c r="AB772" s="17" t="str">
        <f t="shared" si="218"/>
        <v/>
      </c>
      <c r="AC772" s="18" t="str">
        <f t="shared" si="219"/>
        <v/>
      </c>
      <c r="AD772" s="19" t="str">
        <f t="shared" si="220"/>
        <v/>
      </c>
    </row>
    <row r="773" spans="1:30" x14ac:dyDescent="0.25">
      <c r="A773" s="8">
        <v>922</v>
      </c>
      <c r="B773" s="9">
        <v>46058</v>
      </c>
      <c r="C773" s="10">
        <v>1.958333333333333</v>
      </c>
      <c r="D773" s="11">
        <v>136450.94145611199</v>
      </c>
      <c r="E773" s="11">
        <v>17929.524398491991</v>
      </c>
      <c r="F773" s="11">
        <v>9802.9895635249741</v>
      </c>
      <c r="G773" s="11">
        <v>35816.129475107002</v>
      </c>
      <c r="H773" s="12">
        <v>3.3036426417848437E-2</v>
      </c>
      <c r="I773" s="13">
        <v>798</v>
      </c>
      <c r="J773" s="13">
        <v>1035372</v>
      </c>
      <c r="K773" s="12"/>
      <c r="L773" s="14">
        <v>92.292199999999994</v>
      </c>
      <c r="M773" s="15">
        <v>57074245603</v>
      </c>
      <c r="N773" s="16">
        <f t="shared" si="204"/>
        <v>100634.81198100498</v>
      </c>
      <c r="O773" s="17">
        <f t="shared" si="205"/>
        <v>164183.45541812896</v>
      </c>
      <c r="P773" s="18">
        <f t="shared" si="206"/>
        <v>15152852.304141041</v>
      </c>
      <c r="Q773" s="19">
        <f t="shared" si="207"/>
        <v>0.10920420911370485</v>
      </c>
      <c r="R773" s="20">
        <f t="shared" si="208"/>
        <v>3.3036426417848437E-2</v>
      </c>
      <c r="S773" s="20" t="str">
        <f t="shared" si="209"/>
        <v/>
      </c>
      <c r="T773" s="20" t="str">
        <f t="shared" si="210"/>
        <v/>
      </c>
      <c r="U773" s="20" t="str">
        <f t="shared" si="211"/>
        <v/>
      </c>
      <c r="V773" s="21" t="str">
        <f t="shared" si="212"/>
        <v/>
      </c>
      <c r="W773" s="21">
        <f t="shared" si="213"/>
        <v>618408116.86144662</v>
      </c>
      <c r="X773" s="19" t="str">
        <f t="shared" si="214"/>
        <v/>
      </c>
      <c r="Y773" s="17" t="str">
        <f t="shared" si="215"/>
        <v/>
      </c>
      <c r="Z773" s="17" t="str">
        <f t="shared" si="216"/>
        <v/>
      </c>
      <c r="AA773" s="20">
        <f t="shared" si="217"/>
        <v>3.0706939904256086E-2</v>
      </c>
      <c r="AB773" s="17" t="str">
        <f t="shared" si="218"/>
        <v/>
      </c>
      <c r="AC773" s="18" t="str">
        <f t="shared" si="219"/>
        <v/>
      </c>
      <c r="AD773" s="19" t="str">
        <f t="shared" si="220"/>
        <v/>
      </c>
    </row>
    <row r="774" spans="1:30" x14ac:dyDescent="0.25">
      <c r="A774" s="8">
        <v>923</v>
      </c>
      <c r="B774" s="9">
        <v>46060</v>
      </c>
      <c r="C774" s="10">
        <v>1.958333333333333</v>
      </c>
      <c r="D774" s="11">
        <v>136359.2233361598</v>
      </c>
      <c r="E774" s="11">
        <v>13632.021083776999</v>
      </c>
      <c r="F774" s="11">
        <v>4019.1919233369049</v>
      </c>
      <c r="G774" s="11">
        <v>35863.637880330003</v>
      </c>
      <c r="H774" s="12">
        <v>3.2954337766860339E-2</v>
      </c>
      <c r="I774" s="13">
        <v>792</v>
      </c>
      <c r="J774" s="13">
        <v>1039655</v>
      </c>
      <c r="K774" s="12"/>
      <c r="L774" s="14">
        <v>87.575800000000001</v>
      </c>
      <c r="M774" s="15">
        <v>54155746273</v>
      </c>
      <c r="N774" s="16">
        <f t="shared" si="204"/>
        <v>100495.5854558298</v>
      </c>
      <c r="O774" s="17">
        <f t="shared" si="205"/>
        <v>154010.4363432737</v>
      </c>
      <c r="P774" s="18">
        <f t="shared" si="206"/>
        <v>13487587.171111269</v>
      </c>
      <c r="Q774" s="19">
        <f t="shared" si="207"/>
        <v>8.8513618995225765E-2</v>
      </c>
      <c r="R774" s="20">
        <f t="shared" si="208"/>
        <v>3.2954337766860339E-2</v>
      </c>
      <c r="S774" s="20" t="str">
        <f t="shared" si="209"/>
        <v/>
      </c>
      <c r="T774" s="20" t="str">
        <f t="shared" si="210"/>
        <v/>
      </c>
      <c r="U774" s="20" t="str">
        <f t="shared" si="211"/>
        <v/>
      </c>
      <c r="V774" s="21" t="str">
        <f t="shared" si="212"/>
        <v/>
      </c>
      <c r="W774" s="21">
        <f t="shared" si="213"/>
        <v>618387114.62527323</v>
      </c>
      <c r="X774" s="19" t="str">
        <f t="shared" si="214"/>
        <v/>
      </c>
      <c r="Y774" s="17" t="str">
        <f t="shared" si="215"/>
        <v/>
      </c>
      <c r="Z774" s="17" t="str">
        <f t="shared" si="216"/>
        <v/>
      </c>
      <c r="AA774" s="20">
        <f t="shared" si="217"/>
        <v>3.0679625795331643E-2</v>
      </c>
      <c r="AB774" s="17" t="str">
        <f t="shared" si="218"/>
        <v/>
      </c>
      <c r="AC774" s="18" t="str">
        <f t="shared" si="219"/>
        <v/>
      </c>
      <c r="AD774" s="19" t="str">
        <f t="shared" si="220"/>
        <v/>
      </c>
    </row>
    <row r="775" spans="1:30" x14ac:dyDescent="0.25">
      <c r="A775" s="8">
        <v>924</v>
      </c>
      <c r="B775" s="9">
        <v>46062</v>
      </c>
      <c r="C775" s="10">
        <v>1.958333333333333</v>
      </c>
      <c r="D775" s="11">
        <v>136267.56890624881</v>
      </c>
      <c r="E775" s="11">
        <v>15151.934412335</v>
      </c>
      <c r="F775" s="11">
        <v>4349.8577242008932</v>
      </c>
      <c r="G775" s="11">
        <v>35965.648986006003</v>
      </c>
      <c r="H775" s="12">
        <v>3.3041262277318052E-2</v>
      </c>
      <c r="I775" s="13">
        <v>800</v>
      </c>
      <c r="J775" s="13">
        <v>1038061</v>
      </c>
      <c r="K775" s="12"/>
      <c r="L775" s="14">
        <v>87.049400000000006</v>
      </c>
      <c r="M775" s="15">
        <v>53833475175</v>
      </c>
      <c r="N775" s="16">
        <f t="shared" si="204"/>
        <v>100301.9199202428</v>
      </c>
      <c r="O775" s="17">
        <f t="shared" si="205"/>
        <v>155769.3610427847</v>
      </c>
      <c r="P775" s="18">
        <f t="shared" si="206"/>
        <v>13559629.417157784</v>
      </c>
      <c r="Q775" s="19">
        <f t="shared" si="207"/>
        <v>9.7271596358241869E-2</v>
      </c>
      <c r="R775" s="20">
        <f t="shared" si="208"/>
        <v>3.3041262277318052E-2</v>
      </c>
      <c r="S775" s="20" t="str">
        <f t="shared" si="209"/>
        <v/>
      </c>
      <c r="T775" s="20" t="str">
        <f t="shared" si="210"/>
        <v/>
      </c>
      <c r="U775" s="20" t="str">
        <f t="shared" si="211"/>
        <v/>
      </c>
      <c r="V775" s="21" t="str">
        <f t="shared" si="212"/>
        <v/>
      </c>
      <c r="W775" s="21">
        <f t="shared" si="213"/>
        <v>618424425.38374758</v>
      </c>
      <c r="X775" s="19" t="str">
        <f t="shared" si="214"/>
        <v/>
      </c>
      <c r="Y775" s="17" t="str">
        <f t="shared" si="215"/>
        <v/>
      </c>
      <c r="Z775" s="17" t="str">
        <f t="shared" si="216"/>
        <v/>
      </c>
      <c r="AA775" s="20">
        <f t="shared" si="217"/>
        <v>3.0652335982561386E-2</v>
      </c>
      <c r="AB775" s="17" t="str">
        <f t="shared" si="218"/>
        <v/>
      </c>
      <c r="AC775" s="18" t="str">
        <f t="shared" si="219"/>
        <v/>
      </c>
      <c r="AD775" s="19" t="str">
        <f t="shared" si="220"/>
        <v/>
      </c>
    </row>
    <row r="776" spans="1:30" x14ac:dyDescent="0.25">
      <c r="A776" s="8">
        <v>925</v>
      </c>
      <c r="B776" s="9">
        <v>46064</v>
      </c>
      <c r="C776" s="10">
        <v>1.958333333333333</v>
      </c>
      <c r="D776" s="11">
        <v>136175.94037267921</v>
      </c>
      <c r="E776" s="11">
        <v>14286.42678524401</v>
      </c>
      <c r="F776" s="11">
        <v>3599.2554207624039</v>
      </c>
      <c r="G776" s="11">
        <v>36113.770509515998</v>
      </c>
      <c r="H776" s="12">
        <v>3.3036637980322463E-2</v>
      </c>
      <c r="I776" s="13">
        <v>793</v>
      </c>
      <c r="J776" s="13">
        <v>1045148</v>
      </c>
      <c r="K776" s="12"/>
      <c r="L776" s="14">
        <v>82.859399999999994</v>
      </c>
      <c r="M776" s="15">
        <v>51271565698</v>
      </c>
      <c r="N776" s="16">
        <f t="shared" si="204"/>
        <v>100062.1698631632</v>
      </c>
      <c r="O776" s="17">
        <f t="shared" si="205"/>
        <v>154061.62257868564</v>
      </c>
      <c r="P776" s="18">
        <f t="shared" si="206"/>
        <v>12765453.609896343</v>
      </c>
      <c r="Q776" s="19">
        <f t="shared" si="207"/>
        <v>9.2731898743616967E-2</v>
      </c>
      <c r="R776" s="20">
        <f t="shared" si="208"/>
        <v>3.3036637980322463E-2</v>
      </c>
      <c r="S776" s="20" t="str">
        <f t="shared" si="209"/>
        <v/>
      </c>
      <c r="T776" s="20" t="str">
        <f t="shared" si="210"/>
        <v/>
      </c>
      <c r="U776" s="20" t="str">
        <f t="shared" si="211"/>
        <v/>
      </c>
      <c r="V776" s="21" t="str">
        <f t="shared" si="212"/>
        <v/>
      </c>
      <c r="W776" s="21">
        <f t="shared" si="213"/>
        <v>618777902.06059909</v>
      </c>
      <c r="X776" s="19" t="str">
        <f t="shared" si="214"/>
        <v/>
      </c>
      <c r="Y776" s="17" t="str">
        <f t="shared" si="215"/>
        <v/>
      </c>
      <c r="Z776" s="17" t="str">
        <f t="shared" si="216"/>
        <v/>
      </c>
      <c r="AA776" s="20">
        <f t="shared" si="217"/>
        <v>3.0625070444333657E-2</v>
      </c>
      <c r="AB776" s="17" t="str">
        <f t="shared" si="218"/>
        <v/>
      </c>
      <c r="AC776" s="18" t="str">
        <f t="shared" si="219"/>
        <v/>
      </c>
      <c r="AD776" s="19" t="str">
        <f t="shared" si="220"/>
        <v/>
      </c>
    </row>
    <row r="777" spans="1:30" x14ac:dyDescent="0.25">
      <c r="A777" s="8">
        <v>926</v>
      </c>
      <c r="B777" s="9">
        <v>46066</v>
      </c>
      <c r="C777" s="10">
        <v>1.916666666666667</v>
      </c>
      <c r="D777" s="11">
        <v>136084.3572785685</v>
      </c>
      <c r="E777" s="11">
        <v>11798.591023475999</v>
      </c>
      <c r="F777" s="11">
        <v>2796.6122501378341</v>
      </c>
      <c r="G777" s="11">
        <v>35932.176760847004</v>
      </c>
      <c r="H777" s="12">
        <v>3.2766502558343957E-2</v>
      </c>
      <c r="I777" s="13">
        <v>804</v>
      </c>
      <c r="J777" s="13">
        <v>1044040</v>
      </c>
      <c r="K777" s="12"/>
      <c r="L777" s="14">
        <v>78.242099999999994</v>
      </c>
      <c r="M777" s="15">
        <v>48435818361</v>
      </c>
      <c r="N777" s="16">
        <f t="shared" si="204"/>
        <v>100152.18051772148</v>
      </c>
      <c r="O777" s="17">
        <f t="shared" si="205"/>
        <v>150679.56055218235</v>
      </c>
      <c r="P777" s="18">
        <f t="shared" si="206"/>
        <v>11789485.244679905</v>
      </c>
      <c r="Q777" s="19">
        <f t="shared" si="207"/>
        <v>7.8302531413276782E-2</v>
      </c>
      <c r="R777" s="20">
        <f t="shared" si="208"/>
        <v>3.2766502558343957E-2</v>
      </c>
      <c r="S777" s="20" t="str">
        <f t="shared" si="209"/>
        <v/>
      </c>
      <c r="T777" s="20" t="str">
        <f t="shared" si="210"/>
        <v/>
      </c>
      <c r="U777" s="20" t="str">
        <f t="shared" si="211"/>
        <v/>
      </c>
      <c r="V777" s="21" t="str">
        <f t="shared" si="212"/>
        <v/>
      </c>
      <c r="W777" s="21">
        <f t="shared" si="213"/>
        <v>619050592.46876049</v>
      </c>
      <c r="X777" s="19" t="str">
        <f t="shared" si="214"/>
        <v/>
      </c>
      <c r="Y777" s="17" t="str">
        <f t="shared" si="215"/>
        <v/>
      </c>
      <c r="Z777" s="17" t="str">
        <f t="shared" si="216"/>
        <v/>
      </c>
      <c r="AA777" s="20">
        <f t="shared" si="217"/>
        <v>3.0597829159056015E-2</v>
      </c>
      <c r="AB777" s="17" t="str">
        <f t="shared" si="218"/>
        <v/>
      </c>
      <c r="AC777" s="18" t="str">
        <f t="shared" si="219"/>
        <v/>
      </c>
      <c r="AD777" s="19" t="str">
        <f t="shared" si="220"/>
        <v/>
      </c>
    </row>
    <row r="778" spans="1:30" x14ac:dyDescent="0.25">
      <c r="A778" s="8">
        <v>927</v>
      </c>
      <c r="B778" s="9">
        <v>46068</v>
      </c>
      <c r="C778" s="10">
        <v>1.916666666666667</v>
      </c>
      <c r="D778" s="11">
        <v>135992.82580852849</v>
      </c>
      <c r="E778" s="11">
        <v>14296.585318815991</v>
      </c>
      <c r="F778" s="11">
        <v>3562.6854497588552</v>
      </c>
      <c r="G778" s="11">
        <v>36120.624861894001</v>
      </c>
      <c r="H778" s="12">
        <v>3.2930637832512447E-2</v>
      </c>
      <c r="I778" s="13">
        <v>794</v>
      </c>
      <c r="J778" s="13">
        <v>1052644</v>
      </c>
      <c r="K778" s="12"/>
      <c r="L778" s="14">
        <v>88.162599999999998</v>
      </c>
      <c r="M778" s="15">
        <v>54628616254</v>
      </c>
      <c r="N778" s="16">
        <f t="shared" si="204"/>
        <v>99872.20094663449</v>
      </c>
      <c r="O778" s="17">
        <f t="shared" si="205"/>
        <v>153852.09657710334</v>
      </c>
      <c r="P778" s="18">
        <f t="shared" si="206"/>
        <v>13564000.84968853</v>
      </c>
      <c r="Q778" s="19">
        <f t="shared" si="207"/>
        <v>9.2924215118844508E-2</v>
      </c>
      <c r="R778" s="20">
        <f t="shared" si="208"/>
        <v>3.2930637832512447E-2</v>
      </c>
      <c r="S778" s="20" t="str">
        <f t="shared" si="209"/>
        <v/>
      </c>
      <c r="T778" s="20" t="str">
        <f t="shared" si="210"/>
        <v/>
      </c>
      <c r="U778" s="20" t="str">
        <f t="shared" si="211"/>
        <v/>
      </c>
      <c r="V778" s="21" t="str">
        <f t="shared" si="212"/>
        <v/>
      </c>
      <c r="W778" s="21">
        <f t="shared" si="213"/>
        <v>619634814.0141058</v>
      </c>
      <c r="X778" s="19" t="str">
        <f t="shared" si="214"/>
        <v/>
      </c>
      <c r="Y778" s="17" t="str">
        <f t="shared" si="215"/>
        <v/>
      </c>
      <c r="Z778" s="17" t="str">
        <f t="shared" si="216"/>
        <v/>
      </c>
      <c r="AA778" s="20">
        <f t="shared" si="217"/>
        <v>3.0570612105155243E-2</v>
      </c>
      <c r="AB778" s="17" t="str">
        <f t="shared" si="218"/>
        <v/>
      </c>
      <c r="AC778" s="18" t="str">
        <f t="shared" si="219"/>
        <v/>
      </c>
      <c r="AD778" s="19" t="str">
        <f t="shared" si="220"/>
        <v/>
      </c>
    </row>
    <row r="779" spans="1:30" x14ac:dyDescent="0.25">
      <c r="A779" s="8">
        <v>928</v>
      </c>
      <c r="B779" s="9">
        <v>46070</v>
      </c>
      <c r="C779" s="10">
        <v>1.916666666666667</v>
      </c>
      <c r="D779" s="11">
        <v>135901.3121247261</v>
      </c>
      <c r="E779" s="11">
        <v>17550.83073070001</v>
      </c>
      <c r="F779" s="11">
        <v>4458.0825424535406</v>
      </c>
      <c r="G779" s="11">
        <v>36161.490715013002</v>
      </c>
      <c r="H779" s="12">
        <v>3.2951486234208932E-2</v>
      </c>
      <c r="I779" s="13">
        <v>797</v>
      </c>
      <c r="J779" s="13">
        <v>1055309</v>
      </c>
      <c r="K779" s="12"/>
      <c r="L779" s="14">
        <v>86.477199999999996</v>
      </c>
      <c r="M779" s="15">
        <v>53503008062</v>
      </c>
      <c r="N779" s="16">
        <f t="shared" si="204"/>
        <v>99739.821409713099</v>
      </c>
      <c r="O779" s="17">
        <f t="shared" si="205"/>
        <v>157910.22539787967</v>
      </c>
      <c r="P779" s="18">
        <f t="shared" si="206"/>
        <v>13655634.143777519</v>
      </c>
      <c r="Q779" s="19">
        <f t="shared" si="207"/>
        <v>0.1111443586789768</v>
      </c>
      <c r="R779" s="20">
        <f t="shared" si="208"/>
        <v>3.2951486234208932E-2</v>
      </c>
      <c r="S779" s="20" t="str">
        <f t="shared" si="209"/>
        <v/>
      </c>
      <c r="T779" s="20" t="str">
        <f t="shared" si="210"/>
        <v/>
      </c>
      <c r="U779" s="20" t="str">
        <f t="shared" si="211"/>
        <v/>
      </c>
      <c r="V779" s="21" t="str">
        <f t="shared" si="212"/>
        <v/>
      </c>
      <c r="W779" s="21">
        <f t="shared" si="213"/>
        <v>618694963.08853662</v>
      </c>
      <c r="X779" s="19" t="str">
        <f t="shared" si="214"/>
        <v/>
      </c>
      <c r="Y779" s="17" t="str">
        <f t="shared" si="215"/>
        <v/>
      </c>
      <c r="Z779" s="17" t="str">
        <f t="shared" si="216"/>
        <v/>
      </c>
      <c r="AA779" s="20">
        <f t="shared" si="217"/>
        <v>3.0543419261077311E-2</v>
      </c>
      <c r="AB779" s="17" t="str">
        <f t="shared" si="218"/>
        <v/>
      </c>
      <c r="AC779" s="18" t="str">
        <f t="shared" si="219"/>
        <v/>
      </c>
      <c r="AD779" s="19" t="str">
        <f t="shared" si="220"/>
        <v/>
      </c>
    </row>
    <row r="780" spans="1:30" x14ac:dyDescent="0.25">
      <c r="A780" s="8">
        <v>929</v>
      </c>
      <c r="B780" s="9">
        <v>46072</v>
      </c>
      <c r="C780" s="10">
        <v>1.958333333333333</v>
      </c>
      <c r="D780" s="11">
        <v>135809.84473332029</v>
      </c>
      <c r="E780" s="11">
        <v>15293.36318884</v>
      </c>
      <c r="F780" s="11">
        <v>3943.0357879580401</v>
      </c>
      <c r="G780" s="11">
        <v>36004.608264363997</v>
      </c>
      <c r="H780" s="12">
        <v>3.2726854083416718E-2</v>
      </c>
      <c r="I780" s="13">
        <v>791</v>
      </c>
      <c r="J780" s="13">
        <v>1053355</v>
      </c>
      <c r="K780" s="12"/>
      <c r="L780" s="14">
        <v>81.510900000000007</v>
      </c>
      <c r="M780" s="15">
        <v>50482834703</v>
      </c>
      <c r="N780" s="16">
        <f t="shared" si="204"/>
        <v>99805.236468956296</v>
      </c>
      <c r="O780" s="17">
        <f t="shared" si="205"/>
        <v>155046.24371011835</v>
      </c>
      <c r="P780" s="18">
        <f t="shared" si="206"/>
        <v>12637958.866431087</v>
      </c>
      <c r="Q780" s="19">
        <f t="shared" si="207"/>
        <v>9.8637431148820232E-2</v>
      </c>
      <c r="R780" s="20">
        <f t="shared" si="208"/>
        <v>3.2726854083416718E-2</v>
      </c>
      <c r="S780" s="20" t="str">
        <f t="shared" si="209"/>
        <v/>
      </c>
      <c r="T780" s="20" t="str">
        <f t="shared" si="210"/>
        <v/>
      </c>
      <c r="U780" s="20" t="str">
        <f t="shared" si="211"/>
        <v/>
      </c>
      <c r="V780" s="21" t="str">
        <f t="shared" si="212"/>
        <v/>
      </c>
      <c r="W780" s="21">
        <f t="shared" si="213"/>
        <v>619338452.93083501</v>
      </c>
      <c r="X780" s="19" t="str">
        <f t="shared" si="214"/>
        <v/>
      </c>
      <c r="Y780" s="17" t="str">
        <f t="shared" si="215"/>
        <v/>
      </c>
      <c r="Z780" s="17" t="str">
        <f t="shared" si="216"/>
        <v/>
      </c>
      <c r="AA780" s="20">
        <f t="shared" si="217"/>
        <v>3.0516250605287343E-2</v>
      </c>
      <c r="AB780" s="17" t="str">
        <f t="shared" si="218"/>
        <v/>
      </c>
      <c r="AC780" s="18" t="str">
        <f t="shared" si="219"/>
        <v/>
      </c>
      <c r="AD780" s="19" t="str">
        <f t="shared" si="220"/>
        <v/>
      </c>
    </row>
    <row r="781" spans="1:30" x14ac:dyDescent="0.25">
      <c r="A781" s="8">
        <v>930</v>
      </c>
      <c r="B781" s="9">
        <v>46074</v>
      </c>
      <c r="C781" s="10">
        <v>1.958333333333333</v>
      </c>
      <c r="D781" s="11">
        <v>135718.40426076559</v>
      </c>
      <c r="E781" s="11">
        <v>14357.245108014</v>
      </c>
      <c r="F781" s="11">
        <v>3613.1979468275749</v>
      </c>
      <c r="G781" s="11">
        <v>35916.516396245999</v>
      </c>
      <c r="H781" s="12">
        <v>3.2767504107894543E-2</v>
      </c>
      <c r="I781" s="13">
        <v>800</v>
      </c>
      <c r="J781" s="13">
        <v>1048026</v>
      </c>
      <c r="K781" s="12"/>
      <c r="L781" s="14">
        <v>84.481800000000007</v>
      </c>
      <c r="M781" s="15">
        <v>52349872682</v>
      </c>
      <c r="N781" s="16">
        <f t="shared" si="204"/>
        <v>99801.88786451958</v>
      </c>
      <c r="O781" s="17">
        <f t="shared" si="205"/>
        <v>153688.84731560716</v>
      </c>
      <c r="P781" s="18">
        <f t="shared" si="206"/>
        <v>12983910.461147662</v>
      </c>
      <c r="Q781" s="19">
        <f t="shared" si="207"/>
        <v>9.3417612004927944E-2</v>
      </c>
      <c r="R781" s="20">
        <f t="shared" si="208"/>
        <v>3.2767504107894543E-2</v>
      </c>
      <c r="S781" s="20" t="str">
        <f t="shared" si="209"/>
        <v/>
      </c>
      <c r="T781" s="20" t="str">
        <f t="shared" si="210"/>
        <v/>
      </c>
      <c r="U781" s="20" t="str">
        <f t="shared" si="211"/>
        <v/>
      </c>
      <c r="V781" s="21" t="str">
        <f t="shared" si="212"/>
        <v/>
      </c>
      <c r="W781" s="21">
        <f t="shared" si="213"/>
        <v>619658585.42313254</v>
      </c>
      <c r="X781" s="19" t="str">
        <f t="shared" si="214"/>
        <v/>
      </c>
      <c r="Y781" s="17" t="str">
        <f t="shared" si="215"/>
        <v/>
      </c>
      <c r="Z781" s="17" t="str">
        <f t="shared" si="216"/>
        <v/>
      </c>
      <c r="AA781" s="20">
        <f t="shared" si="217"/>
        <v>3.0489106116269635E-2</v>
      </c>
      <c r="AB781" s="17" t="str">
        <f t="shared" si="218"/>
        <v/>
      </c>
      <c r="AC781" s="18" t="str">
        <f t="shared" si="219"/>
        <v/>
      </c>
      <c r="AD781" s="19" t="str">
        <f t="shared" si="220"/>
        <v/>
      </c>
    </row>
    <row r="782" spans="1:30" x14ac:dyDescent="0.25">
      <c r="A782" s="8">
        <v>931</v>
      </c>
      <c r="B782" s="9">
        <v>46076</v>
      </c>
      <c r="C782" s="10">
        <v>1.958333333333333</v>
      </c>
      <c r="D782" s="11">
        <v>135626.99589486269</v>
      </c>
      <c r="E782" s="11">
        <v>16863.822490780989</v>
      </c>
      <c r="F782" s="11">
        <v>4333.5890050273956</v>
      </c>
      <c r="G782" s="11">
        <v>36129.103113978003</v>
      </c>
      <c r="H782" s="12">
        <v>3.2565887922857771E-2</v>
      </c>
      <c r="I782" s="13">
        <v>794</v>
      </c>
      <c r="J782" s="13">
        <v>1107783</v>
      </c>
      <c r="K782" s="12"/>
      <c r="L782" s="14">
        <v>82.621200000000002</v>
      </c>
      <c r="M782" s="15">
        <v>51179217784</v>
      </c>
      <c r="N782" s="16">
        <f t="shared" si="204"/>
        <v>99497.892780884693</v>
      </c>
      <c r="O782" s="17">
        <f t="shared" si="205"/>
        <v>156824.40739067108</v>
      </c>
      <c r="P782" s="18">
        <f t="shared" si="206"/>
        <v>12957020.727906113</v>
      </c>
      <c r="Q782" s="19">
        <f t="shared" si="207"/>
        <v>0.107533149790714</v>
      </c>
      <c r="R782" s="20">
        <f t="shared" si="208"/>
        <v>3.2565887922857771E-2</v>
      </c>
      <c r="S782" s="20" t="str">
        <f t="shared" si="209"/>
        <v/>
      </c>
      <c r="T782" s="20" t="str">
        <f t="shared" si="210"/>
        <v/>
      </c>
      <c r="U782" s="20" t="str">
        <f t="shared" si="211"/>
        <v/>
      </c>
      <c r="V782" s="21" t="str">
        <f t="shared" si="212"/>
        <v/>
      </c>
      <c r="W782" s="21">
        <f t="shared" si="213"/>
        <v>619444135.20984924</v>
      </c>
      <c r="X782" s="19" t="str">
        <f t="shared" si="214"/>
        <v/>
      </c>
      <c r="Y782" s="17" t="str">
        <f t="shared" si="215"/>
        <v/>
      </c>
      <c r="Z782" s="17" t="str">
        <f t="shared" si="216"/>
        <v/>
      </c>
      <c r="AA782" s="20">
        <f t="shared" si="217"/>
        <v>3.0461985772527629E-2</v>
      </c>
      <c r="AB782" s="17" t="str">
        <f t="shared" si="218"/>
        <v/>
      </c>
      <c r="AC782" s="18" t="str">
        <f t="shared" si="219"/>
        <v/>
      </c>
      <c r="AD782" s="19" t="str">
        <f t="shared" si="220"/>
        <v/>
      </c>
    </row>
    <row r="783" spans="1:30" x14ac:dyDescent="0.25">
      <c r="A783" s="8">
        <v>932</v>
      </c>
      <c r="B783" s="9">
        <v>46078</v>
      </c>
      <c r="C783" s="10">
        <v>1.958333333333333</v>
      </c>
      <c r="D783" s="11">
        <v>135535.61019524641</v>
      </c>
      <c r="E783" s="11">
        <v>16315.05293996701</v>
      </c>
      <c r="F783" s="11">
        <v>4144.3000771096376</v>
      </c>
      <c r="G783" s="11">
        <v>36145.282546014998</v>
      </c>
      <c r="H783" s="12">
        <v>3.2641650232961499E-2</v>
      </c>
      <c r="I783" s="13">
        <v>800</v>
      </c>
      <c r="J783" s="13">
        <v>1113217</v>
      </c>
      <c r="K783" s="12"/>
      <c r="L783" s="14">
        <v>79.159499999999994</v>
      </c>
      <c r="M783" s="15">
        <v>49123458476</v>
      </c>
      <c r="N783" s="16">
        <f t="shared" si="204"/>
        <v>99390.327649231418</v>
      </c>
      <c r="O783" s="17">
        <f t="shared" si="205"/>
        <v>155994.96321232305</v>
      </c>
      <c r="P783" s="18">
        <f t="shared" si="206"/>
        <v>12348483.290405886</v>
      </c>
      <c r="Q783" s="19">
        <f t="shared" si="207"/>
        <v>0.10458704950467387</v>
      </c>
      <c r="R783" s="20">
        <f t="shared" si="208"/>
        <v>3.2641650232961499E-2</v>
      </c>
      <c r="S783" s="20" t="str">
        <f t="shared" si="209"/>
        <v/>
      </c>
      <c r="T783" s="20" t="str">
        <f t="shared" si="210"/>
        <v/>
      </c>
      <c r="U783" s="20" t="str">
        <f t="shared" si="211"/>
        <v/>
      </c>
      <c r="V783" s="21" t="str">
        <f t="shared" si="212"/>
        <v/>
      </c>
      <c r="W783" s="21">
        <f t="shared" si="213"/>
        <v>620563021.19139206</v>
      </c>
      <c r="X783" s="19" t="str">
        <f t="shared" si="214"/>
        <v/>
      </c>
      <c r="Y783" s="17" t="str">
        <f t="shared" si="215"/>
        <v/>
      </c>
      <c r="Z783" s="17" t="str">
        <f t="shared" si="216"/>
        <v/>
      </c>
      <c r="AA783" s="20">
        <f t="shared" si="217"/>
        <v>3.0434889552583871E-2</v>
      </c>
      <c r="AB783" s="17" t="str">
        <f t="shared" si="218"/>
        <v/>
      </c>
      <c r="AC783" s="18" t="str">
        <f t="shared" si="219"/>
        <v/>
      </c>
      <c r="AD783" s="19" t="str">
        <f t="shared" si="220"/>
        <v/>
      </c>
    </row>
    <row r="784" spans="1:30" x14ac:dyDescent="0.25">
      <c r="A784" s="8">
        <v>933</v>
      </c>
      <c r="B784" s="9">
        <v>46080</v>
      </c>
      <c r="C784" s="10">
        <v>1.958333333333333</v>
      </c>
      <c r="D784" s="11">
        <v>135444.25548708139</v>
      </c>
      <c r="E784" s="11">
        <v>15114.69859935</v>
      </c>
      <c r="F784" s="11">
        <v>3902.0505283449388</v>
      </c>
      <c r="G784" s="11">
        <v>36179.755407757999</v>
      </c>
      <c r="H784" s="12">
        <v>3.2179640458906249E-2</v>
      </c>
      <c r="I784" s="13">
        <v>792</v>
      </c>
      <c r="J784" s="13">
        <v>1131061</v>
      </c>
      <c r="K784" s="12"/>
      <c r="L784" s="14">
        <v>85.9178</v>
      </c>
      <c r="M784" s="15">
        <v>53295404164</v>
      </c>
      <c r="N784" s="16">
        <f t="shared" si="204"/>
        <v>99264.500079323392</v>
      </c>
      <c r="O784" s="17">
        <f t="shared" si="205"/>
        <v>154461.00461477632</v>
      </c>
      <c r="P784" s="18">
        <f t="shared" si="206"/>
        <v>13270949.702291429</v>
      </c>
      <c r="Q784" s="19">
        <f t="shared" si="207"/>
        <v>9.7854462600744152E-2</v>
      </c>
      <c r="R784" s="20">
        <f t="shared" si="208"/>
        <v>3.2179640458906249E-2</v>
      </c>
      <c r="S784" s="20" t="str">
        <f t="shared" si="209"/>
        <v/>
      </c>
      <c r="T784" s="20" t="str">
        <f t="shared" si="210"/>
        <v/>
      </c>
      <c r="U784" s="20" t="str">
        <f t="shared" si="211"/>
        <v/>
      </c>
      <c r="V784" s="21" t="str">
        <f t="shared" si="212"/>
        <v/>
      </c>
      <c r="W784" s="21">
        <f t="shared" si="213"/>
        <v>620306899.89734375</v>
      </c>
      <c r="X784" s="19" t="str">
        <f t="shared" si="214"/>
        <v/>
      </c>
      <c r="Y784" s="17" t="str">
        <f t="shared" si="215"/>
        <v/>
      </c>
      <c r="Z784" s="17" t="str">
        <f t="shared" si="216"/>
        <v/>
      </c>
      <c r="AA784" s="20">
        <f t="shared" si="217"/>
        <v>3.0407817434980014E-2</v>
      </c>
      <c r="AB784" s="17" t="str">
        <f t="shared" si="218"/>
        <v/>
      </c>
      <c r="AC784" s="18" t="str">
        <f t="shared" si="219"/>
        <v/>
      </c>
      <c r="AD784" s="19" t="str">
        <f t="shared" si="220"/>
        <v/>
      </c>
    </row>
    <row r="785" spans="1:30" x14ac:dyDescent="0.25">
      <c r="A785" s="8">
        <v>934</v>
      </c>
      <c r="B785" s="9">
        <v>46082</v>
      </c>
      <c r="C785" s="10">
        <v>1.958333333333333</v>
      </c>
      <c r="D785" s="11">
        <v>135352.93310953159</v>
      </c>
      <c r="E785" s="11">
        <v>14327.511985883</v>
      </c>
      <c r="F785" s="11">
        <v>3535.641503901199</v>
      </c>
      <c r="G785" s="11">
        <v>35871.746886401001</v>
      </c>
      <c r="H785" s="12">
        <v>3.2529601593898491E-2</v>
      </c>
      <c r="I785" s="13">
        <v>790</v>
      </c>
      <c r="J785" s="13">
        <v>1153729</v>
      </c>
      <c r="K785" s="12"/>
      <c r="L785" s="14">
        <v>84.432599999999994</v>
      </c>
      <c r="M785" s="15">
        <v>52429900122</v>
      </c>
      <c r="N785" s="16">
        <f t="shared" si="204"/>
        <v>99481.186223130586</v>
      </c>
      <c r="O785" s="17">
        <f t="shared" si="205"/>
        <v>153216.08659931578</v>
      </c>
      <c r="P785" s="18">
        <f t="shared" si="206"/>
        <v>12936432.553405389</v>
      </c>
      <c r="Q785" s="19">
        <f t="shared" si="207"/>
        <v>9.3511799602033319E-2</v>
      </c>
      <c r="R785" s="20">
        <f t="shared" si="208"/>
        <v>3.2529601593898491E-2</v>
      </c>
      <c r="S785" s="20" t="str">
        <f t="shared" si="209"/>
        <v/>
      </c>
      <c r="T785" s="20" t="str">
        <f t="shared" si="210"/>
        <v/>
      </c>
      <c r="U785" s="20" t="str">
        <f t="shared" si="211"/>
        <v/>
      </c>
      <c r="V785" s="21" t="str">
        <f t="shared" si="212"/>
        <v/>
      </c>
      <c r="W785" s="21">
        <f t="shared" si="213"/>
        <v>620967495.04338372</v>
      </c>
      <c r="X785" s="19" t="str">
        <f t="shared" si="214"/>
        <v/>
      </c>
      <c r="Y785" s="17" t="str">
        <f t="shared" si="215"/>
        <v/>
      </c>
      <c r="Z785" s="17" t="str">
        <f t="shared" si="216"/>
        <v/>
      </c>
      <c r="AA785" s="20">
        <f t="shared" si="217"/>
        <v>3.0380769398276809E-2</v>
      </c>
      <c r="AB785" s="17" t="str">
        <f t="shared" si="218"/>
        <v/>
      </c>
      <c r="AC785" s="18" t="str">
        <f t="shared" si="219"/>
        <v/>
      </c>
      <c r="AD785" s="19" t="str">
        <f t="shared" si="220"/>
        <v/>
      </c>
    </row>
    <row r="786" spans="1:30" x14ac:dyDescent="0.25">
      <c r="A786" s="8">
        <v>935</v>
      </c>
      <c r="B786" s="9">
        <v>46084</v>
      </c>
      <c r="C786" s="10">
        <v>1.958333333333333</v>
      </c>
      <c r="D786" s="11">
        <v>135261.65084339789</v>
      </c>
      <c r="E786" s="11">
        <v>4252.2631962600008</v>
      </c>
      <c r="F786" s="11">
        <v>1124.1020827409891</v>
      </c>
      <c r="G786" s="11">
        <v>35794.173598310001</v>
      </c>
      <c r="H786" s="12">
        <v>3.2197942507398727E-2</v>
      </c>
      <c r="I786" s="13">
        <v>781</v>
      </c>
      <c r="J786" s="13">
        <v>1168844</v>
      </c>
      <c r="K786" s="12"/>
      <c r="L786" s="14">
        <v>85.181598513011181</v>
      </c>
      <c r="M786" s="15"/>
      <c r="N786" s="16">
        <f t="shared" si="204"/>
        <v>99467.477245087881</v>
      </c>
      <c r="O786" s="17">
        <f t="shared" si="205"/>
        <v>140638.01612239887</v>
      </c>
      <c r="P786" s="18">
        <f t="shared" si="206"/>
        <v>11979771.025004573</v>
      </c>
      <c r="Q786" s="19">
        <f t="shared" si="207"/>
        <v>3.0235517490229721E-2</v>
      </c>
      <c r="R786" s="20">
        <f t="shared" si="208"/>
        <v>3.2197942507398727E-2</v>
      </c>
      <c r="S786" s="20" t="str">
        <f t="shared" si="209"/>
        <v/>
      </c>
      <c r="T786" s="20" t="str">
        <f t="shared" si="210"/>
        <v/>
      </c>
      <c r="U786" s="20" t="str">
        <f t="shared" si="211"/>
        <v/>
      </c>
      <c r="V786" s="21" t="str">
        <f t="shared" si="212"/>
        <v/>
      </c>
      <c r="W786" s="21" t="str">
        <f t="shared" si="213"/>
        <v/>
      </c>
      <c r="X786" s="19" t="str">
        <f t="shared" si="214"/>
        <v/>
      </c>
      <c r="Y786" s="17" t="str">
        <f t="shared" si="215"/>
        <v/>
      </c>
      <c r="Z786" s="17" t="str">
        <f t="shared" si="216"/>
        <v/>
      </c>
      <c r="AA786" s="20">
        <f t="shared" si="217"/>
        <v>3.0353745421054065E-2</v>
      </c>
      <c r="AB786" s="17" t="str">
        <f t="shared" si="218"/>
        <v/>
      </c>
      <c r="AC786" s="18" t="str">
        <f t="shared" si="219"/>
        <v/>
      </c>
      <c r="AD786" s="19" t="str">
        <f t="shared" si="220"/>
        <v/>
      </c>
    </row>
  </sheetData>
  <autoFilter ref="A1:AD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3" width="10" customWidth="1"/>
    <col min="4" max="4" width="22" customWidth="1"/>
    <col min="5" max="5" width="65" customWidth="1"/>
    <col min="6" max="6" width="16" customWidth="1"/>
  </cols>
  <sheetData>
    <row r="1" spans="1:6" x14ac:dyDescent="0.25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  <c r="F1" s="22" t="s">
        <v>35</v>
      </c>
    </row>
    <row r="2" spans="1:6" x14ac:dyDescent="0.25">
      <c r="A2" s="23" t="s">
        <v>36</v>
      </c>
      <c r="B2" s="23" t="s">
        <v>37</v>
      </c>
      <c r="C2" s="23" t="s">
        <v>38</v>
      </c>
      <c r="D2" s="23" t="s">
        <v>39</v>
      </c>
      <c r="E2" s="23" t="s">
        <v>40</v>
      </c>
      <c r="F2" s="23" t="s">
        <v>41</v>
      </c>
    </row>
    <row r="3" spans="1:6" x14ac:dyDescent="0.25">
      <c r="A3" s="23" t="s">
        <v>42</v>
      </c>
      <c r="B3" s="23" t="s">
        <v>43</v>
      </c>
      <c r="C3" s="23" t="s">
        <v>38</v>
      </c>
      <c r="D3" s="23" t="s">
        <v>39</v>
      </c>
      <c r="E3" s="23" t="s">
        <v>44</v>
      </c>
      <c r="F3" s="23" t="s">
        <v>41</v>
      </c>
    </row>
    <row r="4" spans="1:6" x14ac:dyDescent="0.25">
      <c r="A4" s="23" t="s">
        <v>45</v>
      </c>
      <c r="B4" s="23" t="s">
        <v>46</v>
      </c>
      <c r="C4" s="23" t="s">
        <v>38</v>
      </c>
      <c r="D4" s="23" t="s">
        <v>39</v>
      </c>
      <c r="E4" s="23" t="s">
        <v>47</v>
      </c>
      <c r="F4" s="23" t="s">
        <v>41</v>
      </c>
    </row>
    <row r="5" spans="1:6" x14ac:dyDescent="0.25">
      <c r="A5" s="23" t="s">
        <v>48</v>
      </c>
      <c r="B5" s="23" t="s">
        <v>49</v>
      </c>
      <c r="C5" s="23" t="s">
        <v>38</v>
      </c>
      <c r="D5" s="23" t="s">
        <v>39</v>
      </c>
      <c r="E5" s="23" t="s">
        <v>50</v>
      </c>
      <c r="F5" s="23" t="s">
        <v>41</v>
      </c>
    </row>
    <row r="6" spans="1:6" x14ac:dyDescent="0.25">
      <c r="A6" s="23" t="s">
        <v>51</v>
      </c>
      <c r="B6" s="23" t="s">
        <v>52</v>
      </c>
      <c r="C6" s="23" t="s">
        <v>38</v>
      </c>
      <c r="D6" s="23" t="s">
        <v>39</v>
      </c>
      <c r="E6" s="23" t="s">
        <v>53</v>
      </c>
      <c r="F6" s="23" t="s">
        <v>41</v>
      </c>
    </row>
    <row r="7" spans="1:6" x14ac:dyDescent="0.25">
      <c r="A7" s="23" t="s">
        <v>54</v>
      </c>
      <c r="B7" s="23" t="s">
        <v>55</v>
      </c>
      <c r="C7" s="23" t="s">
        <v>38</v>
      </c>
      <c r="D7" s="23" t="s">
        <v>39</v>
      </c>
      <c r="E7" s="23" t="s">
        <v>56</v>
      </c>
      <c r="F7" s="23" t="s">
        <v>41</v>
      </c>
    </row>
    <row r="8" spans="1:6" x14ac:dyDescent="0.25">
      <c r="A8" s="23" t="s">
        <v>57</v>
      </c>
      <c r="B8" s="23" t="s">
        <v>58</v>
      </c>
      <c r="C8" s="23" t="s">
        <v>38</v>
      </c>
      <c r="D8" s="23" t="s">
        <v>59</v>
      </c>
      <c r="E8" s="23" t="s">
        <v>60</v>
      </c>
      <c r="F8" s="23" t="s">
        <v>41</v>
      </c>
    </row>
    <row r="9" spans="1:6" x14ac:dyDescent="0.25">
      <c r="A9" s="23" t="s">
        <v>61</v>
      </c>
      <c r="B9" s="23" t="s">
        <v>62</v>
      </c>
      <c r="C9" s="23" t="s">
        <v>38</v>
      </c>
      <c r="D9" s="23" t="s">
        <v>59</v>
      </c>
      <c r="E9" s="23" t="s">
        <v>63</v>
      </c>
      <c r="F9" s="23" t="s">
        <v>64</v>
      </c>
    </row>
    <row r="10" spans="1:6" x14ac:dyDescent="0.25">
      <c r="A10" s="23" t="s">
        <v>65</v>
      </c>
      <c r="B10" s="23" t="s">
        <v>66</v>
      </c>
      <c r="C10" s="23" t="s">
        <v>38</v>
      </c>
      <c r="D10" s="23" t="s">
        <v>59</v>
      </c>
      <c r="E10" s="23" t="s">
        <v>67</v>
      </c>
      <c r="F10" s="23" t="s">
        <v>41</v>
      </c>
    </row>
    <row r="11" spans="1:6" x14ac:dyDescent="0.25">
      <c r="A11" s="23" t="s">
        <v>68</v>
      </c>
      <c r="B11" s="23" t="s">
        <v>69</v>
      </c>
      <c r="C11" s="23" t="s">
        <v>38</v>
      </c>
      <c r="D11" s="23" t="s">
        <v>59</v>
      </c>
      <c r="E11" s="23" t="s">
        <v>70</v>
      </c>
      <c r="F11" s="23" t="s">
        <v>41</v>
      </c>
    </row>
    <row r="12" spans="1:6" x14ac:dyDescent="0.25">
      <c r="A12" s="23" t="s">
        <v>71</v>
      </c>
      <c r="B12" s="23" t="s">
        <v>72</v>
      </c>
      <c r="C12" s="23" t="s">
        <v>38</v>
      </c>
      <c r="D12" s="23" t="s">
        <v>39</v>
      </c>
      <c r="E12" s="23" t="s">
        <v>73</v>
      </c>
      <c r="F12" s="23" t="s">
        <v>74</v>
      </c>
    </row>
    <row r="13" spans="1:6" x14ac:dyDescent="0.25">
      <c r="A13" s="23" t="s">
        <v>75</v>
      </c>
      <c r="B13" s="23" t="s">
        <v>76</v>
      </c>
      <c r="C13" s="23" t="s">
        <v>38</v>
      </c>
      <c r="D13" s="23" t="s">
        <v>77</v>
      </c>
      <c r="E13" s="23" t="s">
        <v>78</v>
      </c>
      <c r="F13" s="23" t="s">
        <v>41</v>
      </c>
    </row>
    <row r="14" spans="1:6" x14ac:dyDescent="0.25">
      <c r="A14" s="23" t="s">
        <v>79</v>
      </c>
      <c r="B14" s="23" t="s">
        <v>80</v>
      </c>
      <c r="C14" s="23" t="s">
        <v>38</v>
      </c>
      <c r="D14" s="23" t="s">
        <v>81</v>
      </c>
      <c r="E14" s="23" t="s">
        <v>82</v>
      </c>
      <c r="F14" s="23" t="s">
        <v>83</v>
      </c>
    </row>
    <row r="15" spans="1:6" x14ac:dyDescent="0.25">
      <c r="A15" s="24" t="s">
        <v>84</v>
      </c>
      <c r="B15" s="24" t="s">
        <v>85</v>
      </c>
      <c r="C15" s="24" t="s">
        <v>86</v>
      </c>
      <c r="D15" s="24" t="e">
        <f>D-G</f>
        <v>#NAME?</v>
      </c>
      <c r="E15" s="24" t="s">
        <v>87</v>
      </c>
      <c r="F15" s="24" t="s">
        <v>41</v>
      </c>
    </row>
    <row r="16" spans="1:6" x14ac:dyDescent="0.25">
      <c r="A16" s="24" t="s">
        <v>88</v>
      </c>
      <c r="B16" s="24" t="s">
        <v>89</v>
      </c>
      <c r="C16" s="24" t="s">
        <v>86</v>
      </c>
      <c r="D16" s="24" t="e">
        <f>D+E+F</f>
        <v>#NAME?</v>
      </c>
      <c r="E16" s="24" t="s">
        <v>90</v>
      </c>
      <c r="F16" s="24" t="s">
        <v>41</v>
      </c>
    </row>
    <row r="17" spans="1:6" x14ac:dyDescent="0.25">
      <c r="A17" s="24" t="s">
        <v>91</v>
      </c>
      <c r="B17" s="24" t="s">
        <v>92</v>
      </c>
      <c r="C17" s="24" t="s">
        <v>86</v>
      </c>
      <c r="D17" s="24" t="e">
        <f>O*L</f>
        <v>#NAME?</v>
      </c>
      <c r="E17" s="24" t="s">
        <v>93</v>
      </c>
      <c r="F17" s="24" t="s">
        <v>41</v>
      </c>
    </row>
    <row r="18" spans="1:6" x14ac:dyDescent="0.25">
      <c r="A18" s="24" t="s">
        <v>94</v>
      </c>
      <c r="B18" s="24" t="s">
        <v>95</v>
      </c>
      <c r="C18" s="24" t="s">
        <v>86</v>
      </c>
      <c r="D18" s="24" t="e">
        <f>E/O</f>
        <v>#NAME?</v>
      </c>
      <c r="E18" s="24" t="s">
        <v>96</v>
      </c>
      <c r="F18" s="24" t="s">
        <v>41</v>
      </c>
    </row>
    <row r="19" spans="1:6" x14ac:dyDescent="0.25">
      <c r="A19" s="24" t="s">
        <v>97</v>
      </c>
      <c r="B19" s="24" t="s">
        <v>98</v>
      </c>
      <c r="C19" s="24" t="s">
        <v>86</v>
      </c>
      <c r="D19" s="24" t="e">
        <f>IF(H,H,G/D)</f>
        <v>#NAME?</v>
      </c>
      <c r="E19" s="24" t="s">
        <v>99</v>
      </c>
      <c r="F19" s="24" t="s">
        <v>41</v>
      </c>
    </row>
    <row r="20" spans="1:6" x14ac:dyDescent="0.25">
      <c r="A20" s="24" t="s">
        <v>100</v>
      </c>
      <c r="B20" s="24" t="s">
        <v>101</v>
      </c>
      <c r="C20" s="24" t="s">
        <v>86</v>
      </c>
      <c r="D20" s="24" t="e">
        <f>E*K/D</f>
        <v>#NAME?</v>
      </c>
      <c r="E20" s="24" t="s">
        <v>102</v>
      </c>
      <c r="F20" s="24" t="s">
        <v>74</v>
      </c>
    </row>
    <row r="21" spans="1:6" x14ac:dyDescent="0.25">
      <c r="A21" s="24" t="s">
        <v>103</v>
      </c>
      <c r="B21" s="24" t="s">
        <v>104</v>
      </c>
      <c r="C21" s="24" t="s">
        <v>86</v>
      </c>
      <c r="D21" s="24" t="e">
        <f>F*K/D</f>
        <v>#NAME?</v>
      </c>
      <c r="E21" s="24" t="s">
        <v>105</v>
      </c>
      <c r="F21" s="24" t="s">
        <v>74</v>
      </c>
    </row>
    <row r="22" spans="1:6" x14ac:dyDescent="0.25">
      <c r="A22" s="24" t="s">
        <v>106</v>
      </c>
      <c r="B22" s="24" t="s">
        <v>107</v>
      </c>
      <c r="C22" s="24" t="s">
        <v>86</v>
      </c>
      <c r="D22" s="24" t="e">
        <f>K+S+T</f>
        <v>#NAME?</v>
      </c>
      <c r="E22" s="24" t="s">
        <v>108</v>
      </c>
      <c r="F22" s="24" t="s">
        <v>74</v>
      </c>
    </row>
    <row r="23" spans="1:6" x14ac:dyDescent="0.25">
      <c r="A23" s="24" t="s">
        <v>109</v>
      </c>
      <c r="B23" s="24" t="s">
        <v>110</v>
      </c>
      <c r="C23" s="24" t="s">
        <v>86</v>
      </c>
      <c r="D23" s="24"/>
      <c r="E23" s="24" t="s">
        <v>111</v>
      </c>
      <c r="F23" s="24" t="s">
        <v>74</v>
      </c>
    </row>
    <row r="24" spans="1:6" x14ac:dyDescent="0.25">
      <c r="A24" s="24" t="s">
        <v>112</v>
      </c>
      <c r="B24" s="24" t="s">
        <v>113</v>
      </c>
      <c r="C24" s="24" t="s">
        <v>86</v>
      </c>
      <c r="D24" s="24" t="e">
        <f>M/L</f>
        <v>#NAME?</v>
      </c>
      <c r="E24" s="24" t="s">
        <v>114</v>
      </c>
      <c r="F24" s="24" t="s">
        <v>83</v>
      </c>
    </row>
    <row r="25" spans="1:6" x14ac:dyDescent="0.25">
      <c r="A25" s="24" t="s">
        <v>115</v>
      </c>
      <c r="B25" s="24" t="s">
        <v>116</v>
      </c>
      <c r="C25" s="24" t="s">
        <v>86</v>
      </c>
      <c r="D25" s="24" t="e">
        <f>V/W</f>
        <v>#NAME?</v>
      </c>
      <c r="E25" s="24" t="s">
        <v>117</v>
      </c>
      <c r="F25" s="24" t="s">
        <v>83</v>
      </c>
    </row>
    <row r="26" spans="1:6" x14ac:dyDescent="0.25">
      <c r="A26" s="24" t="s">
        <v>118</v>
      </c>
      <c r="B26" s="24" t="s">
        <v>119</v>
      </c>
      <c r="C26" s="24" t="s">
        <v>86</v>
      </c>
      <c r="D26" s="24" t="e">
        <f>IF(epoch&lt;620,E*0.5)</f>
        <v>#NAME?</v>
      </c>
      <c r="E26" s="24" t="s">
        <v>120</v>
      </c>
      <c r="F26" s="24" t="s">
        <v>121</v>
      </c>
    </row>
    <row r="27" spans="1:6" x14ac:dyDescent="0.25">
      <c r="A27" s="24" t="s">
        <v>122</v>
      </c>
      <c r="B27" s="24" t="s">
        <v>123</v>
      </c>
      <c r="C27" s="24" t="s">
        <v>86</v>
      </c>
      <c r="D27" s="24" t="e">
        <f>D-Y</f>
        <v>#NAME?</v>
      </c>
      <c r="E27" s="24" t="s">
        <v>124</v>
      </c>
      <c r="F27" s="24" t="s">
        <v>121</v>
      </c>
    </row>
    <row r="28" spans="1:6" x14ac:dyDescent="0.25">
      <c r="A28" s="24" t="s">
        <v>125</v>
      </c>
      <c r="B28" s="24" t="s">
        <v>126</v>
      </c>
      <c r="C28" s="24" t="s">
        <v>86</v>
      </c>
      <c r="D28" s="24" t="e">
        <f>MAX(8%*0.85^years,1.5%)</f>
        <v>#NAME?</v>
      </c>
      <c r="E28" s="24" t="s">
        <v>127</v>
      </c>
      <c r="F28" s="24" t="s">
        <v>41</v>
      </c>
    </row>
    <row r="29" spans="1:6" x14ac:dyDescent="0.25">
      <c r="A29" s="24" t="s">
        <v>128</v>
      </c>
      <c r="B29" s="24" t="s">
        <v>129</v>
      </c>
      <c r="C29" s="24" t="s">
        <v>86</v>
      </c>
      <c r="D29" s="24" t="e">
        <f>Z</f>
        <v>#NAME?</v>
      </c>
      <c r="E29" s="24" t="s">
        <v>130</v>
      </c>
      <c r="F29" s="24" t="s">
        <v>121</v>
      </c>
    </row>
    <row r="30" spans="1:6" x14ac:dyDescent="0.25">
      <c r="A30" s="24" t="s">
        <v>131</v>
      </c>
      <c r="B30" s="24" t="s">
        <v>132</v>
      </c>
      <c r="C30" s="24" t="s">
        <v>86</v>
      </c>
      <c r="D30" s="24" t="e">
        <f>AB*L</f>
        <v>#NAME?</v>
      </c>
      <c r="E30" s="24" t="s">
        <v>133</v>
      </c>
      <c r="F30" s="24" t="s">
        <v>121</v>
      </c>
    </row>
    <row r="31" spans="1:6" x14ac:dyDescent="0.25">
      <c r="A31" s="24" t="s">
        <v>134</v>
      </c>
      <c r="B31" s="24" t="s">
        <v>135</v>
      </c>
      <c r="C31" s="24" t="s">
        <v>86</v>
      </c>
      <c r="D31" s="24" t="e">
        <f>Y/D</f>
        <v>#NAME?</v>
      </c>
      <c r="E31" s="24" t="s">
        <v>136</v>
      </c>
      <c r="F31" s="24" t="s">
        <v>121</v>
      </c>
    </row>
    <row r="34" spans="1:3" ht="15.75" x14ac:dyDescent="0.25">
      <c r="A34" s="25" t="s">
        <v>137</v>
      </c>
    </row>
    <row r="35" spans="1:3" x14ac:dyDescent="0.25">
      <c r="A35" s="26" t="s">
        <v>39</v>
      </c>
      <c r="B35" t="s">
        <v>138</v>
      </c>
      <c r="C35" t="s">
        <v>139</v>
      </c>
    </row>
    <row r="36" spans="1:3" x14ac:dyDescent="0.25">
      <c r="A36" s="26" t="s">
        <v>59</v>
      </c>
      <c r="B36" t="s">
        <v>140</v>
      </c>
      <c r="C36" t="s">
        <v>141</v>
      </c>
    </row>
    <row r="37" spans="1:3" x14ac:dyDescent="0.25">
      <c r="A37" s="26" t="s">
        <v>142</v>
      </c>
      <c r="B37" t="s">
        <v>143</v>
      </c>
      <c r="C37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Database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Druais</cp:lastModifiedBy>
  <dcterms:created xsi:type="dcterms:W3CDTF">2026-03-03T23:29:24Z</dcterms:created>
  <dcterms:modified xsi:type="dcterms:W3CDTF">2026-03-04T12:01:52Z</dcterms:modified>
</cp:coreProperties>
</file>